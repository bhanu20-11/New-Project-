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U SURYAVANSHI\Desktop\new Excel Project\"/>
    </mc:Choice>
  </mc:AlternateContent>
  <xr:revisionPtr revIDLastSave="0" documentId="13_ncr:1_{4A601117-BCC7-407F-B7DE-1ECD94648131}" xr6:coauthVersionLast="47" xr6:coauthVersionMax="47" xr10:uidLastSave="{00000000-0000-0000-0000-000000000000}"/>
  <bookViews>
    <workbookView xWindow="-108" yWindow="-108" windowWidth="23256" windowHeight="13896" activeTab="3" xr2:uid="{025E310B-D2D1-478E-97F5-18C927B019F0}"/>
  </bookViews>
  <sheets>
    <sheet name="new1 (1)" sheetId="1" r:id="rId1"/>
    <sheet name="Gorup by " sheetId="2" r:id="rId2"/>
    <sheet name="Sheet1" sheetId="3" r:id="rId3"/>
    <sheet name="Sheet2" sheetId="4" r:id="rId4"/>
  </sheets>
  <definedNames>
    <definedName name="_xlnm._FilterDatabase" localSheetId="1" hidden="1">'Gorup by '!$A$1:$L$1</definedName>
    <definedName name="_xlnm._FilterDatabase" localSheetId="0" hidden="1">'new1 (1)'!$A$1:$L$1001</definedName>
    <definedName name="_xlnm._FilterDatabase" localSheetId="3" hidden="1">Sheet2!$B$2:$M$1002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4" l="1"/>
  <c r="M75" i="4" s="1"/>
  <c r="L547" i="4"/>
  <c r="M547" i="4" s="1"/>
  <c r="L333" i="4"/>
  <c r="M333" i="4" s="1"/>
  <c r="L753" i="4"/>
  <c r="M753" i="4" s="1"/>
  <c r="L578" i="4"/>
  <c r="M578" i="4" s="1"/>
  <c r="L72" i="4"/>
  <c r="M72" i="4" s="1"/>
  <c r="L625" i="4"/>
  <c r="M625" i="4" s="1"/>
  <c r="L629" i="4"/>
  <c r="M629" i="4" s="1"/>
  <c r="L418" i="4"/>
  <c r="M418" i="4" s="1"/>
  <c r="L820" i="4"/>
  <c r="M820" i="4" s="1"/>
  <c r="L888" i="4"/>
  <c r="M888" i="4" s="1"/>
  <c r="L688" i="4"/>
  <c r="M688" i="4" s="1"/>
  <c r="L149" i="4"/>
  <c r="M149" i="4" s="1"/>
  <c r="L707" i="4"/>
  <c r="M707" i="4" s="1"/>
  <c r="L489" i="4"/>
  <c r="M489" i="4" s="1"/>
  <c r="L912" i="4"/>
  <c r="M912" i="4" s="1"/>
  <c r="L908" i="4"/>
  <c r="M908" i="4" s="1"/>
  <c r="L691" i="4"/>
  <c r="M691" i="4" s="1"/>
  <c r="L870" i="4"/>
  <c r="M870" i="4" s="1"/>
  <c r="L787" i="4"/>
  <c r="M787" i="4" s="1"/>
  <c r="L896" i="4"/>
  <c r="M896" i="4" s="1"/>
  <c r="L127" i="4"/>
  <c r="M127" i="4" s="1"/>
  <c r="L8" i="4"/>
  <c r="M8" i="4" s="1"/>
  <c r="L480" i="4"/>
  <c r="M480" i="4" s="1"/>
  <c r="L390" i="4"/>
  <c r="M390" i="4" s="1"/>
  <c r="L775" i="4"/>
  <c r="M775" i="4" s="1"/>
  <c r="L776" i="4"/>
  <c r="M776" i="4" s="1"/>
  <c r="L713" i="4"/>
  <c r="M713" i="4" s="1"/>
  <c r="L263" i="4"/>
  <c r="M263" i="4" s="1"/>
  <c r="L920" i="4"/>
  <c r="M920" i="4" s="1"/>
  <c r="L942" i="4"/>
  <c r="M942" i="4" s="1"/>
  <c r="L863" i="4"/>
  <c r="M863" i="4" s="1"/>
  <c r="L634" i="4"/>
  <c r="M634" i="4" s="1"/>
  <c r="L214" i="4"/>
  <c r="M214" i="4" s="1"/>
  <c r="L652" i="4"/>
  <c r="M652" i="4" s="1"/>
  <c r="L933" i="4"/>
  <c r="M933" i="4" s="1"/>
  <c r="L144" i="4"/>
  <c r="M144" i="4" s="1"/>
  <c r="L256" i="4"/>
  <c r="M256" i="4" s="1"/>
  <c r="L503" i="4"/>
  <c r="M503" i="4" s="1"/>
  <c r="L54" i="4"/>
  <c r="M54" i="4" s="1"/>
  <c r="L347" i="4"/>
  <c r="M347" i="4" s="1"/>
  <c r="L772" i="4"/>
  <c r="M772" i="4" s="1"/>
  <c r="L659" i="4"/>
  <c r="M659" i="4" s="1"/>
  <c r="L827" i="4"/>
  <c r="M827" i="4" s="1"/>
  <c r="L372" i="4"/>
  <c r="M372" i="4" s="1"/>
  <c r="L412" i="4"/>
  <c r="M412" i="4" s="1"/>
  <c r="L300" i="4"/>
  <c r="M300" i="4" s="1"/>
  <c r="L517" i="4"/>
  <c r="M517" i="4" s="1"/>
  <c r="L648" i="4"/>
  <c r="M648" i="4" s="1"/>
  <c r="L884" i="4"/>
  <c r="M884" i="4" s="1"/>
  <c r="L427" i="4"/>
  <c r="M427" i="4" s="1"/>
  <c r="L568" i="4"/>
  <c r="M568" i="4" s="1"/>
  <c r="L683" i="4"/>
  <c r="M683" i="4" s="1"/>
  <c r="L171" i="4"/>
  <c r="M171" i="4" s="1"/>
  <c r="L865" i="4"/>
  <c r="M865" i="4" s="1"/>
  <c r="L189" i="4"/>
  <c r="M189" i="4" s="1"/>
  <c r="L500" i="4"/>
  <c r="M500" i="4" s="1"/>
  <c r="L791" i="4"/>
  <c r="M791" i="4" s="1"/>
  <c r="L447" i="4"/>
  <c r="M447" i="4" s="1"/>
  <c r="L274" i="4"/>
  <c r="M274" i="4" s="1"/>
  <c r="L563" i="4"/>
  <c r="M563" i="4" s="1"/>
  <c r="L940" i="4"/>
  <c r="M940" i="4" s="1"/>
  <c r="L999" i="4"/>
  <c r="M999" i="4" s="1"/>
  <c r="L717" i="4"/>
  <c r="M717" i="4" s="1"/>
  <c r="L298" i="4"/>
  <c r="M298" i="4" s="1"/>
  <c r="L249" i="4"/>
  <c r="M249" i="4" s="1"/>
  <c r="L94" i="4"/>
  <c r="M94" i="4" s="1"/>
  <c r="L434" i="4"/>
  <c r="M434" i="4" s="1"/>
  <c r="L845" i="4"/>
  <c r="M845" i="4" s="1"/>
  <c r="L299" i="4"/>
  <c r="M299" i="4" s="1"/>
  <c r="L818" i="4"/>
  <c r="M818" i="4" s="1"/>
  <c r="L45" i="4"/>
  <c r="M45" i="4" s="1"/>
  <c r="L402" i="4"/>
  <c r="M402" i="4" s="1"/>
  <c r="L208" i="4"/>
  <c r="M208" i="4" s="1"/>
  <c r="L363" i="4"/>
  <c r="M363" i="4" s="1"/>
  <c r="L243" i="4"/>
  <c r="M243" i="4" s="1"/>
  <c r="L770" i="4"/>
  <c r="M770" i="4" s="1"/>
  <c r="L86" i="4"/>
  <c r="M86" i="4" s="1"/>
  <c r="L893" i="4"/>
  <c r="M893" i="4" s="1"/>
  <c r="L382" i="4"/>
  <c r="M382" i="4" s="1"/>
  <c r="L571" i="4"/>
  <c r="M571" i="4" s="1"/>
  <c r="L638" i="4"/>
  <c r="M638" i="4" s="1"/>
  <c r="L324" i="4"/>
  <c r="M324" i="4" s="1"/>
  <c r="L15" i="4"/>
  <c r="M15" i="4" s="1"/>
  <c r="L157" i="4"/>
  <c r="M157" i="4" s="1"/>
  <c r="L983" i="4"/>
  <c r="M983" i="4" s="1"/>
  <c r="L277" i="4"/>
  <c r="M277" i="4" s="1"/>
  <c r="L969" i="4"/>
  <c r="M969" i="4" s="1"/>
  <c r="L465" i="4"/>
  <c r="M465" i="4" s="1"/>
  <c r="L151" i="4"/>
  <c r="M151" i="4" s="1"/>
  <c r="L953" i="4"/>
  <c r="M953" i="4" s="1"/>
  <c r="L922" i="4"/>
  <c r="M922" i="4" s="1"/>
  <c r="L767" i="4"/>
  <c r="M767" i="4" s="1"/>
  <c r="L866" i="4"/>
  <c r="M866" i="4" s="1"/>
  <c r="L558" i="4"/>
  <c r="M558" i="4" s="1"/>
  <c r="L378" i="4"/>
  <c r="M378" i="4" s="1"/>
  <c r="L385" i="4"/>
  <c r="M385" i="4" s="1"/>
  <c r="L366" i="4"/>
  <c r="M366" i="4" s="1"/>
  <c r="L487" i="4"/>
  <c r="M487" i="4" s="1"/>
  <c r="L934" i="4"/>
  <c r="M934" i="4" s="1"/>
  <c r="L998" i="4"/>
  <c r="M998" i="4" s="1"/>
  <c r="L35" i="4"/>
  <c r="M35" i="4" s="1"/>
  <c r="L631" i="4"/>
  <c r="M631" i="4" s="1"/>
  <c r="L56" i="4"/>
  <c r="M56" i="4" s="1"/>
  <c r="L306" i="4"/>
  <c r="M306" i="4" s="1"/>
  <c r="L554" i="4"/>
  <c r="M554" i="4" s="1"/>
  <c r="L64" i="4"/>
  <c r="M64" i="4" s="1"/>
  <c r="L859" i="4"/>
  <c r="M859" i="4" s="1"/>
  <c r="L152" i="4"/>
  <c r="M152" i="4" s="1"/>
  <c r="L273" i="4"/>
  <c r="M273" i="4" s="1"/>
  <c r="L343" i="4"/>
  <c r="M343" i="4" s="1"/>
  <c r="L556" i="4"/>
  <c r="M556" i="4" s="1"/>
  <c r="L564" i="4"/>
  <c r="M564" i="4" s="1"/>
  <c r="L599" i="4"/>
  <c r="M599" i="4" s="1"/>
  <c r="L419" i="4"/>
  <c r="M419" i="4" s="1"/>
  <c r="L92" i="4"/>
  <c r="M92" i="4" s="1"/>
  <c r="L162" i="4"/>
  <c r="M162" i="4" s="1"/>
  <c r="L963" i="4"/>
  <c r="M963" i="4" s="1"/>
  <c r="L651" i="4"/>
  <c r="M651" i="4" s="1"/>
  <c r="L862" i="4"/>
  <c r="M862" i="4" s="1"/>
  <c r="L80" i="4"/>
  <c r="M80" i="4" s="1"/>
  <c r="L689" i="4"/>
  <c r="M689" i="4" s="1"/>
  <c r="L667" i="4"/>
  <c r="M667" i="4" s="1"/>
  <c r="L468" i="4"/>
  <c r="M468" i="4" s="1"/>
  <c r="L69" i="4"/>
  <c r="M69" i="4" s="1"/>
  <c r="L915" i="4"/>
  <c r="M915" i="4" s="1"/>
  <c r="L891" i="4"/>
  <c r="M891" i="4" s="1"/>
  <c r="L331" i="4"/>
  <c r="M331" i="4" s="1"/>
  <c r="L665" i="4"/>
  <c r="M665" i="4" s="1"/>
  <c r="L66" i="4"/>
  <c r="M66" i="4" s="1"/>
  <c r="L792" i="4"/>
  <c r="M792" i="4" s="1"/>
  <c r="L291" i="4"/>
  <c r="M291" i="4" s="1"/>
  <c r="L334" i="4"/>
  <c r="M334" i="4" s="1"/>
  <c r="L943" i="4"/>
  <c r="M943" i="4" s="1"/>
  <c r="L355" i="4"/>
  <c r="M355" i="4" s="1"/>
  <c r="L50" i="4"/>
  <c r="M50" i="4" s="1"/>
  <c r="L782" i="4"/>
  <c r="M782" i="4" s="1"/>
  <c r="L207" i="4"/>
  <c r="M207" i="4" s="1"/>
  <c r="L828" i="4"/>
  <c r="M828" i="4" s="1"/>
  <c r="L860" i="4"/>
  <c r="M860" i="4" s="1"/>
  <c r="L626" i="4"/>
  <c r="M626" i="4" s="1"/>
  <c r="L310" i="4"/>
  <c r="M310" i="4" s="1"/>
  <c r="L61" i="4"/>
  <c r="M61" i="4" s="1"/>
  <c r="L664" i="4"/>
  <c r="M664" i="4" s="1"/>
  <c r="L799" i="4"/>
  <c r="M799" i="4" s="1"/>
  <c r="L537" i="4"/>
  <c r="M537" i="4" s="1"/>
  <c r="L218" i="4"/>
  <c r="M218" i="4" s="1"/>
  <c r="L354" i="4"/>
  <c r="M354" i="4" s="1"/>
  <c r="L847" i="4"/>
  <c r="M847" i="4" s="1"/>
  <c r="L967" i="4"/>
  <c r="M967" i="4" s="1"/>
  <c r="L251" i="4"/>
  <c r="M251" i="4" s="1"/>
  <c r="L614" i="4"/>
  <c r="M614" i="4" s="1"/>
  <c r="L734" i="4"/>
  <c r="M734" i="4" s="1"/>
  <c r="L910" i="4"/>
  <c r="M910" i="4" s="1"/>
  <c r="L460" i="4"/>
  <c r="M460" i="4" s="1"/>
  <c r="L495" i="4"/>
  <c r="M495" i="4" s="1"/>
  <c r="L703" i="4"/>
  <c r="M703" i="4" s="1"/>
  <c r="L369" i="4"/>
  <c r="M369" i="4" s="1"/>
  <c r="L196" i="4"/>
  <c r="M196" i="4" s="1"/>
  <c r="L21" i="4"/>
  <c r="M21" i="4" s="1"/>
  <c r="L752" i="4"/>
  <c r="M752" i="4" s="1"/>
  <c r="L655" i="4"/>
  <c r="M655" i="4" s="1"/>
  <c r="L668" i="4"/>
  <c r="M668" i="4" s="1"/>
  <c r="L557" i="4"/>
  <c r="M557" i="4" s="1"/>
  <c r="L657" i="4"/>
  <c r="M657" i="4" s="1"/>
  <c r="L305" i="4"/>
  <c r="M305" i="4" s="1"/>
  <c r="L823" i="4"/>
  <c r="M823" i="4" s="1"/>
  <c r="L6" i="4"/>
  <c r="M6" i="4" s="1"/>
  <c r="L477" i="4"/>
  <c r="M477" i="4" s="1"/>
  <c r="L911" i="4"/>
  <c r="M911" i="4" s="1"/>
  <c r="L774" i="4"/>
  <c r="M774" i="4" s="1"/>
  <c r="L606" i="4"/>
  <c r="M606" i="4" s="1"/>
  <c r="L610" i="4"/>
  <c r="M610" i="4" s="1"/>
  <c r="L486" i="4"/>
  <c r="M486" i="4" s="1"/>
  <c r="L941" i="4"/>
  <c r="M941" i="4" s="1"/>
  <c r="L121" i="4"/>
  <c r="M121" i="4" s="1"/>
  <c r="L1000" i="4"/>
  <c r="M1000" i="4" s="1"/>
  <c r="L802" i="4"/>
  <c r="M802" i="4" s="1"/>
  <c r="L759" i="4"/>
  <c r="M759" i="4" s="1"/>
  <c r="L872" i="4"/>
  <c r="M872" i="4" s="1"/>
  <c r="L34" i="4"/>
  <c r="M34" i="4" s="1"/>
  <c r="L504" i="4"/>
  <c r="M504" i="4" s="1"/>
  <c r="L85" i="4"/>
  <c r="M85" i="4" s="1"/>
  <c r="L440" i="4"/>
  <c r="M440" i="4" s="1"/>
  <c r="L139" i="4"/>
  <c r="M139" i="4" s="1"/>
  <c r="L589" i="4"/>
  <c r="M589" i="4" s="1"/>
  <c r="L482" i="4"/>
  <c r="M482" i="4" s="1"/>
  <c r="L293" i="4"/>
  <c r="M293" i="4" s="1"/>
  <c r="L779" i="4"/>
  <c r="M779" i="4" s="1"/>
  <c r="L624" i="4"/>
  <c r="M624" i="4" s="1"/>
  <c r="L429" i="4"/>
  <c r="M429" i="4" s="1"/>
  <c r="L426" i="4"/>
  <c r="M426" i="4" s="1"/>
  <c r="L971" i="4"/>
  <c r="M971" i="4" s="1"/>
  <c r="L722" i="4"/>
  <c r="M722" i="4" s="1"/>
  <c r="L741" i="4"/>
  <c r="M741" i="4" s="1"/>
  <c r="L473" i="4"/>
  <c r="M473" i="4" s="1"/>
  <c r="L678" i="4"/>
  <c r="M678" i="4" s="1"/>
  <c r="L536" i="4"/>
  <c r="M536" i="4" s="1"/>
  <c r="L979" i="4"/>
  <c r="M979" i="4" s="1"/>
  <c r="L114" i="4"/>
  <c r="M114" i="4" s="1"/>
  <c r="L604" i="4"/>
  <c r="M604" i="4" s="1"/>
  <c r="L483" i="4"/>
  <c r="M483" i="4" s="1"/>
  <c r="L455" i="4"/>
  <c r="M455" i="4" s="1"/>
  <c r="L729" i="4"/>
  <c r="M729" i="4" s="1"/>
  <c r="L16" i="4"/>
  <c r="M16" i="4" s="1"/>
  <c r="L296" i="4"/>
  <c r="M296" i="4" s="1"/>
  <c r="L684" i="4"/>
  <c r="M684" i="4" s="1"/>
  <c r="L851" i="4"/>
  <c r="M851" i="4" s="1"/>
  <c r="L463" i="4"/>
  <c r="M463" i="4" s="1"/>
  <c r="L663" i="4"/>
  <c r="M663" i="4" s="1"/>
  <c r="L141" i="4"/>
  <c r="M141" i="4" s="1"/>
  <c r="L977" i="4"/>
  <c r="M977" i="4" s="1"/>
  <c r="L409" i="4"/>
  <c r="M409" i="4" s="1"/>
  <c r="L231" i="4"/>
  <c r="M231" i="4" s="1"/>
  <c r="L756" i="4"/>
  <c r="M756" i="4" s="1"/>
  <c r="L532" i="4"/>
  <c r="M532" i="4" s="1"/>
  <c r="L724" i="4"/>
  <c r="M724" i="4" s="1"/>
  <c r="L146" i="4"/>
  <c r="M146" i="4" s="1"/>
  <c r="L577" i="4"/>
  <c r="M577" i="4" s="1"/>
  <c r="L350" i="4"/>
  <c r="M350" i="4" s="1"/>
  <c r="L435" i="4"/>
  <c r="M435" i="4" s="1"/>
  <c r="L401" i="4"/>
  <c r="M401" i="4" s="1"/>
  <c r="L98" i="4"/>
  <c r="M98" i="4" s="1"/>
  <c r="L125" i="4"/>
  <c r="M125" i="4" s="1"/>
  <c r="L380" i="4"/>
  <c r="M380" i="4" s="1"/>
  <c r="L850" i="4"/>
  <c r="M850" i="4" s="1"/>
  <c r="L109" i="4"/>
  <c r="M109" i="4" s="1"/>
  <c r="L560" i="4"/>
  <c r="M560" i="4" s="1"/>
  <c r="L595" i="4"/>
  <c r="M595" i="4" s="1"/>
  <c r="L644" i="4"/>
  <c r="M644" i="4" s="1"/>
  <c r="L576" i="4"/>
  <c r="M576" i="4" s="1"/>
  <c r="L253" i="4"/>
  <c r="M253" i="4" s="1"/>
  <c r="L240" i="4"/>
  <c r="M240" i="4" s="1"/>
  <c r="L795" i="4"/>
  <c r="M795" i="4" s="1"/>
  <c r="L613" i="4"/>
  <c r="M613" i="4" s="1"/>
  <c r="L413" i="4"/>
  <c r="M413" i="4" s="1"/>
  <c r="L978" i="4"/>
  <c r="M978" i="4" s="1"/>
  <c r="L431" i="4"/>
  <c r="M431" i="4" s="1"/>
  <c r="L700" i="4"/>
  <c r="M700" i="4" s="1"/>
  <c r="L900" i="4"/>
  <c r="M900" i="4" s="1"/>
  <c r="L635" i="4"/>
  <c r="M635" i="4" s="1"/>
  <c r="L457" i="4"/>
  <c r="M457" i="4" s="1"/>
  <c r="L254" i="4"/>
  <c r="M254" i="4" s="1"/>
  <c r="L636" i="4"/>
  <c r="M636" i="4" s="1"/>
  <c r="L552" i="4"/>
  <c r="M552" i="4" s="1"/>
  <c r="L456" i="4"/>
  <c r="M456" i="4" s="1"/>
  <c r="L754" i="4"/>
  <c r="M754" i="4" s="1"/>
  <c r="L921" i="4"/>
  <c r="M921" i="4" s="1"/>
  <c r="L902" i="4"/>
  <c r="M902" i="4" s="1"/>
  <c r="L712" i="4"/>
  <c r="M712" i="4" s="1"/>
  <c r="L224" i="4"/>
  <c r="M224" i="4" s="1"/>
  <c r="L362" i="4"/>
  <c r="M362" i="4" s="1"/>
  <c r="L757" i="4"/>
  <c r="M757" i="4" s="1"/>
  <c r="L747" i="4"/>
  <c r="M747" i="4" s="1"/>
  <c r="L997" i="4"/>
  <c r="M997" i="4" s="1"/>
  <c r="L404" i="4"/>
  <c r="M404" i="4" s="1"/>
  <c r="L304" i="4"/>
  <c r="M304" i="4" s="1"/>
  <c r="L288" i="4"/>
  <c r="M288" i="4" s="1"/>
  <c r="L907" i="4"/>
  <c r="M907" i="4" s="1"/>
  <c r="L892" i="4"/>
  <c r="M892" i="4" s="1"/>
  <c r="L156" i="4"/>
  <c r="M156" i="4" s="1"/>
  <c r="L567" i="4"/>
  <c r="M567" i="4" s="1"/>
  <c r="L439" i="4"/>
  <c r="M439" i="4" s="1"/>
  <c r="L498" i="4"/>
  <c r="M498" i="4" s="1"/>
  <c r="L883" i="4"/>
  <c r="M883" i="4" s="1"/>
  <c r="L472" i="4"/>
  <c r="M472" i="4" s="1"/>
  <c r="L230" i="4"/>
  <c r="M230" i="4" s="1"/>
  <c r="L337" i="4"/>
  <c r="M337" i="4" s="1"/>
  <c r="L452" i="4"/>
  <c r="M452" i="4" s="1"/>
  <c r="L102" i="4"/>
  <c r="M102" i="4" s="1"/>
  <c r="L714" i="4"/>
  <c r="M714" i="4" s="1"/>
  <c r="L63" i="4"/>
  <c r="M63" i="4" s="1"/>
  <c r="L542" i="4"/>
  <c r="M542" i="4" s="1"/>
  <c r="L960" i="4"/>
  <c r="M960" i="4" s="1"/>
  <c r="L527" i="4"/>
  <c r="M527" i="4" s="1"/>
  <c r="L962" i="4"/>
  <c r="M962" i="4" s="1"/>
  <c r="L645" i="4"/>
  <c r="M645" i="4" s="1"/>
  <c r="L444" i="4"/>
  <c r="M444" i="4" s="1"/>
  <c r="L796" i="4"/>
  <c r="M796" i="4" s="1"/>
  <c r="L47" i="4"/>
  <c r="M47" i="4" s="1"/>
  <c r="L485" i="4"/>
  <c r="M485" i="4" s="1"/>
  <c r="L592" i="4"/>
  <c r="M592" i="4" s="1"/>
  <c r="L739" i="4"/>
  <c r="M739" i="4" s="1"/>
  <c r="L680" i="4"/>
  <c r="M680" i="4" s="1"/>
  <c r="L544" i="4"/>
  <c r="M544" i="4" s="1"/>
  <c r="L201" i="4"/>
  <c r="M201" i="4" s="1"/>
  <c r="L744" i="4"/>
  <c r="M744" i="4" s="1"/>
  <c r="L545" i="4"/>
  <c r="M545" i="4" s="1"/>
  <c r="L528" i="4"/>
  <c r="M528" i="4" s="1"/>
  <c r="L575" i="4"/>
  <c r="M575" i="4" s="1"/>
  <c r="L582" i="4"/>
  <c r="M582" i="4" s="1"/>
  <c r="L313" i="4"/>
  <c r="M313" i="4" s="1"/>
  <c r="L177" i="4"/>
  <c r="M177" i="4" s="1"/>
  <c r="L23" i="4"/>
  <c r="M23" i="4" s="1"/>
  <c r="L705" i="4"/>
  <c r="M705" i="4" s="1"/>
  <c r="L669" i="4"/>
  <c r="M669" i="4" s="1"/>
  <c r="L581" i="4"/>
  <c r="M581" i="4" s="1"/>
  <c r="L551" i="4"/>
  <c r="M551" i="4" s="1"/>
  <c r="L113" i="4"/>
  <c r="M113" i="4" s="1"/>
  <c r="L168" i="4"/>
  <c r="M168" i="4" s="1"/>
  <c r="L804" i="4"/>
  <c r="M804" i="4" s="1"/>
  <c r="L829" i="4"/>
  <c r="M829" i="4" s="1"/>
  <c r="L264" i="4"/>
  <c r="M264" i="4" s="1"/>
  <c r="L476" i="4"/>
  <c r="M476" i="4" s="1"/>
  <c r="L937" i="4"/>
  <c r="M937" i="4" s="1"/>
  <c r="L308" i="4"/>
  <c r="M308" i="4" s="1"/>
  <c r="L728" i="4"/>
  <c r="M728" i="4" s="1"/>
  <c r="L633" i="4"/>
  <c r="M633" i="4" s="1"/>
  <c r="L617" i="4"/>
  <c r="M617" i="4" s="1"/>
  <c r="L587" i="4"/>
  <c r="M587" i="4" s="1"/>
  <c r="L535" i="4"/>
  <c r="M535" i="4" s="1"/>
  <c r="L720" i="4"/>
  <c r="M720" i="4" s="1"/>
  <c r="L600" i="4"/>
  <c r="M600" i="4" s="1"/>
  <c r="L436" i="4"/>
  <c r="M436" i="4" s="1"/>
  <c r="L492" i="4"/>
  <c r="M492" i="4" s="1"/>
  <c r="L751" i="4"/>
  <c r="M751" i="4" s="1"/>
  <c r="L62" i="4"/>
  <c r="M62" i="4" s="1"/>
  <c r="L682" i="4"/>
  <c r="M682" i="4" s="1"/>
  <c r="L223" i="4"/>
  <c r="M223" i="4" s="1"/>
  <c r="L97" i="4"/>
  <c r="M97" i="4" s="1"/>
  <c r="L148" i="4"/>
  <c r="M148" i="4" s="1"/>
  <c r="L285" i="4"/>
  <c r="M285" i="4" s="1"/>
  <c r="L120" i="4"/>
  <c r="M120" i="4" s="1"/>
  <c r="L871" i="4"/>
  <c r="M871" i="4" s="1"/>
  <c r="L137" i="4"/>
  <c r="M137" i="4" s="1"/>
  <c r="L423" i="4"/>
  <c r="M423" i="4" s="1"/>
  <c r="L106" i="4"/>
  <c r="M106" i="4" s="1"/>
  <c r="L794" i="4"/>
  <c r="M794" i="4" s="1"/>
  <c r="L817" i="4"/>
  <c r="M817" i="4" s="1"/>
  <c r="L704" i="4"/>
  <c r="M704" i="4" s="1"/>
  <c r="L349" i="4"/>
  <c r="M349" i="4" s="1"/>
  <c r="L140" i="4"/>
  <c r="M140" i="4" s="1"/>
  <c r="L3" i="4"/>
  <c r="M3" i="4" s="1"/>
  <c r="L844" i="4"/>
  <c r="M844" i="4" s="1"/>
  <c r="L280" i="4"/>
  <c r="M280" i="4" s="1"/>
  <c r="L573" i="4"/>
  <c r="M573" i="4" s="1"/>
  <c r="L612" i="4"/>
  <c r="M612" i="4" s="1"/>
  <c r="L309" i="4"/>
  <c r="M309" i="4" s="1"/>
  <c r="L523" i="4"/>
  <c r="M523" i="4" s="1"/>
  <c r="L266" i="4"/>
  <c r="M266" i="4" s="1"/>
  <c r="L698" i="4"/>
  <c r="M698" i="4" s="1"/>
  <c r="L145" i="4"/>
  <c r="M145" i="4" s="1"/>
  <c r="L926" i="4"/>
  <c r="M926" i="4" s="1"/>
  <c r="L68" i="4"/>
  <c r="M68" i="4" s="1"/>
  <c r="L353" i="4"/>
  <c r="M353" i="4" s="1"/>
  <c r="L377" i="4"/>
  <c r="M377" i="4" s="1"/>
  <c r="L490" i="4"/>
  <c r="M490" i="4" s="1"/>
  <c r="L858" i="4"/>
  <c r="M858" i="4" s="1"/>
  <c r="L877" i="4"/>
  <c r="M877" i="4" s="1"/>
  <c r="L376" i="4"/>
  <c r="M376" i="4" s="1"/>
  <c r="L96" i="4"/>
  <c r="M96" i="4" s="1"/>
  <c r="L18" i="4"/>
  <c r="M18" i="4" s="1"/>
  <c r="L867" i="4"/>
  <c r="M867" i="4" s="1"/>
  <c r="L874" i="4"/>
  <c r="M874" i="4" s="1"/>
  <c r="L762" i="4"/>
  <c r="M762" i="4" s="1"/>
  <c r="L843" i="4"/>
  <c r="M843" i="4" s="1"/>
  <c r="L262" i="4"/>
  <c r="M262" i="4" s="1"/>
  <c r="L163" i="4"/>
  <c r="M163" i="4" s="1"/>
  <c r="L270" i="4"/>
  <c r="M270" i="4" s="1"/>
  <c r="L53" i="4"/>
  <c r="M53" i="4" s="1"/>
  <c r="L677" i="4"/>
  <c r="M677" i="4" s="1"/>
  <c r="L425" i="4"/>
  <c r="M425" i="4" s="1"/>
  <c r="L647" i="4"/>
  <c r="M647" i="4" s="1"/>
  <c r="L454" i="4"/>
  <c r="M454" i="4" s="1"/>
  <c r="L619" i="4"/>
  <c r="M619" i="4" s="1"/>
  <c r="L618" i="4"/>
  <c r="M618" i="4" s="1"/>
  <c r="L187" i="4"/>
  <c r="M187" i="4" s="1"/>
  <c r="L416" i="4"/>
  <c r="M416" i="4" s="1"/>
  <c r="L267" i="4"/>
  <c r="M267" i="4" s="1"/>
  <c r="L692" i="4"/>
  <c r="M692" i="4" s="1"/>
  <c r="L393" i="4"/>
  <c r="M393" i="4" s="1"/>
  <c r="L81" i="4"/>
  <c r="M81" i="4" s="1"/>
  <c r="L996" i="4"/>
  <c r="M996" i="4" s="1"/>
  <c r="L209" i="4"/>
  <c r="M209" i="4" s="1"/>
  <c r="L518" i="4"/>
  <c r="M518" i="4" s="1"/>
  <c r="L290" i="4"/>
  <c r="M290" i="4" s="1"/>
  <c r="L269" i="4"/>
  <c r="M269" i="4" s="1"/>
  <c r="L709" i="4"/>
  <c r="M709" i="4" s="1"/>
  <c r="L737" i="4"/>
  <c r="M737" i="4" s="1"/>
  <c r="L147" i="4"/>
  <c r="M147" i="4" s="1"/>
  <c r="L259" i="4"/>
  <c r="M259" i="4" s="1"/>
  <c r="L379" i="4"/>
  <c r="M379" i="4" s="1"/>
  <c r="L726" i="4"/>
  <c r="M726" i="4" s="1"/>
  <c r="L33" i="4"/>
  <c r="M33" i="4" s="1"/>
  <c r="L605" i="4"/>
  <c r="M605" i="4" s="1"/>
  <c r="L216" i="4"/>
  <c r="M216" i="4" s="1"/>
  <c r="L949" i="4"/>
  <c r="M949" i="4" s="1"/>
  <c r="L838" i="4"/>
  <c r="M838" i="4" s="1"/>
  <c r="L672" i="4"/>
  <c r="M672" i="4" s="1"/>
  <c r="L422" i="4"/>
  <c r="M422" i="4" s="1"/>
  <c r="L428" i="4"/>
  <c r="M428" i="4" s="1"/>
  <c r="L711" i="4"/>
  <c r="M711" i="4" s="1"/>
  <c r="L856" i="4"/>
  <c r="M856" i="4" s="1"/>
  <c r="L122" i="4"/>
  <c r="M122" i="4" s="1"/>
  <c r="L878" i="4"/>
  <c r="M878" i="4" s="1"/>
  <c r="L195" i="4"/>
  <c r="M195" i="4" s="1"/>
  <c r="L321" i="4"/>
  <c r="M321" i="4" s="1"/>
  <c r="L594" i="4"/>
  <c r="M594" i="4" s="1"/>
  <c r="L241" i="4"/>
  <c r="M241" i="4" s="1"/>
  <c r="L188" i="4"/>
  <c r="M188" i="4" s="1"/>
  <c r="L19" i="4"/>
  <c r="M19" i="4" s="1"/>
  <c r="L445" i="4"/>
  <c r="M445" i="4" s="1"/>
  <c r="L608" i="4"/>
  <c r="M608" i="4" s="1"/>
  <c r="L179" i="4"/>
  <c r="M179" i="4" s="1"/>
  <c r="L153" i="4"/>
  <c r="M153" i="4" s="1"/>
  <c r="L14" i="4"/>
  <c r="M14" i="4" s="1"/>
  <c r="L261" i="4"/>
  <c r="M261" i="4" s="1"/>
  <c r="L202" i="4"/>
  <c r="M202" i="4" s="1"/>
  <c r="L155" i="4"/>
  <c r="M155" i="4" s="1"/>
  <c r="L738" i="4"/>
  <c r="M738" i="4" s="1"/>
  <c r="L797" i="4"/>
  <c r="M797" i="4" s="1"/>
  <c r="L112" i="4"/>
  <c r="M112" i="4" s="1"/>
  <c r="L13" i="4"/>
  <c r="M13" i="4" s="1"/>
  <c r="L718" i="4"/>
  <c r="M718" i="4" s="1"/>
  <c r="L10" i="4"/>
  <c r="M10" i="4" s="1"/>
  <c r="L839" i="4"/>
  <c r="M839" i="4" s="1"/>
  <c r="L748" i="4"/>
  <c r="M748" i="4" s="1"/>
  <c r="L449" i="4"/>
  <c r="M449" i="4" s="1"/>
  <c r="L392" i="4"/>
  <c r="M392" i="4" s="1"/>
  <c r="L95" i="4"/>
  <c r="M95" i="4" s="1"/>
  <c r="L715" i="4"/>
  <c r="M715" i="4" s="1"/>
  <c r="L710" i="4"/>
  <c r="M710" i="4" s="1"/>
  <c r="L973" i="4"/>
  <c r="M973" i="4" s="1"/>
  <c r="L359" i="4"/>
  <c r="M359" i="4" s="1"/>
  <c r="L364" i="4"/>
  <c r="M364" i="4" s="1"/>
  <c r="L484" i="4"/>
  <c r="M484" i="4" s="1"/>
  <c r="L20" i="4"/>
  <c r="M20" i="4" s="1"/>
  <c r="L37" i="4"/>
  <c r="M37" i="4" s="1"/>
  <c r="L814" i="4"/>
  <c r="M814" i="4" s="1"/>
  <c r="L255" i="4"/>
  <c r="M255" i="4" s="1"/>
  <c r="L246" i="4"/>
  <c r="M246" i="4" s="1"/>
  <c r="L840" i="4"/>
  <c r="M840" i="4" s="1"/>
  <c r="L192" i="4"/>
  <c r="M192" i="4" s="1"/>
  <c r="L836" i="4"/>
  <c r="M836" i="4" s="1"/>
  <c r="L650" i="4"/>
  <c r="M650" i="4" s="1"/>
  <c r="L475" i="4"/>
  <c r="M475" i="4" s="1"/>
  <c r="L848" i="4"/>
  <c r="M848" i="4" s="1"/>
  <c r="L809" i="4"/>
  <c r="M809" i="4" s="1"/>
  <c r="L237" i="4"/>
  <c r="M237" i="4" s="1"/>
  <c r="L897" i="4"/>
  <c r="M897" i="4" s="1"/>
  <c r="L215" i="4"/>
  <c r="M215" i="4" s="1"/>
  <c r="L690" i="4"/>
  <c r="M690" i="4" s="1"/>
  <c r="L403" i="4"/>
  <c r="M403" i="4" s="1"/>
  <c r="L478" i="4"/>
  <c r="M478" i="4" s="1"/>
  <c r="L314" i="4"/>
  <c r="M314" i="4" s="1"/>
  <c r="L766" i="4"/>
  <c r="M766" i="4" s="1"/>
  <c r="L245" i="4"/>
  <c r="M245" i="4" s="1"/>
  <c r="L52" i="4"/>
  <c r="M52" i="4" s="1"/>
  <c r="L49" i="4"/>
  <c r="M49" i="4" s="1"/>
  <c r="L666" i="4"/>
  <c r="M666" i="4" s="1"/>
  <c r="L927" i="4"/>
  <c r="M927" i="4" s="1"/>
  <c r="L984" i="4"/>
  <c r="M984" i="4" s="1"/>
  <c r="L721" i="4"/>
  <c r="M721" i="4" s="1"/>
  <c r="L948" i="4"/>
  <c r="M948" i="4" s="1"/>
  <c r="L842" i="4"/>
  <c r="M842" i="4" s="1"/>
  <c r="L108" i="4"/>
  <c r="M108" i="4" s="1"/>
  <c r="L336" i="4"/>
  <c r="M336" i="4" s="1"/>
  <c r="L77" i="4"/>
  <c r="M77" i="4" s="1"/>
  <c r="L693" i="4"/>
  <c r="M693" i="4" s="1"/>
  <c r="L244" i="4"/>
  <c r="M244" i="4" s="1"/>
  <c r="L611" i="4"/>
  <c r="M611" i="4" s="1"/>
  <c r="L60" i="4"/>
  <c r="M60" i="4" s="1"/>
  <c r="L731" i="4"/>
  <c r="M731" i="4" s="1"/>
  <c r="L930" i="4"/>
  <c r="M930" i="4" s="1"/>
  <c r="L235" i="4"/>
  <c r="M235" i="4" s="1"/>
  <c r="L360" i="4"/>
  <c r="M360" i="4" s="1"/>
  <c r="L826" i="4"/>
  <c r="M826" i="4" s="1"/>
  <c r="L250" i="4"/>
  <c r="M250" i="4" s="1"/>
  <c r="L572" i="4"/>
  <c r="M572" i="4" s="1"/>
  <c r="L328" i="4"/>
  <c r="M328" i="4" s="1"/>
  <c r="L632" i="4"/>
  <c r="M632" i="4" s="1"/>
  <c r="L194" i="4"/>
  <c r="M194" i="4" s="1"/>
  <c r="L307" i="4"/>
  <c r="M307" i="4" s="1"/>
  <c r="L232" i="4"/>
  <c r="M232" i="4" s="1"/>
  <c r="L124" i="4"/>
  <c r="M124" i="4" s="1"/>
  <c r="L740" i="4"/>
  <c r="M740" i="4" s="1"/>
  <c r="L282" i="4"/>
  <c r="M282" i="4" s="1"/>
  <c r="L203" i="4"/>
  <c r="M203" i="4" s="1"/>
  <c r="L342" i="4"/>
  <c r="M342" i="4" s="1"/>
  <c r="L276" i="4"/>
  <c r="M276" i="4" s="1"/>
  <c r="L873" i="4"/>
  <c r="M873" i="4" s="1"/>
  <c r="L110" i="4"/>
  <c r="M110" i="4" s="1"/>
  <c r="L924" i="4"/>
  <c r="M924" i="4" s="1"/>
  <c r="L211" i="4"/>
  <c r="M211" i="4" s="1"/>
  <c r="L630" i="4"/>
  <c r="M630" i="4" s="1"/>
  <c r="L174" i="4"/>
  <c r="M174" i="4" s="1"/>
  <c r="L43" i="4"/>
  <c r="M43" i="4" s="1"/>
  <c r="L57" i="4"/>
  <c r="M57" i="4" s="1"/>
  <c r="L330" i="4"/>
  <c r="M330" i="4" s="1"/>
  <c r="L491" i="4"/>
  <c r="M491" i="4" s="1"/>
  <c r="L661" i="4"/>
  <c r="M661" i="4" s="1"/>
  <c r="L407" i="4"/>
  <c r="M407" i="4" s="1"/>
  <c r="L623" i="4"/>
  <c r="M623" i="4" s="1"/>
  <c r="L980" i="4"/>
  <c r="M980" i="4" s="1"/>
  <c r="L727" i="4"/>
  <c r="M727" i="4" s="1"/>
  <c r="L750" i="4"/>
  <c r="M750" i="4" s="1"/>
  <c r="L327" i="4"/>
  <c r="M327" i="4" s="1"/>
  <c r="L951" i="4"/>
  <c r="M951" i="4" s="1"/>
  <c r="L785" i="4"/>
  <c r="M785" i="4" s="1"/>
  <c r="L178" i="4"/>
  <c r="M178" i="4" s="1"/>
  <c r="L991" i="4"/>
  <c r="M991" i="4" s="1"/>
  <c r="L467" i="4"/>
  <c r="M467" i="4" s="1"/>
  <c r="L93" i="4"/>
  <c r="M93" i="4" s="1"/>
  <c r="L132" i="4"/>
  <c r="M132" i="4" s="1"/>
  <c r="L616" i="4"/>
  <c r="M616" i="4" s="1"/>
  <c r="L833" i="4"/>
  <c r="M833" i="4" s="1"/>
  <c r="L531" i="4"/>
  <c r="M531" i="4" s="1"/>
  <c r="L73" i="4"/>
  <c r="M73" i="4" s="1"/>
  <c r="L620" i="4"/>
  <c r="M620" i="4" s="1"/>
  <c r="L185" i="4"/>
  <c r="M185" i="4" s="1"/>
  <c r="L433" i="4"/>
  <c r="M433" i="4" s="1"/>
  <c r="L512" i="4"/>
  <c r="M512" i="4" s="1"/>
  <c r="L90" i="4"/>
  <c r="M90" i="4" s="1"/>
  <c r="L257" i="4"/>
  <c r="M257" i="4" s="1"/>
  <c r="L284" i="4"/>
  <c r="M284" i="4" s="1"/>
  <c r="L78" i="4"/>
  <c r="M78" i="4" s="1"/>
  <c r="L789" i="4"/>
  <c r="M789" i="4" s="1"/>
  <c r="L520" i="4"/>
  <c r="M520" i="4" s="1"/>
  <c r="L410" i="4"/>
  <c r="M410" i="4" s="1"/>
  <c r="L448" i="4"/>
  <c r="M448" i="4" s="1"/>
  <c r="L553" i="4"/>
  <c r="M553" i="4" s="1"/>
  <c r="L210" i="4"/>
  <c r="M210" i="4" s="1"/>
  <c r="L41" i="4"/>
  <c r="M41" i="4" s="1"/>
  <c r="L200" i="4"/>
  <c r="M200" i="4" s="1"/>
  <c r="L421" i="4"/>
  <c r="M421" i="4" s="1"/>
  <c r="L965" i="4"/>
  <c r="M965" i="4" s="1"/>
  <c r="L283" i="4"/>
  <c r="M283" i="4" s="1"/>
  <c r="L82" i="4"/>
  <c r="M82" i="4" s="1"/>
  <c r="L945" i="4"/>
  <c r="M945" i="4" s="1"/>
  <c r="L590" i="4"/>
  <c r="M590" i="4" s="1"/>
  <c r="L126" i="4"/>
  <c r="M126" i="4" s="1"/>
  <c r="L1002" i="4"/>
  <c r="M1002" i="4" s="1"/>
  <c r="L384" i="4"/>
  <c r="M384" i="4" s="1"/>
  <c r="L803" i="4"/>
  <c r="M803" i="4" s="1"/>
  <c r="L761" i="4"/>
  <c r="M761" i="4" s="1"/>
  <c r="L150" i="4"/>
  <c r="M150" i="4" s="1"/>
  <c r="L22" i="4"/>
  <c r="M22" i="4" s="1"/>
  <c r="L749" i="4"/>
  <c r="M749" i="4" s="1"/>
  <c r="L736" i="4"/>
  <c r="M736" i="4" s="1"/>
  <c r="L793" i="4"/>
  <c r="M793" i="4" s="1"/>
  <c r="L825" i="4"/>
  <c r="M825" i="4" s="1"/>
  <c r="L471" i="4"/>
  <c r="M471" i="4" s="1"/>
  <c r="L562" i="4"/>
  <c r="M562" i="4" s="1"/>
  <c r="L71" i="4"/>
  <c r="M71" i="4" s="1"/>
  <c r="L9" i="4"/>
  <c r="M9" i="4" s="1"/>
  <c r="L133" i="4"/>
  <c r="M133" i="4" s="1"/>
  <c r="L158" i="4"/>
  <c r="M158" i="4" s="1"/>
  <c r="L221" i="4"/>
  <c r="M221" i="4" s="1"/>
  <c r="L323" i="4"/>
  <c r="M323" i="4" s="1"/>
  <c r="L694" i="4"/>
  <c r="M694" i="4" s="1"/>
  <c r="L675" i="4"/>
  <c r="M675" i="4" s="1"/>
  <c r="L777" i="4"/>
  <c r="M777" i="4" s="1"/>
  <c r="L197" i="4"/>
  <c r="M197" i="4" s="1"/>
  <c r="L464" i="4"/>
  <c r="M464" i="4" s="1"/>
  <c r="L115" i="4"/>
  <c r="M115" i="4" s="1"/>
  <c r="L841" i="4"/>
  <c r="M841" i="4" s="1"/>
  <c r="L193" i="4"/>
  <c r="M193" i="4" s="1"/>
  <c r="L175" i="4"/>
  <c r="M175" i="4" s="1"/>
  <c r="L760" i="4"/>
  <c r="M760" i="4" s="1"/>
  <c r="L697" i="4"/>
  <c r="M697" i="4" s="1"/>
  <c r="L338" i="4"/>
  <c r="M338" i="4" s="1"/>
  <c r="L956" i="4"/>
  <c r="M956" i="4" s="1"/>
  <c r="L879" i="4"/>
  <c r="M879" i="4" s="1"/>
  <c r="L768" i="4"/>
  <c r="M768" i="4" s="1"/>
  <c r="L932" i="4"/>
  <c r="M932" i="4" s="1"/>
  <c r="L442" i="4"/>
  <c r="M442" i="4" s="1"/>
  <c r="L864" i="4"/>
  <c r="M864" i="4" s="1"/>
  <c r="L676" i="4"/>
  <c r="M676" i="4" s="1"/>
  <c r="L928" i="4"/>
  <c r="M928" i="4" s="1"/>
  <c r="L275" i="4"/>
  <c r="M275" i="4" s="1"/>
  <c r="L822" i="4"/>
  <c r="M822" i="4" s="1"/>
  <c r="L660" i="4"/>
  <c r="M660" i="4" s="1"/>
  <c r="L653" i="4"/>
  <c r="M653" i="4" s="1"/>
  <c r="L885" i="4"/>
  <c r="M885" i="4" s="1"/>
  <c r="L585" i="4"/>
  <c r="M585" i="4" s="1"/>
  <c r="L936" i="4"/>
  <c r="M936" i="4" s="1"/>
  <c r="L615" i="4"/>
  <c r="M615" i="4" s="1"/>
  <c r="L117" i="4"/>
  <c r="M117" i="4" s="1"/>
  <c r="L394" i="4"/>
  <c r="M394" i="4" s="1"/>
  <c r="L303" i="4"/>
  <c r="M303" i="4" s="1"/>
  <c r="L890" i="4"/>
  <c r="M890" i="4" s="1"/>
  <c r="L370" i="4"/>
  <c r="M370" i="4" s="1"/>
  <c r="L258" i="4"/>
  <c r="M258" i="4" s="1"/>
  <c r="L835" i="4"/>
  <c r="M835" i="4" s="1"/>
  <c r="L923" i="4"/>
  <c r="M923" i="4" s="1"/>
  <c r="L509" i="4"/>
  <c r="M509" i="4" s="1"/>
  <c r="L488" i="4"/>
  <c r="M488" i="4" s="1"/>
  <c r="L649" i="4"/>
  <c r="M649" i="4" s="1"/>
  <c r="L800" i="4"/>
  <c r="M800" i="4" s="1"/>
  <c r="L325" i="4"/>
  <c r="M325" i="4" s="1"/>
  <c r="L723" i="4"/>
  <c r="M723" i="4" s="1"/>
  <c r="L769" i="4"/>
  <c r="M769" i="4" s="1"/>
  <c r="L944" i="4"/>
  <c r="M944" i="4" s="1"/>
  <c r="L807" i="4"/>
  <c r="M807" i="4" s="1"/>
  <c r="L732" i="4"/>
  <c r="M732" i="4" s="1"/>
  <c r="L975" i="4"/>
  <c r="M975" i="4" s="1"/>
  <c r="L302" i="4"/>
  <c r="M302" i="4" s="1"/>
  <c r="L889" i="4"/>
  <c r="M889" i="4" s="1"/>
  <c r="L898" i="4"/>
  <c r="M898" i="4" s="1"/>
  <c r="L972" i="4"/>
  <c r="M972" i="4" s="1"/>
  <c r="L642" i="4"/>
  <c r="M642" i="4" s="1"/>
  <c r="L74" i="4"/>
  <c r="M74" i="4" s="1"/>
  <c r="L601" i="4"/>
  <c r="M601" i="4" s="1"/>
  <c r="L784" i="4"/>
  <c r="M784" i="4" s="1"/>
  <c r="L335" i="4"/>
  <c r="M335" i="4" s="1"/>
  <c r="L204" i="4"/>
  <c r="M204" i="4" s="1"/>
  <c r="L398" i="4"/>
  <c r="M398" i="4" s="1"/>
  <c r="L773" i="4"/>
  <c r="M773" i="4" s="1"/>
  <c r="L781" i="4"/>
  <c r="M781" i="4" s="1"/>
  <c r="L424" i="4"/>
  <c r="M424" i="4" s="1"/>
  <c r="L917" i="4"/>
  <c r="M917" i="4" s="1"/>
  <c r="L658" i="4"/>
  <c r="M658" i="4" s="1"/>
  <c r="L172" i="4"/>
  <c r="M172" i="4" s="1"/>
  <c r="L806" i="4"/>
  <c r="M806" i="4" s="1"/>
  <c r="L222" i="4"/>
  <c r="M222" i="4" s="1"/>
  <c r="L25" i="4"/>
  <c r="M25" i="4" s="1"/>
  <c r="L670" i="4"/>
  <c r="M670" i="4" s="1"/>
  <c r="L165" i="4"/>
  <c r="M165" i="4" s="1"/>
  <c r="L674" i="4"/>
  <c r="M674" i="4" s="1"/>
  <c r="L217" i="4"/>
  <c r="M217" i="4" s="1"/>
  <c r="L242" i="4"/>
  <c r="M242" i="4" s="1"/>
  <c r="L339" i="4"/>
  <c r="M339" i="4" s="1"/>
  <c r="L686" i="4"/>
  <c r="M686" i="4" s="1"/>
  <c r="L881" i="4"/>
  <c r="M881" i="4" s="1"/>
  <c r="L160" i="4"/>
  <c r="M160" i="4" s="1"/>
  <c r="L31" i="4"/>
  <c r="M31" i="4" s="1"/>
  <c r="L317" i="4"/>
  <c r="M317" i="4" s="1"/>
  <c r="L387" i="4"/>
  <c r="M387" i="4" s="1"/>
  <c r="L371" i="4"/>
  <c r="M371" i="4" s="1"/>
  <c r="L886" i="4"/>
  <c r="M886" i="4" s="1"/>
  <c r="L876" i="4"/>
  <c r="M876" i="4" s="1"/>
  <c r="L561" i="4"/>
  <c r="M561" i="4" s="1"/>
  <c r="L415" i="4"/>
  <c r="M415" i="4" s="1"/>
  <c r="L869" i="4"/>
  <c r="M869" i="4" s="1"/>
  <c r="L474" i="4"/>
  <c r="M474" i="4" s="1"/>
  <c r="L386" i="4"/>
  <c r="M386" i="4" s="1"/>
  <c r="L622" i="4"/>
  <c r="M622" i="4" s="1"/>
  <c r="L119" i="4"/>
  <c r="M119" i="4" s="1"/>
  <c r="L593" i="4"/>
  <c r="M593" i="4" s="1"/>
  <c r="L745" i="4"/>
  <c r="M745" i="4" s="1"/>
  <c r="L116" i="4"/>
  <c r="M116" i="4" s="1"/>
  <c r="L764" i="4"/>
  <c r="M764" i="4" s="1"/>
  <c r="L957" i="4"/>
  <c r="M957" i="4" s="1"/>
  <c r="L499" i="4"/>
  <c r="M499" i="4" s="1"/>
  <c r="L248" i="4"/>
  <c r="M248" i="4" s="1"/>
  <c r="L496" i="4"/>
  <c r="M496" i="4" s="1"/>
  <c r="L646" i="4"/>
  <c r="M646" i="4" s="1"/>
  <c r="L895" i="4"/>
  <c r="M895" i="4" s="1"/>
  <c r="L432" i="4"/>
  <c r="M432" i="4" s="1"/>
  <c r="L510" i="4"/>
  <c r="M510" i="4" s="1"/>
  <c r="L671" i="4"/>
  <c r="M671" i="4" s="1"/>
  <c r="L985" i="4"/>
  <c r="M985" i="4" s="1"/>
  <c r="L294" i="4"/>
  <c r="M294" i="4" s="1"/>
  <c r="L225" i="4"/>
  <c r="M225" i="4" s="1"/>
  <c r="L602" i="4"/>
  <c r="M602" i="4" s="1"/>
  <c r="L375" i="4"/>
  <c r="M375" i="4" s="1"/>
  <c r="L406" i="4"/>
  <c r="M406" i="4" s="1"/>
  <c r="L107" i="4"/>
  <c r="M107" i="4" s="1"/>
  <c r="L395" i="4"/>
  <c r="M395" i="4" s="1"/>
  <c r="L559" i="4"/>
  <c r="M559" i="4" s="1"/>
  <c r="L821" i="4"/>
  <c r="M821" i="4" s="1"/>
  <c r="L918" i="4"/>
  <c r="M918" i="4" s="1"/>
  <c r="L778" i="4"/>
  <c r="M778" i="4" s="1"/>
  <c r="L341" i="4"/>
  <c r="M341" i="4" s="1"/>
  <c r="L466" i="4"/>
  <c r="M466" i="4" s="1"/>
  <c r="L130" i="4"/>
  <c r="M130" i="4" s="1"/>
  <c r="L904" i="4"/>
  <c r="M904" i="4" s="1"/>
  <c r="L167" i="4"/>
  <c r="M167" i="4" s="1"/>
  <c r="L186" i="4"/>
  <c r="M186" i="4" s="1"/>
  <c r="L272" i="4"/>
  <c r="M272" i="4" s="1"/>
  <c r="L565" i="4"/>
  <c r="M565" i="4" s="1"/>
  <c r="L279" i="4"/>
  <c r="M279" i="4" s="1"/>
  <c r="L11" i="4"/>
  <c r="M11" i="4" s="1"/>
  <c r="L233" i="4"/>
  <c r="M233" i="4" s="1"/>
  <c r="L819" i="4"/>
  <c r="M819" i="4" s="1"/>
  <c r="L639" i="4"/>
  <c r="M639" i="4" s="1"/>
  <c r="L493" i="4"/>
  <c r="M493" i="4" s="1"/>
  <c r="L40" i="4"/>
  <c r="M40" i="4" s="1"/>
  <c r="L643" i="4"/>
  <c r="M643" i="4" s="1"/>
  <c r="L641" i="4"/>
  <c r="M641" i="4" s="1"/>
  <c r="L260" i="4"/>
  <c r="M260" i="4" s="1"/>
  <c r="L882" i="4"/>
  <c r="M882" i="4" s="1"/>
  <c r="L212" i="4"/>
  <c r="M212" i="4" s="1"/>
  <c r="L974" i="4"/>
  <c r="M974" i="4" s="1"/>
  <c r="L105" i="4"/>
  <c r="M105" i="4" s="1"/>
  <c r="L213" i="4"/>
  <c r="M213" i="4" s="1"/>
  <c r="L574" i="4"/>
  <c r="M574" i="4" s="1"/>
  <c r="L808" i="4"/>
  <c r="M808" i="4" s="1"/>
  <c r="L986" i="4"/>
  <c r="M986" i="4" s="1"/>
  <c r="L654" i="4"/>
  <c r="M654" i="4" s="1"/>
  <c r="L935" i="4"/>
  <c r="M935" i="4" s="1"/>
  <c r="L733" i="4"/>
  <c r="M733" i="4" s="1"/>
  <c r="L316" i="4"/>
  <c r="M316" i="4" s="1"/>
  <c r="L391" i="4"/>
  <c r="M391" i="4" s="1"/>
  <c r="L129" i="4"/>
  <c r="M129" i="4" s="1"/>
  <c r="L699" i="4"/>
  <c r="M699" i="4" s="1"/>
  <c r="L344" i="4"/>
  <c r="M344" i="4" s="1"/>
  <c r="L946" i="4"/>
  <c r="M946" i="4" s="1"/>
  <c r="L530" i="4"/>
  <c r="M530" i="4" s="1"/>
  <c r="L118" i="4"/>
  <c r="M118" i="4" s="1"/>
  <c r="L853" i="4"/>
  <c r="M853" i="4" s="1"/>
  <c r="L36" i="4"/>
  <c r="M36" i="4" s="1"/>
  <c r="L292" i="4"/>
  <c r="M292" i="4" s="1"/>
  <c r="L716" i="4"/>
  <c r="M716" i="4" s="1"/>
  <c r="L55" i="4"/>
  <c r="M55" i="4" s="1"/>
  <c r="L511" i="4"/>
  <c r="M511" i="4" s="1"/>
  <c r="L525" i="4"/>
  <c r="M525" i="4" s="1"/>
  <c r="L976" i="4"/>
  <c r="M976" i="4" s="1"/>
  <c r="L462" i="4"/>
  <c r="M462" i="4" s="1"/>
  <c r="L198" i="4"/>
  <c r="M198" i="4" s="1"/>
  <c r="L597" i="4"/>
  <c r="M597" i="4" s="1"/>
  <c r="L855" i="4"/>
  <c r="M855" i="4" s="1"/>
  <c r="L89" i="4"/>
  <c r="M89" i="4" s="1"/>
  <c r="L166" i="4"/>
  <c r="M166" i="4" s="1"/>
  <c r="L373" i="4"/>
  <c r="M373" i="4" s="1"/>
  <c r="L952" i="4"/>
  <c r="M952" i="4" s="1"/>
  <c r="L319" i="4"/>
  <c r="M319" i="4" s="1"/>
  <c r="L170" i="4"/>
  <c r="M170" i="4" s="1"/>
  <c r="L27" i="4"/>
  <c r="M27" i="4" s="1"/>
  <c r="L810" i="4"/>
  <c r="M810" i="4" s="1"/>
  <c r="L87" i="4"/>
  <c r="M87" i="4" s="1"/>
  <c r="L443" i="4"/>
  <c r="M443" i="4" s="1"/>
  <c r="L914" i="4"/>
  <c r="M914" i="4" s="1"/>
  <c r="L58" i="4"/>
  <c r="M58" i="4" s="1"/>
  <c r="L992" i="4"/>
  <c r="M992" i="4" s="1"/>
  <c r="L357" i="4"/>
  <c r="M357" i="4" s="1"/>
  <c r="L238" i="4"/>
  <c r="M238" i="4" s="1"/>
  <c r="L481" i="4"/>
  <c r="M481" i="4" s="1"/>
  <c r="L494" i="4"/>
  <c r="M494" i="4" s="1"/>
  <c r="L32" i="4"/>
  <c r="M32" i="4" s="1"/>
  <c r="L220" i="4"/>
  <c r="M220" i="4" s="1"/>
  <c r="L994" i="4"/>
  <c r="M994" i="4" s="1"/>
  <c r="L226" i="4"/>
  <c r="M226" i="4" s="1"/>
  <c r="L44" i="4"/>
  <c r="M44" i="4" s="1"/>
  <c r="L123" i="4"/>
  <c r="M123" i="4" s="1"/>
  <c r="L995" i="4"/>
  <c r="M995" i="4" s="1"/>
  <c r="L396" i="4"/>
  <c r="M396" i="4" s="1"/>
  <c r="L939" i="4"/>
  <c r="M939" i="4" s="1"/>
  <c r="L609" i="4"/>
  <c r="M609" i="4" s="1"/>
  <c r="L83" i="4"/>
  <c r="M83" i="4" s="1"/>
  <c r="L681" i="4"/>
  <c r="M681" i="4" s="1"/>
  <c r="L312" i="4"/>
  <c r="M312" i="4" s="1"/>
  <c r="L143" i="4"/>
  <c r="M143" i="4" s="1"/>
  <c r="L903" i="4"/>
  <c r="M903" i="4" s="1"/>
  <c r="L138" i="4"/>
  <c r="M138" i="4" s="1"/>
  <c r="L798" i="4"/>
  <c r="M798" i="4" s="1"/>
  <c r="L815" i="4"/>
  <c r="M815" i="4" s="1"/>
  <c r="L730" i="4"/>
  <c r="M730" i="4" s="1"/>
  <c r="L627" i="4"/>
  <c r="M627" i="4" s="1"/>
  <c r="L29" i="4"/>
  <c r="M29" i="4" s="1"/>
  <c r="L570" i="4"/>
  <c r="M570" i="4" s="1"/>
  <c r="L832" i="4"/>
  <c r="M832" i="4" s="1"/>
  <c r="L199" i="4"/>
  <c r="M199" i="4" s="1"/>
  <c r="L966" i="4"/>
  <c r="M966" i="4" s="1"/>
  <c r="L805" i="4"/>
  <c r="M805" i="4" s="1"/>
  <c r="L414" i="4"/>
  <c r="M414" i="4" s="1"/>
  <c r="L329" i="4"/>
  <c r="M329" i="4" s="1"/>
  <c r="L519" i="4"/>
  <c r="M519" i="4" s="1"/>
  <c r="L706" i="4"/>
  <c r="M706" i="4" s="1"/>
  <c r="L100" i="4"/>
  <c r="M100" i="4" s="1"/>
  <c r="L180" i="4"/>
  <c r="M180" i="4" s="1"/>
  <c r="L332" i="4"/>
  <c r="M332" i="4" s="1"/>
  <c r="L735" i="4"/>
  <c r="M735" i="4" s="1"/>
  <c r="L938" i="4"/>
  <c r="M938" i="4" s="1"/>
  <c r="L42" i="4"/>
  <c r="M42" i="4" s="1"/>
  <c r="L696" i="4"/>
  <c r="M696" i="4" s="1"/>
  <c r="L628" i="4"/>
  <c r="M628" i="4" s="1"/>
  <c r="L459" i="4"/>
  <c r="M459" i="4" s="1"/>
  <c r="L295" i="4"/>
  <c r="M295" i="4" s="1"/>
  <c r="L340" i="4"/>
  <c r="M340" i="4" s="1"/>
  <c r="L104" i="4"/>
  <c r="M104" i="4" s="1"/>
  <c r="L534" i="4"/>
  <c r="M534" i="4" s="1"/>
  <c r="L190" i="4"/>
  <c r="M190" i="4" s="1"/>
  <c r="L345" i="4"/>
  <c r="M345" i="4" s="1"/>
  <c r="L389" i="4"/>
  <c r="M389" i="4" s="1"/>
  <c r="L438" i="4"/>
  <c r="M438" i="4" s="1"/>
  <c r="L67" i="4"/>
  <c r="M67" i="4" s="1"/>
  <c r="L154" i="4"/>
  <c r="M154" i="4" s="1"/>
  <c r="L541" i="4"/>
  <c r="M541" i="4" s="1"/>
  <c r="L508" i="4"/>
  <c r="M508" i="4" s="1"/>
  <c r="L173" i="4"/>
  <c r="M173" i="4" s="1"/>
  <c r="L388" i="4"/>
  <c r="M388" i="4" s="1"/>
  <c r="L579" i="4"/>
  <c r="M579" i="4" s="1"/>
  <c r="L368" i="4"/>
  <c r="M368" i="4" s="1"/>
  <c r="L30" i="4"/>
  <c r="M30" i="4" s="1"/>
  <c r="L603" i="4"/>
  <c r="M603" i="4" s="1"/>
  <c r="L958" i="4"/>
  <c r="M958" i="4" s="1"/>
  <c r="L191" i="4"/>
  <c r="M191" i="4" s="1"/>
  <c r="L470" i="4"/>
  <c r="M470" i="4" s="1"/>
  <c r="L135" i="4"/>
  <c r="M135" i="4" s="1"/>
  <c r="L947" i="4"/>
  <c r="M947" i="4" s="1"/>
  <c r="L405" i="4"/>
  <c r="M405" i="4" s="1"/>
  <c r="L854" i="4"/>
  <c r="M854" i="4" s="1"/>
  <c r="L458" i="4"/>
  <c r="M458" i="4" s="1"/>
  <c r="L771" i="4"/>
  <c r="M771" i="4" s="1"/>
  <c r="L297" i="4"/>
  <c r="M297" i="4" s="1"/>
  <c r="L182" i="4"/>
  <c r="M182" i="4" s="1"/>
  <c r="L318" i="4"/>
  <c r="M318" i="4" s="1"/>
  <c r="L801" i="4"/>
  <c r="M801" i="4" s="1"/>
  <c r="L356" i="4"/>
  <c r="M356" i="4" s="1"/>
  <c r="L397" i="4"/>
  <c r="M397" i="4" s="1"/>
  <c r="L441" i="4"/>
  <c r="M441" i="4" s="1"/>
  <c r="L38" i="4"/>
  <c r="M38" i="4" s="1"/>
  <c r="L1001" i="4"/>
  <c r="M1001" i="4" s="1"/>
  <c r="L763" i="4"/>
  <c r="M763" i="4" s="1"/>
  <c r="L555" i="4"/>
  <c r="M555" i="4" s="1"/>
  <c r="L420" i="4"/>
  <c r="M420" i="4" s="1"/>
  <c r="L136" i="4"/>
  <c r="M136" i="4" s="1"/>
  <c r="L446" i="4"/>
  <c r="M446" i="4" s="1"/>
  <c r="L989" i="4"/>
  <c r="M989" i="4" s="1"/>
  <c r="L91" i="4"/>
  <c r="M91" i="4" s="1"/>
  <c r="L84" i="4"/>
  <c r="M84" i="4" s="1"/>
  <c r="L183" i="4"/>
  <c r="M183" i="4" s="1"/>
  <c r="L374" i="4"/>
  <c r="M374" i="4" s="1"/>
  <c r="L583" i="4"/>
  <c r="M583" i="4" s="1"/>
  <c r="L679" i="4"/>
  <c r="M679" i="4" s="1"/>
  <c r="L417" i="4"/>
  <c r="M417" i="4" s="1"/>
  <c r="L453" i="4"/>
  <c r="M453" i="4" s="1"/>
  <c r="L437" i="4"/>
  <c r="M437" i="4" s="1"/>
  <c r="L399" i="4"/>
  <c r="M399" i="4" s="1"/>
  <c r="L286" i="4"/>
  <c r="M286" i="4" s="1"/>
  <c r="L159" i="4"/>
  <c r="M159" i="4" s="1"/>
  <c r="L524" i="4"/>
  <c r="M524" i="4" s="1"/>
  <c r="L852" i="4"/>
  <c r="M852" i="4" s="1"/>
  <c r="L584" i="4"/>
  <c r="M584" i="4" s="1"/>
  <c r="L46" i="4"/>
  <c r="M46" i="4" s="1"/>
  <c r="L287" i="4"/>
  <c r="M287" i="4" s="1"/>
  <c r="L515" i="4"/>
  <c r="M515" i="4" s="1"/>
  <c r="L65" i="4"/>
  <c r="M65" i="4" s="1"/>
  <c r="L234" i="4"/>
  <c r="M234" i="4" s="1"/>
  <c r="L461" i="4"/>
  <c r="M461" i="4" s="1"/>
  <c r="L507" i="4"/>
  <c r="M507" i="4" s="1"/>
  <c r="L765" i="4"/>
  <c r="M765" i="4" s="1"/>
  <c r="L931" i="4"/>
  <c r="M931" i="4" s="1"/>
  <c r="L526" i="4"/>
  <c r="M526" i="4" s="1"/>
  <c r="L906" i="4"/>
  <c r="M906" i="4" s="1"/>
  <c r="L367" i="4"/>
  <c r="M367" i="4" s="1"/>
  <c r="L598" i="4"/>
  <c r="M598" i="4" s="1"/>
  <c r="L301" i="4"/>
  <c r="M301" i="4" s="1"/>
  <c r="L656" i="4"/>
  <c r="M656" i="4" s="1"/>
  <c r="L352" i="4"/>
  <c r="M352" i="4" s="1"/>
  <c r="L169" i="4"/>
  <c r="M169" i="4" s="1"/>
  <c r="L227" i="4"/>
  <c r="M227" i="4" s="1"/>
  <c r="L824" i="4"/>
  <c r="M824" i="4" s="1"/>
  <c r="L281" i="4"/>
  <c r="M281" i="4" s="1"/>
  <c r="L637" i="4"/>
  <c r="M637" i="4" s="1"/>
  <c r="L702" i="4"/>
  <c r="M702" i="4" s="1"/>
  <c r="L521" i="4"/>
  <c r="M521" i="4" s="1"/>
  <c r="L982" i="4"/>
  <c r="M982" i="4" s="1"/>
  <c r="L206" i="4"/>
  <c r="M206" i="4" s="1"/>
  <c r="L875" i="4"/>
  <c r="M875" i="4" s="1"/>
  <c r="L783" i="4"/>
  <c r="M783" i="4" s="1"/>
  <c r="L497" i="4"/>
  <c r="M497" i="4" s="1"/>
  <c r="L111" i="4"/>
  <c r="M111" i="4" s="1"/>
  <c r="L591" i="4"/>
  <c r="M591" i="4" s="1"/>
  <c r="L743" i="4"/>
  <c r="M743" i="4" s="1"/>
  <c r="L673" i="4"/>
  <c r="M673" i="4" s="1"/>
  <c r="L533" i="4"/>
  <c r="M533" i="4" s="1"/>
  <c r="L176" i="4"/>
  <c r="M176" i="4" s="1"/>
  <c r="L381" i="4"/>
  <c r="M381" i="4" s="1"/>
  <c r="L929" i="4"/>
  <c r="M929" i="4" s="1"/>
  <c r="L964" i="4"/>
  <c r="M964" i="4" s="1"/>
  <c r="L184" i="4"/>
  <c r="M184" i="4" s="1"/>
  <c r="L26" i="4"/>
  <c r="M26" i="4" s="1"/>
  <c r="L501" i="4"/>
  <c r="M501" i="4" s="1"/>
  <c r="L685" i="4"/>
  <c r="M685" i="4" s="1"/>
  <c r="L247" i="4"/>
  <c r="M247" i="4" s="1"/>
  <c r="L76" i="4"/>
  <c r="M76" i="4" s="1"/>
  <c r="L543" i="4"/>
  <c r="M543" i="4" s="1"/>
  <c r="L662" i="4"/>
  <c r="M662" i="4" s="1"/>
  <c r="L550" i="4"/>
  <c r="M550" i="4" s="1"/>
  <c r="L786" i="4"/>
  <c r="M786" i="4" s="1"/>
  <c r="L968" i="4"/>
  <c r="M968" i="4" s="1"/>
  <c r="L830" i="4"/>
  <c r="M830" i="4" s="1"/>
  <c r="L790" i="4"/>
  <c r="M790" i="4" s="1"/>
  <c r="L861" i="4"/>
  <c r="M861" i="4" s="1"/>
  <c r="L701" i="4"/>
  <c r="M701" i="4" s="1"/>
  <c r="L4" i="4"/>
  <c r="M4" i="4" s="1"/>
  <c r="L361" i="4"/>
  <c r="M361" i="4" s="1"/>
  <c r="L268" i="4"/>
  <c r="M268" i="4" s="1"/>
  <c r="L128" i="4"/>
  <c r="M128" i="4" s="1"/>
  <c r="L320" i="4"/>
  <c r="M320" i="4" s="1"/>
  <c r="L899" i="4"/>
  <c r="M899" i="4" s="1"/>
  <c r="L540" i="4"/>
  <c r="M540" i="4" s="1"/>
  <c r="L70" i="4"/>
  <c r="M70" i="4" s="1"/>
  <c r="L28" i="4"/>
  <c r="M28" i="4" s="1"/>
  <c r="L580" i="4"/>
  <c r="M580" i="4" s="1"/>
  <c r="L813" i="4"/>
  <c r="M813" i="4" s="1"/>
  <c r="L48" i="4"/>
  <c r="M48" i="4" s="1"/>
  <c r="L131" i="4"/>
  <c r="M131" i="4" s="1"/>
  <c r="L990" i="4"/>
  <c r="M990" i="4" s="1"/>
  <c r="L837" i="4"/>
  <c r="M837" i="4" s="1"/>
  <c r="L513" i="4"/>
  <c r="M513" i="4" s="1"/>
  <c r="L950" i="4"/>
  <c r="M950" i="4" s="1"/>
  <c r="L103" i="4"/>
  <c r="M103" i="4" s="1"/>
  <c r="L529" i="4"/>
  <c r="M529" i="4" s="1"/>
  <c r="L755" i="4"/>
  <c r="M755" i="4" s="1"/>
  <c r="L271" i="4"/>
  <c r="M271" i="4" s="1"/>
  <c r="L219" i="4"/>
  <c r="M219" i="4" s="1"/>
  <c r="L502" i="4"/>
  <c r="M502" i="4" s="1"/>
  <c r="L450" i="4"/>
  <c r="M450" i="4" s="1"/>
  <c r="L358" i="4"/>
  <c r="M358" i="4" s="1"/>
  <c r="L88" i="4"/>
  <c r="M88" i="4" s="1"/>
  <c r="L516" i="4"/>
  <c r="M516" i="4" s="1"/>
  <c r="L588" i="4"/>
  <c r="M588" i="4" s="1"/>
  <c r="L687" i="4"/>
  <c r="M687" i="4" s="1"/>
  <c r="L758" i="4"/>
  <c r="M758" i="4" s="1"/>
  <c r="L916" i="4"/>
  <c r="M916" i="4" s="1"/>
  <c r="L849" i="4"/>
  <c r="M849" i="4" s="1"/>
  <c r="L569" i="4"/>
  <c r="M569" i="4" s="1"/>
  <c r="L229" i="4"/>
  <c r="M229" i="4" s="1"/>
  <c r="L348" i="4"/>
  <c r="M348" i="4" s="1"/>
  <c r="L24" i="4"/>
  <c r="M24" i="4" s="1"/>
  <c r="L5" i="4"/>
  <c r="M5" i="4" s="1"/>
  <c r="L621" i="4"/>
  <c r="M621" i="4" s="1"/>
  <c r="L142" i="4"/>
  <c r="M142" i="4" s="1"/>
  <c r="L846" i="4"/>
  <c r="M846" i="4" s="1"/>
  <c r="L725" i="4"/>
  <c r="M725" i="4" s="1"/>
  <c r="L326" i="4"/>
  <c r="M326" i="4" s="1"/>
  <c r="L506" i="4"/>
  <c r="M506" i="4" s="1"/>
  <c r="L742" i="4"/>
  <c r="M742" i="4" s="1"/>
  <c r="L548" i="4"/>
  <c r="M548" i="4" s="1"/>
  <c r="L887" i="4"/>
  <c r="M887" i="4" s="1"/>
  <c r="L811" i="4"/>
  <c r="M811" i="4" s="1"/>
  <c r="L311" i="4"/>
  <c r="M311" i="4" s="1"/>
  <c r="L39" i="4"/>
  <c r="M39" i="4" s="1"/>
  <c r="L695" i="4"/>
  <c r="M695" i="4" s="1"/>
  <c r="L400" i="4"/>
  <c r="M400" i="4" s="1"/>
  <c r="L925" i="4"/>
  <c r="M925" i="4" s="1"/>
  <c r="L383" i="4"/>
  <c r="M383" i="4" s="1"/>
  <c r="L430" i="4"/>
  <c r="M430" i="4" s="1"/>
  <c r="L831" i="4"/>
  <c r="M831" i="4" s="1"/>
  <c r="L566" i="4"/>
  <c r="M566" i="4" s="1"/>
  <c r="L514" i="4"/>
  <c r="M514" i="4" s="1"/>
  <c r="L322" i="4"/>
  <c r="M322" i="4" s="1"/>
  <c r="L17" i="4"/>
  <c r="M17" i="4" s="1"/>
  <c r="L451" i="4"/>
  <c r="M451" i="4" s="1"/>
  <c r="L913" i="4"/>
  <c r="M913" i="4" s="1"/>
  <c r="L479" i="4"/>
  <c r="M479" i="4" s="1"/>
  <c r="L880" i="4"/>
  <c r="M880" i="4" s="1"/>
  <c r="L955" i="4"/>
  <c r="M955" i="4" s="1"/>
  <c r="L788" i="4"/>
  <c r="M788" i="4" s="1"/>
  <c r="L205" i="4"/>
  <c r="M205" i="4" s="1"/>
  <c r="L909" i="4"/>
  <c r="M909" i="4" s="1"/>
  <c r="L12" i="4"/>
  <c r="M12" i="4" s="1"/>
  <c r="L905" i="4"/>
  <c r="M905" i="4" s="1"/>
  <c r="L411" i="4"/>
  <c r="M411" i="4" s="1"/>
  <c r="L7" i="4"/>
  <c r="M7" i="4" s="1"/>
  <c r="L164" i="4"/>
  <c r="M164" i="4" s="1"/>
  <c r="L99" i="4"/>
  <c r="M99" i="4" s="1"/>
  <c r="L586" i="4"/>
  <c r="M586" i="4" s="1"/>
  <c r="L719" i="4"/>
  <c r="M719" i="4" s="1"/>
  <c r="L315" i="4"/>
  <c r="M315" i="4" s="1"/>
  <c r="L538" i="4"/>
  <c r="M538" i="4" s="1"/>
  <c r="L816" i="4"/>
  <c r="M816" i="4" s="1"/>
  <c r="L289" i="4"/>
  <c r="M289" i="4" s="1"/>
  <c r="L596" i="4"/>
  <c r="M596" i="4" s="1"/>
  <c r="L161" i="4"/>
  <c r="M161" i="4" s="1"/>
  <c r="L228" i="4"/>
  <c r="M228" i="4" s="1"/>
  <c r="L987" i="4"/>
  <c r="M987" i="4" s="1"/>
  <c r="L134" i="4"/>
  <c r="M134" i="4" s="1"/>
  <c r="L365" i="4"/>
  <c r="M365" i="4" s="1"/>
  <c r="L780" i="4"/>
  <c r="M780" i="4" s="1"/>
  <c r="L181" i="4"/>
  <c r="M181" i="4" s="1"/>
  <c r="L239" i="4"/>
  <c r="M239" i="4" s="1"/>
  <c r="L981" i="4"/>
  <c r="M981" i="4" s="1"/>
  <c r="L834" i="4"/>
  <c r="M834" i="4" s="1"/>
  <c r="L101" i="4"/>
  <c r="M101" i="4" s="1"/>
  <c r="L505" i="4"/>
  <c r="M505" i="4" s="1"/>
  <c r="L970" i="4"/>
  <c r="M970" i="4" s="1"/>
  <c r="L408" i="4"/>
  <c r="M408" i="4" s="1"/>
  <c r="L894" i="4"/>
  <c r="M894" i="4" s="1"/>
  <c r="L549" i="4"/>
  <c r="M549" i="4" s="1"/>
  <c r="L954" i="4"/>
  <c r="M954" i="4" s="1"/>
  <c r="L919" i="4"/>
  <c r="M919" i="4" s="1"/>
  <c r="L607" i="4"/>
  <c r="M607" i="4" s="1"/>
  <c r="L265" i="4"/>
  <c r="M265" i="4" s="1"/>
  <c r="L812" i="4"/>
  <c r="M812" i="4" s="1"/>
  <c r="L857" i="4"/>
  <c r="M857" i="4" s="1"/>
  <c r="L79" i="4"/>
  <c r="M79" i="4" s="1"/>
  <c r="L351" i="4"/>
  <c r="M351" i="4" s="1"/>
  <c r="L278" i="4"/>
  <c r="M278" i="4" s="1"/>
  <c r="L961" i="4"/>
  <c r="M961" i="4" s="1"/>
  <c r="L868" i="4"/>
  <c r="M868" i="4" s="1"/>
  <c r="L988" i="4"/>
  <c r="M988" i="4" s="1"/>
  <c r="L236" i="4"/>
  <c r="M236" i="4" s="1"/>
  <c r="L746" i="4"/>
  <c r="M746" i="4" s="1"/>
  <c r="L346" i="4"/>
  <c r="M346" i="4" s="1"/>
  <c r="L901" i="4"/>
  <c r="M901" i="4" s="1"/>
  <c r="L469" i="4"/>
  <c r="M469" i="4" s="1"/>
  <c r="L51" i="4"/>
  <c r="M51" i="4" s="1"/>
  <c r="L59" i="4"/>
  <c r="M59" i="4" s="1"/>
  <c r="L708" i="4"/>
  <c r="M708" i="4" s="1"/>
  <c r="L993" i="4"/>
  <c r="M993" i="4" s="1"/>
  <c r="L252" i="4"/>
  <c r="M252" i="4" s="1"/>
  <c r="L539" i="4"/>
  <c r="M539" i="4" s="1"/>
  <c r="L640" i="4"/>
  <c r="M640" i="4" s="1"/>
  <c r="L546" i="4"/>
  <c r="M546" i="4" s="1"/>
  <c r="L522" i="4"/>
  <c r="M522" i="4" s="1"/>
  <c r="L959" i="4"/>
  <c r="M959" i="4" s="1"/>
  <c r="Q37" i="2"/>
  <c r="R37" i="2"/>
  <c r="S37" i="2"/>
  <c r="T37" i="2"/>
  <c r="U37" i="2"/>
  <c r="Q38" i="2"/>
  <c r="R38" i="2"/>
  <c r="S38" i="2"/>
  <c r="T38" i="2"/>
  <c r="U38" i="2"/>
  <c r="Q39" i="2"/>
  <c r="R39" i="2"/>
  <c r="S39" i="2"/>
  <c r="T39" i="2"/>
  <c r="U39" i="2"/>
  <c r="Q40" i="2"/>
  <c r="R40" i="2"/>
  <c r="S40" i="2"/>
  <c r="T40" i="2"/>
  <c r="U40" i="2"/>
  <c r="Q41" i="2"/>
  <c r="R41" i="2"/>
  <c r="S41" i="2"/>
  <c r="T41" i="2"/>
  <c r="U41" i="2"/>
  <c r="Q42" i="2"/>
  <c r="R42" i="2"/>
  <c r="S42" i="2"/>
  <c r="T42" i="2"/>
  <c r="U42" i="2"/>
  <c r="Q43" i="2"/>
  <c r="R43" i="2"/>
  <c r="S43" i="2"/>
  <c r="T43" i="2"/>
  <c r="U43" i="2"/>
  <c r="Q44" i="2"/>
  <c r="R44" i="2"/>
  <c r="S44" i="2"/>
  <c r="T44" i="2"/>
  <c r="U44" i="2"/>
  <c r="Q45" i="2"/>
  <c r="R45" i="2"/>
  <c r="S45" i="2"/>
  <c r="T45" i="2"/>
  <c r="U45" i="2"/>
  <c r="Q46" i="2"/>
  <c r="R46" i="2"/>
  <c r="S46" i="2"/>
  <c r="T46" i="2"/>
  <c r="U46" i="2"/>
  <c r="Q47" i="2"/>
  <c r="R47" i="2"/>
  <c r="S47" i="2"/>
  <c r="T47" i="2"/>
  <c r="U47" i="2"/>
  <c r="Q48" i="2"/>
  <c r="R48" i="2"/>
  <c r="S48" i="2"/>
  <c r="T48" i="2"/>
  <c r="U48" i="2"/>
  <c r="Q49" i="2"/>
  <c r="R49" i="2"/>
  <c r="S49" i="2"/>
  <c r="T49" i="2"/>
  <c r="U49" i="2"/>
  <c r="Q50" i="2"/>
  <c r="R50" i="2"/>
  <c r="S50" i="2"/>
  <c r="T50" i="2"/>
  <c r="U50" i="2"/>
  <c r="Q51" i="2"/>
  <c r="R51" i="2"/>
  <c r="S51" i="2"/>
  <c r="T51" i="2"/>
  <c r="U51" i="2"/>
  <c r="Q52" i="2"/>
  <c r="R52" i="2"/>
  <c r="S52" i="2"/>
  <c r="T52" i="2"/>
  <c r="U52" i="2"/>
  <c r="Q53" i="2"/>
  <c r="R53" i="2"/>
  <c r="S53" i="2"/>
  <c r="T53" i="2"/>
  <c r="U53" i="2"/>
  <c r="Q54" i="2"/>
  <c r="R54" i="2"/>
  <c r="S54" i="2"/>
  <c r="T54" i="2"/>
  <c r="U54" i="2"/>
  <c r="Q55" i="2"/>
  <c r="R55" i="2"/>
  <c r="S55" i="2"/>
  <c r="T55" i="2"/>
  <c r="U55" i="2"/>
  <c r="Q56" i="2"/>
  <c r="R56" i="2"/>
  <c r="S56" i="2"/>
  <c r="T56" i="2"/>
  <c r="U56" i="2"/>
  <c r="Q57" i="2"/>
  <c r="R57" i="2"/>
  <c r="S57" i="2"/>
  <c r="T57" i="2"/>
  <c r="U57" i="2"/>
  <c r="Q58" i="2"/>
  <c r="R58" i="2"/>
  <c r="S58" i="2"/>
  <c r="T58" i="2"/>
  <c r="U58" i="2"/>
  <c r="Q59" i="2"/>
  <c r="R59" i="2"/>
  <c r="S59" i="2"/>
  <c r="T59" i="2"/>
  <c r="U59" i="2"/>
  <c r="R36" i="2"/>
  <c r="S36" i="2"/>
  <c r="T36" i="2"/>
  <c r="U36" i="2"/>
  <c r="Q36" i="2"/>
  <c r="AF6" i="3" a="1"/>
  <c r="AF6" i="3" s="1"/>
  <c r="AC5" i="3" a="1"/>
  <c r="AC5" i="3" s="1"/>
  <c r="O4" i="3" a="1"/>
  <c r="O4" i="3" s="1"/>
  <c r="L1001" i="3"/>
  <c r="K1001" i="3"/>
  <c r="L1000" i="3"/>
  <c r="K1000" i="3"/>
  <c r="K999" i="3"/>
  <c r="L999" i="3" s="1"/>
  <c r="K998" i="3"/>
  <c r="L998" i="3" s="1"/>
  <c r="K997" i="3"/>
  <c r="L997" i="3" s="1"/>
  <c r="K996" i="3"/>
  <c r="L996" i="3" s="1"/>
  <c r="L995" i="3"/>
  <c r="K995" i="3"/>
  <c r="L994" i="3"/>
  <c r="K994" i="3"/>
  <c r="K993" i="3"/>
  <c r="L993" i="3" s="1"/>
  <c r="K992" i="3"/>
  <c r="L992" i="3" s="1"/>
  <c r="K991" i="3"/>
  <c r="L991" i="3" s="1"/>
  <c r="K990" i="3"/>
  <c r="L990" i="3" s="1"/>
  <c r="L989" i="3"/>
  <c r="K989" i="3"/>
  <c r="L988" i="3"/>
  <c r="K988" i="3"/>
  <c r="K987" i="3"/>
  <c r="L987" i="3" s="1"/>
  <c r="K986" i="3"/>
  <c r="L986" i="3" s="1"/>
  <c r="K985" i="3"/>
  <c r="L985" i="3" s="1"/>
  <c r="K984" i="3"/>
  <c r="L984" i="3" s="1"/>
  <c r="L983" i="3"/>
  <c r="K983" i="3"/>
  <c r="L982" i="3"/>
  <c r="K982" i="3"/>
  <c r="K981" i="3"/>
  <c r="L981" i="3" s="1"/>
  <c r="K980" i="3"/>
  <c r="L980" i="3" s="1"/>
  <c r="K979" i="3"/>
  <c r="L979" i="3" s="1"/>
  <c r="K978" i="3"/>
  <c r="L978" i="3" s="1"/>
  <c r="L977" i="3"/>
  <c r="K977" i="3"/>
  <c r="L976" i="3"/>
  <c r="K976" i="3"/>
  <c r="K975" i="3"/>
  <c r="L975" i="3" s="1"/>
  <c r="K974" i="3"/>
  <c r="L974" i="3" s="1"/>
  <c r="K973" i="3"/>
  <c r="L973" i="3" s="1"/>
  <c r="K972" i="3"/>
  <c r="L972" i="3" s="1"/>
  <c r="L971" i="3"/>
  <c r="K971" i="3"/>
  <c r="L970" i="3"/>
  <c r="K970" i="3"/>
  <c r="K969" i="3"/>
  <c r="L969" i="3" s="1"/>
  <c r="K968" i="3"/>
  <c r="L968" i="3" s="1"/>
  <c r="K967" i="3"/>
  <c r="L967" i="3" s="1"/>
  <c r="K966" i="3"/>
  <c r="L966" i="3" s="1"/>
  <c r="L965" i="3"/>
  <c r="K965" i="3"/>
  <c r="L964" i="3"/>
  <c r="K964" i="3"/>
  <c r="K963" i="3"/>
  <c r="L963" i="3" s="1"/>
  <c r="L962" i="3"/>
  <c r="K962" i="3"/>
  <c r="K961" i="3"/>
  <c r="L961" i="3" s="1"/>
  <c r="K960" i="3"/>
  <c r="L960" i="3" s="1"/>
  <c r="L959" i="3"/>
  <c r="K959" i="3"/>
  <c r="L958" i="3"/>
  <c r="K958" i="3"/>
  <c r="K957" i="3"/>
  <c r="L957" i="3" s="1"/>
  <c r="K956" i="3"/>
  <c r="L956" i="3" s="1"/>
  <c r="K955" i="3"/>
  <c r="L955" i="3" s="1"/>
  <c r="K954" i="3"/>
  <c r="L954" i="3" s="1"/>
  <c r="L953" i="3"/>
  <c r="K953" i="3"/>
  <c r="L952" i="3"/>
  <c r="K952" i="3"/>
  <c r="K951" i="3"/>
  <c r="L951" i="3" s="1"/>
  <c r="L950" i="3"/>
  <c r="K950" i="3"/>
  <c r="L949" i="3"/>
  <c r="K949" i="3"/>
  <c r="K948" i="3"/>
  <c r="L948" i="3" s="1"/>
  <c r="L947" i="3"/>
  <c r="K947" i="3"/>
  <c r="L946" i="3"/>
  <c r="K946" i="3"/>
  <c r="K945" i="3"/>
  <c r="L945" i="3" s="1"/>
  <c r="L944" i="3"/>
  <c r="K944" i="3"/>
  <c r="L943" i="3"/>
  <c r="K943" i="3"/>
  <c r="K942" i="3"/>
  <c r="L942" i="3" s="1"/>
  <c r="L941" i="3"/>
  <c r="K941" i="3"/>
  <c r="L940" i="3"/>
  <c r="K940" i="3"/>
  <c r="K939" i="3"/>
  <c r="L939" i="3" s="1"/>
  <c r="K938" i="3"/>
  <c r="L938" i="3" s="1"/>
  <c r="K937" i="3"/>
  <c r="L937" i="3" s="1"/>
  <c r="L936" i="3"/>
  <c r="K936" i="3"/>
  <c r="L935" i="3"/>
  <c r="K935" i="3"/>
  <c r="L934" i="3"/>
  <c r="K934" i="3"/>
  <c r="K933" i="3"/>
  <c r="L933" i="3" s="1"/>
  <c r="K932" i="3"/>
  <c r="L932" i="3" s="1"/>
  <c r="K931" i="3"/>
  <c r="L931" i="3" s="1"/>
  <c r="K930" i="3"/>
  <c r="L930" i="3" s="1"/>
  <c r="L929" i="3"/>
  <c r="K929" i="3"/>
  <c r="L928" i="3"/>
  <c r="K928" i="3"/>
  <c r="K927" i="3"/>
  <c r="L927" i="3" s="1"/>
  <c r="K926" i="3"/>
  <c r="L926" i="3" s="1"/>
  <c r="K925" i="3"/>
  <c r="L925" i="3" s="1"/>
  <c r="K924" i="3"/>
  <c r="L924" i="3" s="1"/>
  <c r="L923" i="3"/>
  <c r="K923" i="3"/>
  <c r="L922" i="3"/>
  <c r="K922" i="3"/>
  <c r="K921" i="3"/>
  <c r="L921" i="3" s="1"/>
  <c r="K920" i="3"/>
  <c r="L920" i="3" s="1"/>
  <c r="K919" i="3"/>
  <c r="L919" i="3" s="1"/>
  <c r="K918" i="3"/>
  <c r="L918" i="3" s="1"/>
  <c r="L917" i="3"/>
  <c r="K917" i="3"/>
  <c r="L916" i="3"/>
  <c r="K916" i="3"/>
  <c r="K915" i="3"/>
  <c r="L915" i="3" s="1"/>
  <c r="K914" i="3"/>
  <c r="L914" i="3" s="1"/>
  <c r="K913" i="3"/>
  <c r="L913" i="3" s="1"/>
  <c r="K912" i="3"/>
  <c r="L912" i="3" s="1"/>
  <c r="L911" i="3"/>
  <c r="K911" i="3"/>
  <c r="L910" i="3"/>
  <c r="K910" i="3"/>
  <c r="K909" i="3"/>
  <c r="L909" i="3" s="1"/>
  <c r="K908" i="3"/>
  <c r="L908" i="3" s="1"/>
  <c r="K907" i="3"/>
  <c r="L907" i="3" s="1"/>
  <c r="K906" i="3"/>
  <c r="L906" i="3" s="1"/>
  <c r="L905" i="3"/>
  <c r="K905" i="3"/>
  <c r="L904" i="3"/>
  <c r="K904" i="3"/>
  <c r="K903" i="3"/>
  <c r="L903" i="3" s="1"/>
  <c r="K902" i="3"/>
  <c r="L902" i="3" s="1"/>
  <c r="K901" i="3"/>
  <c r="L901" i="3" s="1"/>
  <c r="K900" i="3"/>
  <c r="L900" i="3" s="1"/>
  <c r="L899" i="3"/>
  <c r="K899" i="3"/>
  <c r="L898" i="3"/>
  <c r="K898" i="3"/>
  <c r="K897" i="3"/>
  <c r="L897" i="3" s="1"/>
  <c r="K896" i="3"/>
  <c r="L896" i="3" s="1"/>
  <c r="K895" i="3"/>
  <c r="L895" i="3" s="1"/>
  <c r="K894" i="3"/>
  <c r="L894" i="3" s="1"/>
  <c r="L893" i="3"/>
  <c r="K893" i="3"/>
  <c r="L892" i="3"/>
  <c r="K892" i="3"/>
  <c r="K891" i="3"/>
  <c r="L891" i="3" s="1"/>
  <c r="L890" i="3"/>
  <c r="K890" i="3"/>
  <c r="K889" i="3"/>
  <c r="L889" i="3" s="1"/>
  <c r="K888" i="3"/>
  <c r="L888" i="3" s="1"/>
  <c r="L887" i="3"/>
  <c r="K887" i="3"/>
  <c r="L886" i="3"/>
  <c r="K886" i="3"/>
  <c r="K885" i="3"/>
  <c r="L885" i="3" s="1"/>
  <c r="K884" i="3"/>
  <c r="L884" i="3" s="1"/>
  <c r="K883" i="3"/>
  <c r="L883" i="3" s="1"/>
  <c r="K882" i="3"/>
  <c r="L882" i="3" s="1"/>
  <c r="L881" i="3"/>
  <c r="K881" i="3"/>
  <c r="L880" i="3"/>
  <c r="K880" i="3"/>
  <c r="K879" i="3"/>
  <c r="L879" i="3" s="1"/>
  <c r="L878" i="3"/>
  <c r="K878" i="3"/>
  <c r="L877" i="3"/>
  <c r="K877" i="3"/>
  <c r="K876" i="3"/>
  <c r="L876" i="3" s="1"/>
  <c r="L875" i="3"/>
  <c r="K875" i="3"/>
  <c r="L874" i="3"/>
  <c r="K874" i="3"/>
  <c r="K873" i="3"/>
  <c r="L873" i="3" s="1"/>
  <c r="L872" i="3"/>
  <c r="K872" i="3"/>
  <c r="L871" i="3"/>
  <c r="K871" i="3"/>
  <c r="K870" i="3"/>
  <c r="L870" i="3" s="1"/>
  <c r="L869" i="3"/>
  <c r="K869" i="3"/>
  <c r="L868" i="3"/>
  <c r="K868" i="3"/>
  <c r="K867" i="3"/>
  <c r="L867" i="3" s="1"/>
  <c r="K866" i="3"/>
  <c r="L866" i="3" s="1"/>
  <c r="K865" i="3"/>
  <c r="L865" i="3" s="1"/>
  <c r="L864" i="3"/>
  <c r="K864" i="3"/>
  <c r="L863" i="3"/>
  <c r="K863" i="3"/>
  <c r="L862" i="3"/>
  <c r="K862" i="3"/>
  <c r="K861" i="3"/>
  <c r="L861" i="3" s="1"/>
  <c r="K860" i="3"/>
  <c r="L860" i="3" s="1"/>
  <c r="K859" i="3"/>
  <c r="L859" i="3" s="1"/>
  <c r="K858" i="3"/>
  <c r="L858" i="3" s="1"/>
  <c r="L857" i="3"/>
  <c r="K857" i="3"/>
  <c r="L856" i="3"/>
  <c r="K856" i="3"/>
  <c r="K855" i="3"/>
  <c r="L855" i="3" s="1"/>
  <c r="K854" i="3"/>
  <c r="L854" i="3" s="1"/>
  <c r="K853" i="3"/>
  <c r="L853" i="3" s="1"/>
  <c r="K852" i="3"/>
  <c r="L852" i="3" s="1"/>
  <c r="L851" i="3"/>
  <c r="K851" i="3"/>
  <c r="L850" i="3"/>
  <c r="K850" i="3"/>
  <c r="K849" i="3"/>
  <c r="L849" i="3" s="1"/>
  <c r="K848" i="3"/>
  <c r="L848" i="3" s="1"/>
  <c r="K847" i="3"/>
  <c r="L847" i="3" s="1"/>
  <c r="K846" i="3"/>
  <c r="L846" i="3" s="1"/>
  <c r="L845" i="3"/>
  <c r="K845" i="3"/>
  <c r="L844" i="3"/>
  <c r="K844" i="3"/>
  <c r="K843" i="3"/>
  <c r="L843" i="3" s="1"/>
  <c r="K842" i="3"/>
  <c r="L842" i="3" s="1"/>
  <c r="K841" i="3"/>
  <c r="L841" i="3" s="1"/>
  <c r="K840" i="3"/>
  <c r="L840" i="3" s="1"/>
  <c r="L839" i="3"/>
  <c r="K839" i="3"/>
  <c r="L838" i="3"/>
  <c r="K838" i="3"/>
  <c r="K837" i="3"/>
  <c r="L837" i="3" s="1"/>
  <c r="K836" i="3"/>
  <c r="L836" i="3" s="1"/>
  <c r="K835" i="3"/>
  <c r="L835" i="3" s="1"/>
  <c r="K834" i="3"/>
  <c r="L834" i="3" s="1"/>
  <c r="L833" i="3"/>
  <c r="K833" i="3"/>
  <c r="L832" i="3"/>
  <c r="K832" i="3"/>
  <c r="K831" i="3"/>
  <c r="L831" i="3" s="1"/>
  <c r="K830" i="3"/>
  <c r="L830" i="3" s="1"/>
  <c r="K829" i="3"/>
  <c r="L829" i="3" s="1"/>
  <c r="K828" i="3"/>
  <c r="L828" i="3" s="1"/>
  <c r="L827" i="3"/>
  <c r="K827" i="3"/>
  <c r="L826" i="3"/>
  <c r="K826" i="3"/>
  <c r="K825" i="3"/>
  <c r="L825" i="3" s="1"/>
  <c r="K824" i="3"/>
  <c r="L824" i="3" s="1"/>
  <c r="K823" i="3"/>
  <c r="L823" i="3" s="1"/>
  <c r="K822" i="3"/>
  <c r="L822" i="3" s="1"/>
  <c r="L821" i="3"/>
  <c r="K821" i="3"/>
  <c r="L820" i="3"/>
  <c r="K820" i="3"/>
  <c r="K819" i="3"/>
  <c r="L819" i="3" s="1"/>
  <c r="L818" i="3"/>
  <c r="K818" i="3"/>
  <c r="K817" i="3"/>
  <c r="L817" i="3" s="1"/>
  <c r="K816" i="3"/>
  <c r="L816" i="3" s="1"/>
  <c r="L815" i="3"/>
  <c r="K815" i="3"/>
  <c r="L814" i="3"/>
  <c r="K814" i="3"/>
  <c r="K813" i="3"/>
  <c r="L813" i="3" s="1"/>
  <c r="K812" i="3"/>
  <c r="L812" i="3" s="1"/>
  <c r="K811" i="3"/>
  <c r="L811" i="3" s="1"/>
  <c r="K810" i="3"/>
  <c r="L810" i="3" s="1"/>
  <c r="L809" i="3"/>
  <c r="K809" i="3"/>
  <c r="L808" i="3"/>
  <c r="K808" i="3"/>
  <c r="K807" i="3"/>
  <c r="L807" i="3" s="1"/>
  <c r="L806" i="3"/>
  <c r="K806" i="3"/>
  <c r="L805" i="3"/>
  <c r="K805" i="3"/>
  <c r="K804" i="3"/>
  <c r="L804" i="3" s="1"/>
  <c r="L803" i="3"/>
  <c r="K803" i="3"/>
  <c r="L802" i="3"/>
  <c r="K802" i="3"/>
  <c r="K801" i="3"/>
  <c r="L801" i="3" s="1"/>
  <c r="L800" i="3"/>
  <c r="K800" i="3"/>
  <c r="L799" i="3"/>
  <c r="K799" i="3"/>
  <c r="K798" i="3"/>
  <c r="L798" i="3" s="1"/>
  <c r="L797" i="3"/>
  <c r="K797" i="3"/>
  <c r="L796" i="3"/>
  <c r="K796" i="3"/>
  <c r="K795" i="3"/>
  <c r="L795" i="3" s="1"/>
  <c r="K794" i="3"/>
  <c r="L794" i="3" s="1"/>
  <c r="K793" i="3"/>
  <c r="L793" i="3" s="1"/>
  <c r="L792" i="3"/>
  <c r="K792" i="3"/>
  <c r="L791" i="3"/>
  <c r="K791" i="3"/>
  <c r="L790" i="3"/>
  <c r="K790" i="3"/>
  <c r="K789" i="3"/>
  <c r="L789" i="3" s="1"/>
  <c r="K788" i="3"/>
  <c r="L788" i="3" s="1"/>
  <c r="K787" i="3"/>
  <c r="L787" i="3" s="1"/>
  <c r="K786" i="3"/>
  <c r="L786" i="3" s="1"/>
  <c r="L785" i="3"/>
  <c r="K785" i="3"/>
  <c r="L784" i="3"/>
  <c r="K784" i="3"/>
  <c r="K783" i="3"/>
  <c r="L783" i="3" s="1"/>
  <c r="K782" i="3"/>
  <c r="L782" i="3" s="1"/>
  <c r="K781" i="3"/>
  <c r="L781" i="3" s="1"/>
  <c r="K780" i="3"/>
  <c r="L780" i="3" s="1"/>
  <c r="L779" i="3"/>
  <c r="K779" i="3"/>
  <c r="L778" i="3"/>
  <c r="K778" i="3"/>
  <c r="K777" i="3"/>
  <c r="L777" i="3" s="1"/>
  <c r="K776" i="3"/>
  <c r="L776" i="3" s="1"/>
  <c r="K775" i="3"/>
  <c r="L775" i="3" s="1"/>
  <c r="K774" i="3"/>
  <c r="L774" i="3" s="1"/>
  <c r="L773" i="3"/>
  <c r="K773" i="3"/>
  <c r="L772" i="3"/>
  <c r="K772" i="3"/>
  <c r="K771" i="3"/>
  <c r="L771" i="3" s="1"/>
  <c r="K770" i="3"/>
  <c r="L770" i="3" s="1"/>
  <c r="K769" i="3"/>
  <c r="L769" i="3" s="1"/>
  <c r="K768" i="3"/>
  <c r="L768" i="3" s="1"/>
  <c r="L767" i="3"/>
  <c r="K767" i="3"/>
  <c r="L766" i="3"/>
  <c r="K766" i="3"/>
  <c r="K765" i="3"/>
  <c r="L765" i="3" s="1"/>
  <c r="K764" i="3"/>
  <c r="L764" i="3" s="1"/>
  <c r="K763" i="3"/>
  <c r="L763" i="3" s="1"/>
  <c r="K762" i="3"/>
  <c r="L762" i="3" s="1"/>
  <c r="L761" i="3"/>
  <c r="K761" i="3"/>
  <c r="L760" i="3"/>
  <c r="K760" i="3"/>
  <c r="K759" i="3"/>
  <c r="L759" i="3" s="1"/>
  <c r="K758" i="3"/>
  <c r="L758" i="3" s="1"/>
  <c r="K757" i="3"/>
  <c r="L757" i="3" s="1"/>
  <c r="K756" i="3"/>
  <c r="L756" i="3" s="1"/>
  <c r="L755" i="3"/>
  <c r="K755" i="3"/>
  <c r="L754" i="3"/>
  <c r="K754" i="3"/>
  <c r="K753" i="3"/>
  <c r="L753" i="3" s="1"/>
  <c r="K752" i="3"/>
  <c r="L752" i="3" s="1"/>
  <c r="K751" i="3"/>
  <c r="L751" i="3" s="1"/>
  <c r="K750" i="3"/>
  <c r="L750" i="3" s="1"/>
  <c r="L749" i="3"/>
  <c r="K749" i="3"/>
  <c r="L748" i="3"/>
  <c r="K748" i="3"/>
  <c r="K747" i="3"/>
  <c r="L747" i="3" s="1"/>
  <c r="L746" i="3"/>
  <c r="K746" i="3"/>
  <c r="K745" i="3"/>
  <c r="L745" i="3" s="1"/>
  <c r="K744" i="3"/>
  <c r="L744" i="3" s="1"/>
  <c r="L743" i="3"/>
  <c r="K743" i="3"/>
  <c r="L742" i="3"/>
  <c r="K742" i="3"/>
  <c r="K741" i="3"/>
  <c r="L741" i="3" s="1"/>
  <c r="K740" i="3"/>
  <c r="L740" i="3" s="1"/>
  <c r="K739" i="3"/>
  <c r="L739" i="3" s="1"/>
  <c r="K738" i="3"/>
  <c r="L738" i="3" s="1"/>
  <c r="L737" i="3"/>
  <c r="K737" i="3"/>
  <c r="L736" i="3"/>
  <c r="K736" i="3"/>
  <c r="K735" i="3"/>
  <c r="L735" i="3" s="1"/>
  <c r="L734" i="3"/>
  <c r="K734" i="3"/>
  <c r="L733" i="3"/>
  <c r="K733" i="3"/>
  <c r="K732" i="3"/>
  <c r="L732" i="3" s="1"/>
  <c r="L731" i="3"/>
  <c r="K731" i="3"/>
  <c r="L730" i="3"/>
  <c r="K730" i="3"/>
  <c r="K729" i="3"/>
  <c r="L729" i="3" s="1"/>
  <c r="L728" i="3"/>
  <c r="K728" i="3"/>
  <c r="L727" i="3"/>
  <c r="K727" i="3"/>
  <c r="K726" i="3"/>
  <c r="L726" i="3" s="1"/>
  <c r="L725" i="3"/>
  <c r="K725" i="3"/>
  <c r="L724" i="3"/>
  <c r="K724" i="3"/>
  <c r="K723" i="3"/>
  <c r="L723" i="3" s="1"/>
  <c r="K722" i="3"/>
  <c r="L722" i="3" s="1"/>
  <c r="K721" i="3"/>
  <c r="L721" i="3" s="1"/>
  <c r="L720" i="3"/>
  <c r="K720" i="3"/>
  <c r="L719" i="3"/>
  <c r="K719" i="3"/>
  <c r="L718" i="3"/>
  <c r="K718" i="3"/>
  <c r="K717" i="3"/>
  <c r="L717" i="3" s="1"/>
  <c r="K716" i="3"/>
  <c r="L716" i="3" s="1"/>
  <c r="K715" i="3"/>
  <c r="L715" i="3" s="1"/>
  <c r="K714" i="3"/>
  <c r="L714" i="3" s="1"/>
  <c r="L713" i="3"/>
  <c r="K713" i="3"/>
  <c r="L712" i="3"/>
  <c r="K712" i="3"/>
  <c r="K711" i="3"/>
  <c r="L711" i="3" s="1"/>
  <c r="K710" i="3"/>
  <c r="L710" i="3" s="1"/>
  <c r="K709" i="3"/>
  <c r="L709" i="3" s="1"/>
  <c r="K708" i="3"/>
  <c r="L708" i="3" s="1"/>
  <c r="L707" i="3"/>
  <c r="K707" i="3"/>
  <c r="L706" i="3"/>
  <c r="K706" i="3"/>
  <c r="K705" i="3"/>
  <c r="L705" i="3" s="1"/>
  <c r="K704" i="3"/>
  <c r="L704" i="3" s="1"/>
  <c r="K703" i="3"/>
  <c r="L703" i="3" s="1"/>
  <c r="K702" i="3"/>
  <c r="L702" i="3" s="1"/>
  <c r="L701" i="3"/>
  <c r="K701" i="3"/>
  <c r="L700" i="3"/>
  <c r="K700" i="3"/>
  <c r="K699" i="3"/>
  <c r="L699" i="3" s="1"/>
  <c r="K698" i="3"/>
  <c r="L698" i="3" s="1"/>
  <c r="K697" i="3"/>
  <c r="L697" i="3" s="1"/>
  <c r="K696" i="3"/>
  <c r="L696" i="3" s="1"/>
  <c r="L695" i="3"/>
  <c r="K695" i="3"/>
  <c r="L694" i="3"/>
  <c r="K694" i="3"/>
  <c r="K693" i="3"/>
  <c r="L693" i="3" s="1"/>
  <c r="K692" i="3"/>
  <c r="L692" i="3" s="1"/>
  <c r="K691" i="3"/>
  <c r="L691" i="3" s="1"/>
  <c r="K690" i="3"/>
  <c r="L690" i="3" s="1"/>
  <c r="L689" i="3"/>
  <c r="K689" i="3"/>
  <c r="L688" i="3"/>
  <c r="K688" i="3"/>
  <c r="K687" i="3"/>
  <c r="L687" i="3" s="1"/>
  <c r="K686" i="3"/>
  <c r="L686" i="3" s="1"/>
  <c r="K685" i="3"/>
  <c r="L685" i="3" s="1"/>
  <c r="K684" i="3"/>
  <c r="L684" i="3" s="1"/>
  <c r="L683" i="3"/>
  <c r="K683" i="3"/>
  <c r="L682" i="3"/>
  <c r="K682" i="3"/>
  <c r="K681" i="3"/>
  <c r="L681" i="3" s="1"/>
  <c r="K680" i="3"/>
  <c r="L680" i="3" s="1"/>
  <c r="K679" i="3"/>
  <c r="L679" i="3" s="1"/>
  <c r="K678" i="3"/>
  <c r="L678" i="3" s="1"/>
  <c r="L677" i="3"/>
  <c r="K677" i="3"/>
  <c r="L676" i="3"/>
  <c r="K676" i="3"/>
  <c r="K675" i="3"/>
  <c r="L675" i="3" s="1"/>
  <c r="L674" i="3"/>
  <c r="K674" i="3"/>
  <c r="K673" i="3"/>
  <c r="L673" i="3" s="1"/>
  <c r="K672" i="3"/>
  <c r="L672" i="3" s="1"/>
  <c r="L671" i="3"/>
  <c r="K671" i="3"/>
  <c r="L670" i="3"/>
  <c r="K670" i="3"/>
  <c r="K669" i="3"/>
  <c r="L669" i="3" s="1"/>
  <c r="K668" i="3"/>
  <c r="L668" i="3" s="1"/>
  <c r="K667" i="3"/>
  <c r="L667" i="3" s="1"/>
  <c r="K666" i="3"/>
  <c r="L666" i="3" s="1"/>
  <c r="L665" i="3"/>
  <c r="K665" i="3"/>
  <c r="L664" i="3"/>
  <c r="K664" i="3"/>
  <c r="K663" i="3"/>
  <c r="L663" i="3" s="1"/>
  <c r="L662" i="3"/>
  <c r="K662" i="3"/>
  <c r="L661" i="3"/>
  <c r="K661" i="3"/>
  <c r="K660" i="3"/>
  <c r="L660" i="3" s="1"/>
  <c r="L659" i="3"/>
  <c r="K659" i="3"/>
  <c r="L658" i="3"/>
  <c r="K658" i="3"/>
  <c r="K657" i="3"/>
  <c r="L657" i="3" s="1"/>
  <c r="L656" i="3"/>
  <c r="K656" i="3"/>
  <c r="L655" i="3"/>
  <c r="K655" i="3"/>
  <c r="K654" i="3"/>
  <c r="L654" i="3" s="1"/>
  <c r="L653" i="3"/>
  <c r="K653" i="3"/>
  <c r="L652" i="3"/>
  <c r="K652" i="3"/>
  <c r="K651" i="3"/>
  <c r="L651" i="3" s="1"/>
  <c r="K650" i="3"/>
  <c r="L650" i="3" s="1"/>
  <c r="K649" i="3"/>
  <c r="L649" i="3" s="1"/>
  <c r="L648" i="3"/>
  <c r="K648" i="3"/>
  <c r="L647" i="3"/>
  <c r="K647" i="3"/>
  <c r="L646" i="3"/>
  <c r="K646" i="3"/>
  <c r="K645" i="3"/>
  <c r="L645" i="3" s="1"/>
  <c r="K644" i="3"/>
  <c r="L644" i="3" s="1"/>
  <c r="K643" i="3"/>
  <c r="L643" i="3" s="1"/>
  <c r="K642" i="3"/>
  <c r="L642" i="3" s="1"/>
  <c r="L641" i="3"/>
  <c r="K641" i="3"/>
  <c r="L640" i="3"/>
  <c r="K640" i="3"/>
  <c r="K639" i="3"/>
  <c r="L639" i="3" s="1"/>
  <c r="K638" i="3"/>
  <c r="L638" i="3" s="1"/>
  <c r="K637" i="3"/>
  <c r="L637" i="3" s="1"/>
  <c r="K636" i="3"/>
  <c r="L636" i="3" s="1"/>
  <c r="L635" i="3"/>
  <c r="K635" i="3"/>
  <c r="L634" i="3"/>
  <c r="K634" i="3"/>
  <c r="K633" i="3"/>
  <c r="L633" i="3" s="1"/>
  <c r="K632" i="3"/>
  <c r="L632" i="3" s="1"/>
  <c r="K631" i="3"/>
  <c r="L631" i="3" s="1"/>
  <c r="K630" i="3"/>
  <c r="L630" i="3" s="1"/>
  <c r="L629" i="3"/>
  <c r="K629" i="3"/>
  <c r="L628" i="3"/>
  <c r="K628" i="3"/>
  <c r="K627" i="3"/>
  <c r="L627" i="3" s="1"/>
  <c r="K626" i="3"/>
  <c r="L626" i="3" s="1"/>
  <c r="K625" i="3"/>
  <c r="L625" i="3" s="1"/>
  <c r="K624" i="3"/>
  <c r="L624" i="3" s="1"/>
  <c r="L623" i="3"/>
  <c r="K623" i="3"/>
  <c r="L622" i="3"/>
  <c r="K622" i="3"/>
  <c r="K621" i="3"/>
  <c r="L621" i="3" s="1"/>
  <c r="K620" i="3"/>
  <c r="L620" i="3" s="1"/>
  <c r="K619" i="3"/>
  <c r="L619" i="3" s="1"/>
  <c r="K618" i="3"/>
  <c r="L618" i="3" s="1"/>
  <c r="L617" i="3"/>
  <c r="K617" i="3"/>
  <c r="L616" i="3"/>
  <c r="K616" i="3"/>
  <c r="K615" i="3"/>
  <c r="L615" i="3" s="1"/>
  <c r="K614" i="3"/>
  <c r="L614" i="3" s="1"/>
  <c r="K613" i="3"/>
  <c r="L613" i="3" s="1"/>
  <c r="K612" i="3"/>
  <c r="L612" i="3" s="1"/>
  <c r="L611" i="3"/>
  <c r="K611" i="3"/>
  <c r="L610" i="3"/>
  <c r="K610" i="3"/>
  <c r="K609" i="3"/>
  <c r="L609" i="3" s="1"/>
  <c r="K608" i="3"/>
  <c r="L608" i="3" s="1"/>
  <c r="K607" i="3"/>
  <c r="L607" i="3" s="1"/>
  <c r="K606" i="3"/>
  <c r="L606" i="3" s="1"/>
  <c r="L605" i="3"/>
  <c r="K605" i="3"/>
  <c r="L604" i="3"/>
  <c r="K604" i="3"/>
  <c r="K603" i="3"/>
  <c r="L603" i="3" s="1"/>
  <c r="L602" i="3"/>
  <c r="K602" i="3"/>
  <c r="K601" i="3"/>
  <c r="L601" i="3" s="1"/>
  <c r="K600" i="3"/>
  <c r="L600" i="3" s="1"/>
  <c r="L599" i="3"/>
  <c r="K599" i="3"/>
  <c r="L598" i="3"/>
  <c r="K598" i="3"/>
  <c r="K597" i="3"/>
  <c r="L597" i="3" s="1"/>
  <c r="K596" i="3"/>
  <c r="L596" i="3" s="1"/>
  <c r="K595" i="3"/>
  <c r="L595" i="3" s="1"/>
  <c r="K594" i="3"/>
  <c r="L594" i="3" s="1"/>
  <c r="L593" i="3"/>
  <c r="K593" i="3"/>
  <c r="L592" i="3"/>
  <c r="K592" i="3"/>
  <c r="K591" i="3"/>
  <c r="L591" i="3" s="1"/>
  <c r="L590" i="3"/>
  <c r="K590" i="3"/>
  <c r="L589" i="3"/>
  <c r="K589" i="3"/>
  <c r="K588" i="3"/>
  <c r="L588" i="3" s="1"/>
  <c r="L587" i="3"/>
  <c r="K587" i="3"/>
  <c r="L586" i="3"/>
  <c r="K586" i="3"/>
  <c r="K585" i="3"/>
  <c r="L585" i="3" s="1"/>
  <c r="L584" i="3"/>
  <c r="K584" i="3"/>
  <c r="L583" i="3"/>
  <c r="K583" i="3"/>
  <c r="K582" i="3"/>
  <c r="L582" i="3" s="1"/>
  <c r="L581" i="3"/>
  <c r="K581" i="3"/>
  <c r="L580" i="3"/>
  <c r="K580" i="3"/>
  <c r="K579" i="3"/>
  <c r="L579" i="3" s="1"/>
  <c r="K578" i="3"/>
  <c r="L578" i="3" s="1"/>
  <c r="K577" i="3"/>
  <c r="L577" i="3" s="1"/>
  <c r="L576" i="3"/>
  <c r="K576" i="3"/>
  <c r="L575" i="3"/>
  <c r="K575" i="3"/>
  <c r="L574" i="3"/>
  <c r="K574" i="3"/>
  <c r="K573" i="3"/>
  <c r="L573" i="3" s="1"/>
  <c r="K572" i="3"/>
  <c r="L572" i="3" s="1"/>
  <c r="K571" i="3"/>
  <c r="L571" i="3" s="1"/>
  <c r="K570" i="3"/>
  <c r="L570" i="3" s="1"/>
  <c r="L569" i="3"/>
  <c r="K569" i="3"/>
  <c r="L568" i="3"/>
  <c r="K568" i="3"/>
  <c r="K567" i="3"/>
  <c r="L567" i="3" s="1"/>
  <c r="K566" i="3"/>
  <c r="L566" i="3" s="1"/>
  <c r="K565" i="3"/>
  <c r="L565" i="3" s="1"/>
  <c r="K564" i="3"/>
  <c r="L564" i="3" s="1"/>
  <c r="L563" i="3"/>
  <c r="K563" i="3"/>
  <c r="L562" i="3"/>
  <c r="K562" i="3"/>
  <c r="K561" i="3"/>
  <c r="L561" i="3" s="1"/>
  <c r="K560" i="3"/>
  <c r="L560" i="3" s="1"/>
  <c r="K559" i="3"/>
  <c r="L559" i="3" s="1"/>
  <c r="K558" i="3"/>
  <c r="L558" i="3" s="1"/>
  <c r="L557" i="3"/>
  <c r="K557" i="3"/>
  <c r="L556" i="3"/>
  <c r="K556" i="3"/>
  <c r="K555" i="3"/>
  <c r="L555" i="3" s="1"/>
  <c r="K554" i="3"/>
  <c r="L554" i="3" s="1"/>
  <c r="K553" i="3"/>
  <c r="L553" i="3" s="1"/>
  <c r="K552" i="3"/>
  <c r="L552" i="3" s="1"/>
  <c r="L551" i="3"/>
  <c r="K551" i="3"/>
  <c r="L550" i="3"/>
  <c r="K550" i="3"/>
  <c r="K549" i="3"/>
  <c r="L549" i="3" s="1"/>
  <c r="K548" i="3"/>
  <c r="L548" i="3" s="1"/>
  <c r="K547" i="3"/>
  <c r="L547" i="3" s="1"/>
  <c r="K546" i="3"/>
  <c r="L546" i="3" s="1"/>
  <c r="L545" i="3"/>
  <c r="K545" i="3"/>
  <c r="L544" i="3"/>
  <c r="K544" i="3"/>
  <c r="K543" i="3"/>
  <c r="L543" i="3" s="1"/>
  <c r="K542" i="3"/>
  <c r="L542" i="3" s="1"/>
  <c r="K541" i="3"/>
  <c r="L541" i="3" s="1"/>
  <c r="K540" i="3"/>
  <c r="L540" i="3" s="1"/>
  <c r="L539" i="3"/>
  <c r="K539" i="3"/>
  <c r="L538" i="3"/>
  <c r="K538" i="3"/>
  <c r="K537" i="3"/>
  <c r="L537" i="3" s="1"/>
  <c r="K536" i="3"/>
  <c r="L536" i="3" s="1"/>
  <c r="K535" i="3"/>
  <c r="L535" i="3" s="1"/>
  <c r="K534" i="3"/>
  <c r="L534" i="3" s="1"/>
  <c r="L533" i="3"/>
  <c r="K533" i="3"/>
  <c r="L532" i="3"/>
  <c r="K532" i="3"/>
  <c r="K531" i="3"/>
  <c r="L531" i="3" s="1"/>
  <c r="L530" i="3"/>
  <c r="K530" i="3"/>
  <c r="K529" i="3"/>
  <c r="L529" i="3" s="1"/>
  <c r="K528" i="3"/>
  <c r="L528" i="3" s="1"/>
  <c r="L527" i="3"/>
  <c r="K527" i="3"/>
  <c r="L526" i="3"/>
  <c r="K526" i="3"/>
  <c r="K525" i="3"/>
  <c r="L525" i="3" s="1"/>
  <c r="K524" i="3"/>
  <c r="L524" i="3" s="1"/>
  <c r="K523" i="3"/>
  <c r="L523" i="3" s="1"/>
  <c r="K522" i="3"/>
  <c r="L522" i="3" s="1"/>
  <c r="L521" i="3"/>
  <c r="K521" i="3"/>
  <c r="L520" i="3"/>
  <c r="K520" i="3"/>
  <c r="K519" i="3"/>
  <c r="L519" i="3" s="1"/>
  <c r="L518" i="3"/>
  <c r="K518" i="3"/>
  <c r="L517" i="3"/>
  <c r="K517" i="3"/>
  <c r="K516" i="3"/>
  <c r="L516" i="3" s="1"/>
  <c r="L515" i="3"/>
  <c r="K515" i="3"/>
  <c r="L514" i="3"/>
  <c r="K514" i="3"/>
  <c r="K513" i="3"/>
  <c r="L513" i="3" s="1"/>
  <c r="L512" i="3"/>
  <c r="K512" i="3"/>
  <c r="L511" i="3"/>
  <c r="K511" i="3"/>
  <c r="K510" i="3"/>
  <c r="L510" i="3" s="1"/>
  <c r="L509" i="3"/>
  <c r="K509" i="3"/>
  <c r="L508" i="3"/>
  <c r="K508" i="3"/>
  <c r="K507" i="3"/>
  <c r="L507" i="3" s="1"/>
  <c r="K506" i="3"/>
  <c r="L506" i="3" s="1"/>
  <c r="K505" i="3"/>
  <c r="L505" i="3" s="1"/>
  <c r="L504" i="3"/>
  <c r="K504" i="3"/>
  <c r="L503" i="3"/>
  <c r="K503" i="3"/>
  <c r="L502" i="3"/>
  <c r="K502" i="3"/>
  <c r="K501" i="3"/>
  <c r="L501" i="3" s="1"/>
  <c r="K500" i="3"/>
  <c r="L500" i="3" s="1"/>
  <c r="K499" i="3"/>
  <c r="L499" i="3" s="1"/>
  <c r="L498" i="3"/>
  <c r="K498" i="3"/>
  <c r="L497" i="3"/>
  <c r="K497" i="3"/>
  <c r="L496" i="3"/>
  <c r="K496" i="3"/>
  <c r="K495" i="3"/>
  <c r="L495" i="3" s="1"/>
  <c r="K494" i="3"/>
  <c r="L494" i="3" s="1"/>
  <c r="K493" i="3"/>
  <c r="L493" i="3" s="1"/>
  <c r="L492" i="3"/>
  <c r="K492" i="3"/>
  <c r="L491" i="3"/>
  <c r="K491" i="3"/>
  <c r="L490" i="3"/>
  <c r="K490" i="3"/>
  <c r="K489" i="3"/>
  <c r="L489" i="3" s="1"/>
  <c r="K488" i="3"/>
  <c r="L488" i="3" s="1"/>
  <c r="K487" i="3"/>
  <c r="L487" i="3" s="1"/>
  <c r="L486" i="3"/>
  <c r="K486" i="3"/>
  <c r="L485" i="3"/>
  <c r="K485" i="3"/>
  <c r="L484" i="3"/>
  <c r="K484" i="3"/>
  <c r="K483" i="3"/>
  <c r="L483" i="3" s="1"/>
  <c r="K482" i="3"/>
  <c r="L482" i="3" s="1"/>
  <c r="K481" i="3"/>
  <c r="L481" i="3" s="1"/>
  <c r="K480" i="3"/>
  <c r="L480" i="3" s="1"/>
  <c r="L479" i="3"/>
  <c r="K479" i="3"/>
  <c r="L478" i="3"/>
  <c r="K478" i="3"/>
  <c r="K477" i="3"/>
  <c r="L477" i="3" s="1"/>
  <c r="K476" i="3"/>
  <c r="L476" i="3" s="1"/>
  <c r="K475" i="3"/>
  <c r="L475" i="3" s="1"/>
  <c r="L474" i="3"/>
  <c r="K474" i="3"/>
  <c r="L473" i="3"/>
  <c r="K473" i="3"/>
  <c r="L472" i="3"/>
  <c r="K472" i="3"/>
  <c r="K471" i="3"/>
  <c r="L471" i="3" s="1"/>
  <c r="K470" i="3"/>
  <c r="L470" i="3" s="1"/>
  <c r="K469" i="3"/>
  <c r="L469" i="3" s="1"/>
  <c r="K468" i="3"/>
  <c r="L468" i="3" s="1"/>
  <c r="L467" i="3"/>
  <c r="K467" i="3"/>
  <c r="L466" i="3"/>
  <c r="K466" i="3"/>
  <c r="K465" i="3"/>
  <c r="L465" i="3" s="1"/>
  <c r="K464" i="3"/>
  <c r="L464" i="3" s="1"/>
  <c r="K463" i="3"/>
  <c r="L463" i="3" s="1"/>
  <c r="K462" i="3"/>
  <c r="L462" i="3" s="1"/>
  <c r="L461" i="3"/>
  <c r="K461" i="3"/>
  <c r="L460" i="3"/>
  <c r="K460" i="3"/>
  <c r="K459" i="3"/>
  <c r="L459" i="3" s="1"/>
  <c r="K458" i="3"/>
  <c r="L458" i="3" s="1"/>
  <c r="K457" i="3"/>
  <c r="L457" i="3" s="1"/>
  <c r="K456" i="3"/>
  <c r="L456" i="3" s="1"/>
  <c r="L455" i="3"/>
  <c r="K455" i="3"/>
  <c r="L454" i="3"/>
  <c r="K454" i="3"/>
  <c r="K453" i="3"/>
  <c r="L453" i="3" s="1"/>
  <c r="K452" i="3"/>
  <c r="L452" i="3" s="1"/>
  <c r="K451" i="3"/>
  <c r="L451" i="3" s="1"/>
  <c r="L450" i="3"/>
  <c r="K450" i="3"/>
  <c r="L449" i="3"/>
  <c r="K449" i="3"/>
  <c r="L448" i="3"/>
  <c r="K448" i="3"/>
  <c r="K447" i="3"/>
  <c r="L447" i="3" s="1"/>
  <c r="K446" i="3"/>
  <c r="L446" i="3" s="1"/>
  <c r="K445" i="3"/>
  <c r="L445" i="3" s="1"/>
  <c r="K444" i="3"/>
  <c r="L444" i="3" s="1"/>
  <c r="L443" i="3"/>
  <c r="K443" i="3"/>
  <c r="L442" i="3"/>
  <c r="K442" i="3"/>
  <c r="K441" i="3"/>
  <c r="L441" i="3" s="1"/>
  <c r="K440" i="3"/>
  <c r="L440" i="3" s="1"/>
  <c r="K439" i="3"/>
  <c r="L439" i="3" s="1"/>
  <c r="K438" i="3"/>
  <c r="L438" i="3" s="1"/>
  <c r="L437" i="3"/>
  <c r="K437" i="3"/>
  <c r="L436" i="3"/>
  <c r="K436" i="3"/>
  <c r="K435" i="3"/>
  <c r="L435" i="3" s="1"/>
  <c r="K434" i="3"/>
  <c r="L434" i="3" s="1"/>
  <c r="K433" i="3"/>
  <c r="L433" i="3" s="1"/>
  <c r="K432" i="3"/>
  <c r="L432" i="3" s="1"/>
  <c r="L431" i="3"/>
  <c r="K431" i="3"/>
  <c r="L430" i="3"/>
  <c r="K430" i="3"/>
  <c r="K429" i="3"/>
  <c r="L429" i="3" s="1"/>
  <c r="K428" i="3"/>
  <c r="L428" i="3" s="1"/>
  <c r="K427" i="3"/>
  <c r="L427" i="3" s="1"/>
  <c r="L426" i="3"/>
  <c r="K426" i="3"/>
  <c r="L425" i="3"/>
  <c r="K425" i="3"/>
  <c r="L424" i="3"/>
  <c r="K424" i="3"/>
  <c r="K423" i="3"/>
  <c r="L423" i="3" s="1"/>
  <c r="K422" i="3"/>
  <c r="L422" i="3" s="1"/>
  <c r="K421" i="3"/>
  <c r="L421" i="3" s="1"/>
  <c r="K420" i="3"/>
  <c r="L420" i="3" s="1"/>
  <c r="L419" i="3"/>
  <c r="K419" i="3"/>
  <c r="L418" i="3"/>
  <c r="K418" i="3"/>
  <c r="K417" i="3"/>
  <c r="L417" i="3" s="1"/>
  <c r="K416" i="3"/>
  <c r="L416" i="3" s="1"/>
  <c r="K415" i="3"/>
  <c r="L415" i="3" s="1"/>
  <c r="K414" i="3"/>
  <c r="L414" i="3" s="1"/>
  <c r="L413" i="3"/>
  <c r="K413" i="3"/>
  <c r="L412" i="3"/>
  <c r="K412" i="3"/>
  <c r="K411" i="3"/>
  <c r="L411" i="3" s="1"/>
  <c r="K410" i="3"/>
  <c r="L410" i="3" s="1"/>
  <c r="K409" i="3"/>
  <c r="L409" i="3" s="1"/>
  <c r="K408" i="3"/>
  <c r="L408" i="3" s="1"/>
  <c r="L407" i="3"/>
  <c r="K407" i="3"/>
  <c r="L406" i="3"/>
  <c r="K406" i="3"/>
  <c r="K405" i="3"/>
  <c r="L405" i="3" s="1"/>
  <c r="K404" i="3"/>
  <c r="L404" i="3" s="1"/>
  <c r="K403" i="3"/>
  <c r="L403" i="3" s="1"/>
  <c r="L402" i="3"/>
  <c r="K402" i="3"/>
  <c r="L401" i="3"/>
  <c r="K401" i="3"/>
  <c r="L400" i="3"/>
  <c r="K400" i="3"/>
  <c r="K399" i="3"/>
  <c r="L399" i="3" s="1"/>
  <c r="K398" i="3"/>
  <c r="L398" i="3" s="1"/>
  <c r="K397" i="3"/>
  <c r="L397" i="3" s="1"/>
  <c r="K396" i="3"/>
  <c r="L396" i="3" s="1"/>
  <c r="L395" i="3"/>
  <c r="K395" i="3"/>
  <c r="L394" i="3"/>
  <c r="K394" i="3"/>
  <c r="K393" i="3"/>
  <c r="L393" i="3" s="1"/>
  <c r="K392" i="3"/>
  <c r="L392" i="3" s="1"/>
  <c r="K391" i="3"/>
  <c r="L391" i="3" s="1"/>
  <c r="K390" i="3"/>
  <c r="L390" i="3" s="1"/>
  <c r="L389" i="3"/>
  <c r="K389" i="3"/>
  <c r="L388" i="3"/>
  <c r="K388" i="3"/>
  <c r="K387" i="3"/>
  <c r="L387" i="3" s="1"/>
  <c r="K386" i="3"/>
  <c r="L386" i="3" s="1"/>
  <c r="K385" i="3"/>
  <c r="L385" i="3" s="1"/>
  <c r="K384" i="3"/>
  <c r="L384" i="3" s="1"/>
  <c r="L383" i="3"/>
  <c r="K383" i="3"/>
  <c r="L382" i="3"/>
  <c r="K382" i="3"/>
  <c r="K381" i="3"/>
  <c r="L381" i="3" s="1"/>
  <c r="K380" i="3"/>
  <c r="L380" i="3" s="1"/>
  <c r="K379" i="3"/>
  <c r="L379" i="3" s="1"/>
  <c r="K378" i="3"/>
  <c r="L378" i="3" s="1"/>
  <c r="L377" i="3"/>
  <c r="K377" i="3"/>
  <c r="L376" i="3"/>
  <c r="K376" i="3"/>
  <c r="K375" i="3"/>
  <c r="L375" i="3" s="1"/>
  <c r="K374" i="3"/>
  <c r="L374" i="3" s="1"/>
  <c r="K373" i="3"/>
  <c r="L373" i="3" s="1"/>
  <c r="L372" i="3"/>
  <c r="K372" i="3"/>
  <c r="L371" i="3"/>
  <c r="K371" i="3"/>
  <c r="L370" i="3"/>
  <c r="K370" i="3"/>
  <c r="K369" i="3"/>
  <c r="L369" i="3" s="1"/>
  <c r="K368" i="3"/>
  <c r="L368" i="3" s="1"/>
  <c r="K367" i="3"/>
  <c r="L367" i="3" s="1"/>
  <c r="K366" i="3"/>
  <c r="L366" i="3" s="1"/>
  <c r="L365" i="3"/>
  <c r="K365" i="3"/>
  <c r="L364" i="3"/>
  <c r="K364" i="3"/>
  <c r="K363" i="3"/>
  <c r="L363" i="3" s="1"/>
  <c r="K362" i="3"/>
  <c r="L362" i="3" s="1"/>
  <c r="K361" i="3"/>
  <c r="L361" i="3" s="1"/>
  <c r="K360" i="3"/>
  <c r="L360" i="3" s="1"/>
  <c r="L359" i="3"/>
  <c r="K359" i="3"/>
  <c r="L358" i="3"/>
  <c r="K358" i="3"/>
  <c r="K357" i="3"/>
  <c r="L357" i="3" s="1"/>
  <c r="K356" i="3"/>
  <c r="L356" i="3" s="1"/>
  <c r="K355" i="3"/>
  <c r="L355" i="3" s="1"/>
  <c r="K354" i="3"/>
  <c r="L354" i="3" s="1"/>
  <c r="L353" i="3"/>
  <c r="K353" i="3"/>
  <c r="L352" i="3"/>
  <c r="K352" i="3"/>
  <c r="K351" i="3"/>
  <c r="L351" i="3" s="1"/>
  <c r="K350" i="3"/>
  <c r="L350" i="3" s="1"/>
  <c r="L349" i="3"/>
  <c r="K349" i="3"/>
  <c r="K348" i="3"/>
  <c r="L348" i="3" s="1"/>
  <c r="L347" i="3"/>
  <c r="K347" i="3"/>
  <c r="L346" i="3"/>
  <c r="K346" i="3"/>
  <c r="K345" i="3"/>
  <c r="L345" i="3" s="1"/>
  <c r="K344" i="3"/>
  <c r="L344" i="3" s="1"/>
  <c r="L343" i="3"/>
  <c r="K343" i="3"/>
  <c r="L342" i="3"/>
  <c r="K342" i="3"/>
  <c r="L341" i="3"/>
  <c r="K341" i="3"/>
  <c r="L340" i="3"/>
  <c r="K340" i="3"/>
  <c r="K339" i="3"/>
  <c r="L339" i="3" s="1"/>
  <c r="K338" i="3"/>
  <c r="L338" i="3" s="1"/>
  <c r="K337" i="3"/>
  <c r="L337" i="3" s="1"/>
  <c r="L336" i="3"/>
  <c r="K336" i="3"/>
  <c r="L335" i="3"/>
  <c r="K335" i="3"/>
  <c r="L334" i="3"/>
  <c r="K334" i="3"/>
  <c r="K333" i="3"/>
  <c r="L333" i="3" s="1"/>
  <c r="K332" i="3"/>
  <c r="L332" i="3" s="1"/>
  <c r="K331" i="3"/>
  <c r="L331" i="3" s="1"/>
  <c r="K330" i="3"/>
  <c r="L330" i="3" s="1"/>
  <c r="L329" i="3"/>
  <c r="K329" i="3"/>
  <c r="L328" i="3"/>
  <c r="K328" i="3"/>
  <c r="K327" i="3"/>
  <c r="L327" i="3" s="1"/>
  <c r="K326" i="3"/>
  <c r="L326" i="3" s="1"/>
  <c r="K325" i="3"/>
  <c r="L325" i="3" s="1"/>
  <c r="K324" i="3"/>
  <c r="L324" i="3" s="1"/>
  <c r="L323" i="3"/>
  <c r="K323" i="3"/>
  <c r="L322" i="3"/>
  <c r="K322" i="3"/>
  <c r="K321" i="3"/>
  <c r="L321" i="3" s="1"/>
  <c r="K320" i="3"/>
  <c r="L320" i="3" s="1"/>
  <c r="K319" i="3"/>
  <c r="L319" i="3" s="1"/>
  <c r="K318" i="3"/>
  <c r="L318" i="3" s="1"/>
  <c r="L317" i="3"/>
  <c r="K317" i="3"/>
  <c r="L316" i="3"/>
  <c r="K316" i="3"/>
  <c r="K315" i="3"/>
  <c r="L315" i="3" s="1"/>
  <c r="K314" i="3"/>
  <c r="L314" i="3" s="1"/>
  <c r="L313" i="3"/>
  <c r="K313" i="3"/>
  <c r="K312" i="3"/>
  <c r="L312" i="3" s="1"/>
  <c r="L311" i="3"/>
  <c r="K311" i="3"/>
  <c r="L310" i="3"/>
  <c r="K310" i="3"/>
  <c r="K309" i="3"/>
  <c r="L309" i="3" s="1"/>
  <c r="K308" i="3"/>
  <c r="L308" i="3" s="1"/>
  <c r="L307" i="3"/>
  <c r="K307" i="3"/>
  <c r="L306" i="3"/>
  <c r="K306" i="3"/>
  <c r="L305" i="3"/>
  <c r="K305" i="3"/>
  <c r="L304" i="3"/>
  <c r="K304" i="3"/>
  <c r="K303" i="3"/>
  <c r="L303" i="3" s="1"/>
  <c r="K302" i="3"/>
  <c r="L302" i="3" s="1"/>
  <c r="K301" i="3"/>
  <c r="L301" i="3" s="1"/>
  <c r="L300" i="3"/>
  <c r="K300" i="3"/>
  <c r="L299" i="3"/>
  <c r="K299" i="3"/>
  <c r="L298" i="3"/>
  <c r="K298" i="3"/>
  <c r="K297" i="3"/>
  <c r="L297" i="3" s="1"/>
  <c r="K296" i="3"/>
  <c r="L296" i="3" s="1"/>
  <c r="K295" i="3"/>
  <c r="L295" i="3" s="1"/>
  <c r="K294" i="3"/>
  <c r="L294" i="3" s="1"/>
  <c r="L293" i="3"/>
  <c r="K293" i="3"/>
  <c r="L292" i="3"/>
  <c r="K292" i="3"/>
  <c r="K291" i="3"/>
  <c r="L291" i="3" s="1"/>
  <c r="K290" i="3"/>
  <c r="L290" i="3" s="1"/>
  <c r="K289" i="3"/>
  <c r="L289" i="3" s="1"/>
  <c r="K288" i="3"/>
  <c r="L288" i="3" s="1"/>
  <c r="L287" i="3"/>
  <c r="K287" i="3"/>
  <c r="L286" i="3"/>
  <c r="K286" i="3"/>
  <c r="K285" i="3"/>
  <c r="L285" i="3" s="1"/>
  <c r="K284" i="3"/>
  <c r="L284" i="3" s="1"/>
  <c r="K283" i="3"/>
  <c r="L283" i="3" s="1"/>
  <c r="K282" i="3"/>
  <c r="L282" i="3" s="1"/>
  <c r="L281" i="3"/>
  <c r="K281" i="3"/>
  <c r="L280" i="3"/>
  <c r="K280" i="3"/>
  <c r="K279" i="3"/>
  <c r="L279" i="3" s="1"/>
  <c r="K278" i="3"/>
  <c r="L278" i="3" s="1"/>
  <c r="L277" i="3"/>
  <c r="K277" i="3"/>
  <c r="K276" i="3"/>
  <c r="L276" i="3" s="1"/>
  <c r="L275" i="3"/>
  <c r="K275" i="3"/>
  <c r="L274" i="3"/>
  <c r="K274" i="3"/>
  <c r="K273" i="3"/>
  <c r="L273" i="3" s="1"/>
  <c r="K272" i="3"/>
  <c r="L272" i="3" s="1"/>
  <c r="L271" i="3"/>
  <c r="K271" i="3"/>
  <c r="L270" i="3"/>
  <c r="K270" i="3"/>
  <c r="L269" i="3"/>
  <c r="K269" i="3"/>
  <c r="L268" i="3"/>
  <c r="K268" i="3"/>
  <c r="K267" i="3"/>
  <c r="L267" i="3" s="1"/>
  <c r="K266" i="3"/>
  <c r="L266" i="3" s="1"/>
  <c r="K265" i="3"/>
  <c r="L265" i="3" s="1"/>
  <c r="L264" i="3"/>
  <c r="K264" i="3"/>
  <c r="L263" i="3"/>
  <c r="K263" i="3"/>
  <c r="L262" i="3"/>
  <c r="K262" i="3"/>
  <c r="K261" i="3"/>
  <c r="L261" i="3" s="1"/>
  <c r="K260" i="3"/>
  <c r="L260" i="3" s="1"/>
  <c r="K259" i="3"/>
  <c r="L259" i="3" s="1"/>
  <c r="K258" i="3"/>
  <c r="L258" i="3" s="1"/>
  <c r="L257" i="3"/>
  <c r="K257" i="3"/>
  <c r="L256" i="3"/>
  <c r="K256" i="3"/>
  <c r="K255" i="3"/>
  <c r="L255" i="3" s="1"/>
  <c r="K254" i="3"/>
  <c r="L254" i="3" s="1"/>
  <c r="K253" i="3"/>
  <c r="L253" i="3" s="1"/>
  <c r="K252" i="3"/>
  <c r="L252" i="3" s="1"/>
  <c r="L251" i="3"/>
  <c r="K251" i="3"/>
  <c r="L250" i="3"/>
  <c r="K250" i="3"/>
  <c r="K249" i="3"/>
  <c r="L249" i="3" s="1"/>
  <c r="K248" i="3"/>
  <c r="L248" i="3" s="1"/>
  <c r="K247" i="3"/>
  <c r="L247" i="3" s="1"/>
  <c r="K246" i="3"/>
  <c r="L246" i="3" s="1"/>
  <c r="L245" i="3"/>
  <c r="K245" i="3"/>
  <c r="L244" i="3"/>
  <c r="K244" i="3"/>
  <c r="K243" i="3"/>
  <c r="L243" i="3" s="1"/>
  <c r="K242" i="3"/>
  <c r="L242" i="3" s="1"/>
  <c r="L241" i="3"/>
  <c r="K241" i="3"/>
  <c r="K240" i="3"/>
  <c r="L240" i="3" s="1"/>
  <c r="L239" i="3"/>
  <c r="K239" i="3"/>
  <c r="L238" i="3"/>
  <c r="K238" i="3"/>
  <c r="K237" i="3"/>
  <c r="L237" i="3" s="1"/>
  <c r="K236" i="3"/>
  <c r="L236" i="3" s="1"/>
  <c r="L235" i="3"/>
  <c r="K235" i="3"/>
  <c r="L234" i="3"/>
  <c r="K234" i="3"/>
  <c r="L233" i="3"/>
  <c r="K233" i="3"/>
  <c r="L232" i="3"/>
  <c r="K232" i="3"/>
  <c r="K231" i="3"/>
  <c r="L231" i="3" s="1"/>
  <c r="K230" i="3"/>
  <c r="L230" i="3" s="1"/>
  <c r="K229" i="3"/>
  <c r="L229" i="3" s="1"/>
  <c r="L228" i="3"/>
  <c r="K228" i="3"/>
  <c r="L227" i="3"/>
  <c r="K227" i="3"/>
  <c r="L226" i="3"/>
  <c r="K226" i="3"/>
  <c r="K225" i="3"/>
  <c r="L225" i="3" s="1"/>
  <c r="K224" i="3"/>
  <c r="L224" i="3" s="1"/>
  <c r="K223" i="3"/>
  <c r="L223" i="3" s="1"/>
  <c r="K222" i="3"/>
  <c r="L222" i="3" s="1"/>
  <c r="L221" i="3"/>
  <c r="K221" i="3"/>
  <c r="L220" i="3"/>
  <c r="K220" i="3"/>
  <c r="K219" i="3"/>
  <c r="L219" i="3" s="1"/>
  <c r="K218" i="3"/>
  <c r="L218" i="3" s="1"/>
  <c r="K217" i="3"/>
  <c r="L217" i="3" s="1"/>
  <c r="K216" i="3"/>
  <c r="L216" i="3" s="1"/>
  <c r="L215" i="3"/>
  <c r="K215" i="3"/>
  <c r="L214" i="3"/>
  <c r="K214" i="3"/>
  <c r="K213" i="3"/>
  <c r="L213" i="3" s="1"/>
  <c r="K212" i="3"/>
  <c r="L212" i="3" s="1"/>
  <c r="K211" i="3"/>
  <c r="L211" i="3" s="1"/>
  <c r="K210" i="3"/>
  <c r="L210" i="3" s="1"/>
  <c r="L209" i="3"/>
  <c r="K209" i="3"/>
  <c r="L208" i="3"/>
  <c r="K208" i="3"/>
  <c r="K207" i="3"/>
  <c r="L207" i="3" s="1"/>
  <c r="K206" i="3"/>
  <c r="L206" i="3" s="1"/>
  <c r="L205" i="3"/>
  <c r="K205" i="3"/>
  <c r="K204" i="3"/>
  <c r="L204" i="3" s="1"/>
  <c r="L203" i="3"/>
  <c r="K203" i="3"/>
  <c r="L202" i="3"/>
  <c r="K202" i="3"/>
  <c r="K201" i="3"/>
  <c r="L201" i="3" s="1"/>
  <c r="K200" i="3"/>
  <c r="L200" i="3" s="1"/>
  <c r="L199" i="3"/>
  <c r="K199" i="3"/>
  <c r="L198" i="3"/>
  <c r="K198" i="3"/>
  <c r="L197" i="3"/>
  <c r="K197" i="3"/>
  <c r="L196" i="3"/>
  <c r="K196" i="3"/>
  <c r="K195" i="3"/>
  <c r="L195" i="3" s="1"/>
  <c r="K194" i="3"/>
  <c r="L194" i="3" s="1"/>
  <c r="K193" i="3"/>
  <c r="L193" i="3" s="1"/>
  <c r="L192" i="3"/>
  <c r="K192" i="3"/>
  <c r="L191" i="3"/>
  <c r="K191" i="3"/>
  <c r="L190" i="3"/>
  <c r="K190" i="3"/>
  <c r="K189" i="3"/>
  <c r="L189" i="3" s="1"/>
  <c r="K188" i="3"/>
  <c r="L188" i="3" s="1"/>
  <c r="K187" i="3"/>
  <c r="L187" i="3" s="1"/>
  <c r="K186" i="3"/>
  <c r="L186" i="3" s="1"/>
  <c r="L185" i="3"/>
  <c r="K185" i="3"/>
  <c r="L184" i="3"/>
  <c r="K184" i="3"/>
  <c r="K183" i="3"/>
  <c r="L183" i="3" s="1"/>
  <c r="K182" i="3"/>
  <c r="L182" i="3" s="1"/>
  <c r="K181" i="3"/>
  <c r="L181" i="3" s="1"/>
  <c r="K180" i="3"/>
  <c r="L180" i="3" s="1"/>
  <c r="L179" i="3"/>
  <c r="K179" i="3"/>
  <c r="L178" i="3"/>
  <c r="K178" i="3"/>
  <c r="K177" i="3"/>
  <c r="L177" i="3" s="1"/>
  <c r="K176" i="3"/>
  <c r="L176" i="3" s="1"/>
  <c r="K175" i="3"/>
  <c r="L175" i="3" s="1"/>
  <c r="K174" i="3"/>
  <c r="L174" i="3" s="1"/>
  <c r="L173" i="3"/>
  <c r="K173" i="3"/>
  <c r="L172" i="3"/>
  <c r="K172" i="3"/>
  <c r="K171" i="3"/>
  <c r="L171" i="3" s="1"/>
  <c r="K170" i="3"/>
  <c r="L170" i="3" s="1"/>
  <c r="L169" i="3"/>
  <c r="K169" i="3"/>
  <c r="K168" i="3"/>
  <c r="L168" i="3" s="1"/>
  <c r="L167" i="3"/>
  <c r="K167" i="3"/>
  <c r="L166" i="3"/>
  <c r="K166" i="3"/>
  <c r="K165" i="3"/>
  <c r="L165" i="3" s="1"/>
  <c r="K164" i="3"/>
  <c r="L164" i="3" s="1"/>
  <c r="L163" i="3"/>
  <c r="K163" i="3"/>
  <c r="L162" i="3"/>
  <c r="K162" i="3"/>
  <c r="L161" i="3"/>
  <c r="K161" i="3"/>
  <c r="L160" i="3"/>
  <c r="K160" i="3"/>
  <c r="K159" i="3"/>
  <c r="L159" i="3" s="1"/>
  <c r="K158" i="3"/>
  <c r="L158" i="3" s="1"/>
  <c r="K157" i="3"/>
  <c r="L157" i="3" s="1"/>
  <c r="L156" i="3"/>
  <c r="K156" i="3"/>
  <c r="L155" i="3"/>
  <c r="K155" i="3"/>
  <c r="L154" i="3"/>
  <c r="K154" i="3"/>
  <c r="K153" i="3"/>
  <c r="L153" i="3" s="1"/>
  <c r="K152" i="3"/>
  <c r="L152" i="3" s="1"/>
  <c r="K151" i="3"/>
  <c r="L151" i="3" s="1"/>
  <c r="K150" i="3"/>
  <c r="L150" i="3" s="1"/>
  <c r="L149" i="3"/>
  <c r="K149" i="3"/>
  <c r="L148" i="3"/>
  <c r="K148" i="3"/>
  <c r="K147" i="3"/>
  <c r="L147" i="3" s="1"/>
  <c r="K146" i="3"/>
  <c r="L146" i="3" s="1"/>
  <c r="K145" i="3"/>
  <c r="L145" i="3" s="1"/>
  <c r="K144" i="3"/>
  <c r="L144" i="3" s="1"/>
  <c r="L143" i="3"/>
  <c r="K143" i="3"/>
  <c r="L142" i="3"/>
  <c r="K142" i="3"/>
  <c r="K141" i="3"/>
  <c r="L141" i="3" s="1"/>
  <c r="K140" i="3"/>
  <c r="L140" i="3" s="1"/>
  <c r="K139" i="3"/>
  <c r="L139" i="3" s="1"/>
  <c r="K138" i="3"/>
  <c r="L138" i="3" s="1"/>
  <c r="L137" i="3"/>
  <c r="K137" i="3"/>
  <c r="L136" i="3"/>
  <c r="K136" i="3"/>
  <c r="K135" i="3"/>
  <c r="L135" i="3" s="1"/>
  <c r="K134" i="3"/>
  <c r="L134" i="3" s="1"/>
  <c r="L133" i="3"/>
  <c r="K133" i="3"/>
  <c r="K132" i="3"/>
  <c r="L132" i="3" s="1"/>
  <c r="L131" i="3"/>
  <c r="K131" i="3"/>
  <c r="L130" i="3"/>
  <c r="K130" i="3"/>
  <c r="K129" i="3"/>
  <c r="L129" i="3" s="1"/>
  <c r="K128" i="3"/>
  <c r="L128" i="3" s="1"/>
  <c r="L127" i="3"/>
  <c r="K127" i="3"/>
  <c r="L126" i="3"/>
  <c r="K126" i="3"/>
  <c r="L125" i="3"/>
  <c r="K125" i="3"/>
  <c r="L124" i="3"/>
  <c r="K124" i="3"/>
  <c r="K123" i="3"/>
  <c r="L123" i="3" s="1"/>
  <c r="K122" i="3"/>
  <c r="L122" i="3" s="1"/>
  <c r="K121" i="3"/>
  <c r="L121" i="3" s="1"/>
  <c r="L120" i="3"/>
  <c r="K120" i="3"/>
  <c r="L119" i="3"/>
  <c r="K119" i="3"/>
  <c r="L118" i="3"/>
  <c r="K118" i="3"/>
  <c r="K117" i="3"/>
  <c r="L117" i="3" s="1"/>
  <c r="K116" i="3"/>
  <c r="L116" i="3" s="1"/>
  <c r="K115" i="3"/>
  <c r="L115" i="3" s="1"/>
  <c r="K114" i="3"/>
  <c r="L114" i="3" s="1"/>
  <c r="L113" i="3"/>
  <c r="K113" i="3"/>
  <c r="L112" i="3"/>
  <c r="K112" i="3"/>
  <c r="K111" i="3"/>
  <c r="L111" i="3" s="1"/>
  <c r="K110" i="3"/>
  <c r="L110" i="3" s="1"/>
  <c r="K109" i="3"/>
  <c r="L109" i="3" s="1"/>
  <c r="K108" i="3"/>
  <c r="L108" i="3" s="1"/>
  <c r="L107" i="3"/>
  <c r="K107" i="3"/>
  <c r="L106" i="3"/>
  <c r="K106" i="3"/>
  <c r="K105" i="3"/>
  <c r="L105" i="3" s="1"/>
  <c r="K104" i="3"/>
  <c r="L104" i="3" s="1"/>
  <c r="K103" i="3"/>
  <c r="L103" i="3" s="1"/>
  <c r="K102" i="3"/>
  <c r="L102" i="3" s="1"/>
  <c r="L101" i="3"/>
  <c r="K101" i="3"/>
  <c r="L100" i="3"/>
  <c r="K100" i="3"/>
  <c r="K99" i="3"/>
  <c r="L99" i="3" s="1"/>
  <c r="K98" i="3"/>
  <c r="L98" i="3" s="1"/>
  <c r="L97" i="3"/>
  <c r="K97" i="3"/>
  <c r="K96" i="3"/>
  <c r="L96" i="3" s="1"/>
  <c r="L95" i="3"/>
  <c r="K95" i="3"/>
  <c r="L94" i="3"/>
  <c r="K94" i="3"/>
  <c r="K93" i="3"/>
  <c r="L93" i="3" s="1"/>
  <c r="K92" i="3"/>
  <c r="L92" i="3" s="1"/>
  <c r="L91" i="3"/>
  <c r="K91" i="3"/>
  <c r="L90" i="3"/>
  <c r="K90" i="3"/>
  <c r="L89" i="3"/>
  <c r="K89" i="3"/>
  <c r="L88" i="3"/>
  <c r="K88" i="3"/>
  <c r="K87" i="3"/>
  <c r="L87" i="3" s="1"/>
  <c r="K86" i="3"/>
  <c r="L86" i="3" s="1"/>
  <c r="K85" i="3"/>
  <c r="L85" i="3" s="1"/>
  <c r="L84" i="3"/>
  <c r="K84" i="3"/>
  <c r="L83" i="3"/>
  <c r="K83" i="3"/>
  <c r="L82" i="3"/>
  <c r="K82" i="3"/>
  <c r="K81" i="3"/>
  <c r="L81" i="3" s="1"/>
  <c r="K80" i="3"/>
  <c r="L80" i="3" s="1"/>
  <c r="K79" i="3"/>
  <c r="L79" i="3" s="1"/>
  <c r="K78" i="3"/>
  <c r="L78" i="3" s="1"/>
  <c r="L77" i="3"/>
  <c r="K77" i="3"/>
  <c r="L76" i="3"/>
  <c r="K76" i="3"/>
  <c r="K75" i="3"/>
  <c r="L75" i="3" s="1"/>
  <c r="K74" i="3"/>
  <c r="L74" i="3" s="1"/>
  <c r="K73" i="3"/>
  <c r="L73" i="3" s="1"/>
  <c r="K72" i="3"/>
  <c r="L72" i="3" s="1"/>
  <c r="L71" i="3"/>
  <c r="K71" i="3"/>
  <c r="L70" i="3"/>
  <c r="K70" i="3"/>
  <c r="K69" i="3"/>
  <c r="L69" i="3" s="1"/>
  <c r="K68" i="3"/>
  <c r="L68" i="3" s="1"/>
  <c r="K67" i="3"/>
  <c r="L67" i="3" s="1"/>
  <c r="K66" i="3"/>
  <c r="L66" i="3" s="1"/>
  <c r="L65" i="3"/>
  <c r="K65" i="3"/>
  <c r="L64" i="3"/>
  <c r="K64" i="3"/>
  <c r="K63" i="3"/>
  <c r="L63" i="3" s="1"/>
  <c r="K62" i="3"/>
  <c r="L62" i="3" s="1"/>
  <c r="L61" i="3"/>
  <c r="K61" i="3"/>
  <c r="K60" i="3"/>
  <c r="L60" i="3" s="1"/>
  <c r="L59" i="3"/>
  <c r="K59" i="3"/>
  <c r="L58" i="3"/>
  <c r="K58" i="3"/>
  <c r="K57" i="3"/>
  <c r="L57" i="3" s="1"/>
  <c r="K56" i="3"/>
  <c r="L56" i="3" s="1"/>
  <c r="L55" i="3"/>
  <c r="K55" i="3"/>
  <c r="L54" i="3"/>
  <c r="K54" i="3"/>
  <c r="L53" i="3"/>
  <c r="K53" i="3"/>
  <c r="L52" i="3"/>
  <c r="K52" i="3"/>
  <c r="K51" i="3"/>
  <c r="L51" i="3" s="1"/>
  <c r="K50" i="3"/>
  <c r="L50" i="3" s="1"/>
  <c r="K49" i="3"/>
  <c r="L49" i="3" s="1"/>
  <c r="L48" i="3"/>
  <c r="K48" i="3"/>
  <c r="L47" i="3"/>
  <c r="K47" i="3"/>
  <c r="L46" i="3"/>
  <c r="K46" i="3"/>
  <c r="K45" i="3"/>
  <c r="L45" i="3" s="1"/>
  <c r="K44" i="3"/>
  <c r="L44" i="3" s="1"/>
  <c r="K43" i="3"/>
  <c r="L43" i="3" s="1"/>
  <c r="K42" i="3"/>
  <c r="L42" i="3" s="1"/>
  <c r="L41" i="3"/>
  <c r="K41" i="3"/>
  <c r="L40" i="3"/>
  <c r="K40" i="3"/>
  <c r="K39" i="3"/>
  <c r="L39" i="3" s="1"/>
  <c r="K38" i="3"/>
  <c r="L38" i="3" s="1"/>
  <c r="K37" i="3"/>
  <c r="L37" i="3" s="1"/>
  <c r="K36" i="3"/>
  <c r="L36" i="3" s="1"/>
  <c r="L35" i="3"/>
  <c r="K35" i="3"/>
  <c r="L34" i="3"/>
  <c r="K34" i="3"/>
  <c r="K33" i="3"/>
  <c r="L33" i="3" s="1"/>
  <c r="K32" i="3"/>
  <c r="L32" i="3" s="1"/>
  <c r="K31" i="3"/>
  <c r="L31" i="3" s="1"/>
  <c r="K30" i="3"/>
  <c r="L30" i="3" s="1"/>
  <c r="L29" i="3"/>
  <c r="K29" i="3"/>
  <c r="L28" i="3"/>
  <c r="K28" i="3"/>
  <c r="K27" i="3"/>
  <c r="L27" i="3" s="1"/>
  <c r="K26" i="3"/>
  <c r="L26" i="3" s="1"/>
  <c r="L25" i="3"/>
  <c r="K25" i="3"/>
  <c r="K24" i="3"/>
  <c r="L24" i="3" s="1"/>
  <c r="L23" i="3"/>
  <c r="K23" i="3"/>
  <c r="L22" i="3"/>
  <c r="K22" i="3"/>
  <c r="K21" i="3"/>
  <c r="L21" i="3" s="1"/>
  <c r="K20" i="3"/>
  <c r="L20" i="3" s="1"/>
  <c r="L19" i="3"/>
  <c r="K19" i="3"/>
  <c r="L18" i="3"/>
  <c r="K18" i="3"/>
  <c r="L17" i="3"/>
  <c r="K17" i="3"/>
  <c r="L16" i="3"/>
  <c r="K16" i="3"/>
  <c r="K15" i="3"/>
  <c r="L15" i="3" s="1"/>
  <c r="K14" i="3"/>
  <c r="L14" i="3" s="1"/>
  <c r="K13" i="3"/>
  <c r="L13" i="3" s="1"/>
  <c r="L12" i="3"/>
  <c r="K12" i="3"/>
  <c r="L11" i="3"/>
  <c r="K11" i="3"/>
  <c r="L10" i="3"/>
  <c r="K10" i="3"/>
  <c r="K9" i="3"/>
  <c r="L9" i="3" s="1"/>
  <c r="K8" i="3"/>
  <c r="L8" i="3" s="1"/>
  <c r="K7" i="3"/>
  <c r="L7" i="3" s="1"/>
  <c r="K6" i="3"/>
  <c r="L6" i="3" s="1"/>
  <c r="L5" i="3"/>
  <c r="K5" i="3"/>
  <c r="L4" i="3"/>
  <c r="K4" i="3"/>
  <c r="K3" i="3"/>
  <c r="L3" i="3" s="1"/>
  <c r="K2" i="3"/>
  <c r="L2" i="3" s="1"/>
  <c r="AF5" i="2" a="1"/>
  <c r="AF5" i="2" s="1"/>
  <c r="X6" i="2"/>
  <c r="Y6" i="2"/>
  <c r="Z6" i="2"/>
  <c r="AA6" i="2"/>
  <c r="AB6" i="2"/>
  <c r="X7" i="2"/>
  <c r="Y7" i="2"/>
  <c r="Z7" i="2"/>
  <c r="AA7" i="2"/>
  <c r="AB7" i="2"/>
  <c r="X8" i="2"/>
  <c r="Y8" i="2"/>
  <c r="Z8" i="2"/>
  <c r="AA8" i="2"/>
  <c r="AB8" i="2"/>
  <c r="X9" i="2"/>
  <c r="Y9" i="2"/>
  <c r="Z9" i="2"/>
  <c r="AA9" i="2"/>
  <c r="AB9" i="2"/>
  <c r="X10" i="2"/>
  <c r="Y10" i="2"/>
  <c r="Z10" i="2"/>
  <c r="AA10" i="2"/>
  <c r="AB10" i="2"/>
  <c r="X11" i="2"/>
  <c r="Y11" i="2"/>
  <c r="Z11" i="2"/>
  <c r="AA11" i="2"/>
  <c r="AB11" i="2"/>
  <c r="X12" i="2"/>
  <c r="Y12" i="2"/>
  <c r="Z12" i="2"/>
  <c r="AA12" i="2"/>
  <c r="AB12" i="2"/>
  <c r="X13" i="2"/>
  <c r="Y13" i="2"/>
  <c r="Z13" i="2"/>
  <c r="AA13" i="2"/>
  <c r="AB13" i="2"/>
  <c r="X14" i="2"/>
  <c r="Y14" i="2"/>
  <c r="Z14" i="2"/>
  <c r="AA14" i="2"/>
  <c r="AB14" i="2"/>
  <c r="X15" i="2"/>
  <c r="Y15" i="2"/>
  <c r="Z15" i="2"/>
  <c r="AA15" i="2"/>
  <c r="AB15" i="2"/>
  <c r="X16" i="2"/>
  <c r="Y16" i="2"/>
  <c r="Z16" i="2"/>
  <c r="AA16" i="2"/>
  <c r="AB16" i="2"/>
  <c r="X17" i="2"/>
  <c r="Y17" i="2"/>
  <c r="Z17" i="2"/>
  <c r="AA17" i="2"/>
  <c r="AB17" i="2"/>
  <c r="X18" i="2"/>
  <c r="Y18" i="2"/>
  <c r="Z18" i="2"/>
  <c r="AA18" i="2"/>
  <c r="AB18" i="2"/>
  <c r="X19" i="2"/>
  <c r="Y19" i="2"/>
  <c r="Z19" i="2"/>
  <c r="AA19" i="2"/>
  <c r="AB19" i="2"/>
  <c r="X20" i="2"/>
  <c r="Y20" i="2"/>
  <c r="Z20" i="2"/>
  <c r="AA20" i="2"/>
  <c r="AB20" i="2"/>
  <c r="X21" i="2"/>
  <c r="Y21" i="2"/>
  <c r="Z21" i="2"/>
  <c r="AA21" i="2"/>
  <c r="AB21" i="2"/>
  <c r="X22" i="2"/>
  <c r="Y22" i="2"/>
  <c r="Z22" i="2"/>
  <c r="AA22" i="2"/>
  <c r="AB22" i="2"/>
  <c r="X23" i="2"/>
  <c r="Y23" i="2"/>
  <c r="Z23" i="2"/>
  <c r="AA23" i="2"/>
  <c r="AB23" i="2"/>
  <c r="X24" i="2"/>
  <c r="Y24" i="2"/>
  <c r="Z24" i="2"/>
  <c r="AA24" i="2"/>
  <c r="AB24" i="2"/>
  <c r="X25" i="2"/>
  <c r="Y25" i="2"/>
  <c r="Z25" i="2"/>
  <c r="AA25" i="2"/>
  <c r="AB25" i="2"/>
  <c r="X26" i="2"/>
  <c r="Y26" i="2"/>
  <c r="Z26" i="2"/>
  <c r="AA26" i="2"/>
  <c r="AB26" i="2"/>
  <c r="X27" i="2"/>
  <c r="Y27" i="2"/>
  <c r="Z27" i="2"/>
  <c r="AA27" i="2"/>
  <c r="AB27" i="2"/>
  <c r="X28" i="2"/>
  <c r="Y28" i="2"/>
  <c r="Z28" i="2"/>
  <c r="AA28" i="2"/>
  <c r="AB28" i="2"/>
  <c r="Y5" i="2"/>
  <c r="Z5" i="2"/>
  <c r="AA5" i="2"/>
  <c r="AB5" i="2"/>
  <c r="X5" i="2"/>
  <c r="K1001" i="2"/>
  <c r="L1001" i="2" s="1"/>
  <c r="K1000" i="2"/>
  <c r="L1000" i="2" s="1"/>
  <c r="K999" i="2"/>
  <c r="L999" i="2" s="1"/>
  <c r="K998" i="2"/>
  <c r="L998" i="2" s="1"/>
  <c r="K997" i="2"/>
  <c r="L997" i="2" s="1"/>
  <c r="K996" i="2"/>
  <c r="L996" i="2" s="1"/>
  <c r="K995" i="2"/>
  <c r="L995" i="2" s="1"/>
  <c r="K994" i="2"/>
  <c r="L994" i="2" s="1"/>
  <c r="K993" i="2"/>
  <c r="L993" i="2" s="1"/>
  <c r="K992" i="2"/>
  <c r="L992" i="2" s="1"/>
  <c r="K991" i="2"/>
  <c r="L991" i="2" s="1"/>
  <c r="K990" i="2"/>
  <c r="L990" i="2" s="1"/>
  <c r="K989" i="2"/>
  <c r="L989" i="2" s="1"/>
  <c r="K988" i="2"/>
  <c r="L988" i="2" s="1"/>
  <c r="K987" i="2"/>
  <c r="L987" i="2" s="1"/>
  <c r="K986" i="2"/>
  <c r="L986" i="2" s="1"/>
  <c r="K985" i="2"/>
  <c r="L985" i="2" s="1"/>
  <c r="K984" i="2"/>
  <c r="L984" i="2" s="1"/>
  <c r="K983" i="2"/>
  <c r="L983" i="2" s="1"/>
  <c r="K982" i="2"/>
  <c r="L982" i="2" s="1"/>
  <c r="K981" i="2"/>
  <c r="L981" i="2" s="1"/>
  <c r="K980" i="2"/>
  <c r="L980" i="2" s="1"/>
  <c r="K979" i="2"/>
  <c r="L979" i="2" s="1"/>
  <c r="K978" i="2"/>
  <c r="L978" i="2" s="1"/>
  <c r="K977" i="2"/>
  <c r="L977" i="2" s="1"/>
  <c r="K976" i="2"/>
  <c r="L976" i="2" s="1"/>
  <c r="K975" i="2"/>
  <c r="L975" i="2" s="1"/>
  <c r="K974" i="2"/>
  <c r="L974" i="2" s="1"/>
  <c r="K973" i="2"/>
  <c r="L973" i="2" s="1"/>
  <c r="K972" i="2"/>
  <c r="L972" i="2" s="1"/>
  <c r="K971" i="2"/>
  <c r="L971" i="2" s="1"/>
  <c r="K970" i="2"/>
  <c r="L970" i="2" s="1"/>
  <c r="K969" i="2"/>
  <c r="L969" i="2" s="1"/>
  <c r="K968" i="2"/>
  <c r="L968" i="2" s="1"/>
  <c r="K967" i="2"/>
  <c r="L967" i="2" s="1"/>
  <c r="K966" i="2"/>
  <c r="L966" i="2" s="1"/>
  <c r="K965" i="2"/>
  <c r="L965" i="2" s="1"/>
  <c r="K964" i="2"/>
  <c r="L964" i="2" s="1"/>
  <c r="K963" i="2"/>
  <c r="L963" i="2" s="1"/>
  <c r="K962" i="2"/>
  <c r="L962" i="2" s="1"/>
  <c r="K961" i="2"/>
  <c r="L961" i="2" s="1"/>
  <c r="K960" i="2"/>
  <c r="L960" i="2" s="1"/>
  <c r="K959" i="2"/>
  <c r="L959" i="2" s="1"/>
  <c r="K958" i="2"/>
  <c r="L958" i="2" s="1"/>
  <c r="K957" i="2"/>
  <c r="L957" i="2" s="1"/>
  <c r="K956" i="2"/>
  <c r="L956" i="2" s="1"/>
  <c r="K955" i="2"/>
  <c r="L955" i="2" s="1"/>
  <c r="K954" i="2"/>
  <c r="L954" i="2" s="1"/>
  <c r="K953" i="2"/>
  <c r="L953" i="2" s="1"/>
  <c r="K952" i="2"/>
  <c r="L952" i="2" s="1"/>
  <c r="K951" i="2"/>
  <c r="L951" i="2" s="1"/>
  <c r="K950" i="2"/>
  <c r="L950" i="2" s="1"/>
  <c r="K949" i="2"/>
  <c r="L949" i="2" s="1"/>
  <c r="K948" i="2"/>
  <c r="L948" i="2" s="1"/>
  <c r="K947" i="2"/>
  <c r="L947" i="2" s="1"/>
  <c r="K946" i="2"/>
  <c r="L946" i="2" s="1"/>
  <c r="K945" i="2"/>
  <c r="L945" i="2" s="1"/>
  <c r="K944" i="2"/>
  <c r="L944" i="2" s="1"/>
  <c r="K943" i="2"/>
  <c r="L943" i="2" s="1"/>
  <c r="K942" i="2"/>
  <c r="L942" i="2" s="1"/>
  <c r="K941" i="2"/>
  <c r="L941" i="2" s="1"/>
  <c r="K940" i="2"/>
  <c r="L940" i="2" s="1"/>
  <c r="K939" i="2"/>
  <c r="L939" i="2" s="1"/>
  <c r="K938" i="2"/>
  <c r="L938" i="2" s="1"/>
  <c r="K937" i="2"/>
  <c r="L937" i="2" s="1"/>
  <c r="K936" i="2"/>
  <c r="L936" i="2" s="1"/>
  <c r="K935" i="2"/>
  <c r="L935" i="2" s="1"/>
  <c r="K934" i="2"/>
  <c r="L934" i="2" s="1"/>
  <c r="K933" i="2"/>
  <c r="L933" i="2" s="1"/>
  <c r="K932" i="2"/>
  <c r="L932" i="2" s="1"/>
  <c r="K931" i="2"/>
  <c r="L931" i="2" s="1"/>
  <c r="K930" i="2"/>
  <c r="L930" i="2" s="1"/>
  <c r="K929" i="2"/>
  <c r="L929" i="2" s="1"/>
  <c r="K928" i="2"/>
  <c r="L928" i="2" s="1"/>
  <c r="K927" i="2"/>
  <c r="L927" i="2" s="1"/>
  <c r="K926" i="2"/>
  <c r="L926" i="2" s="1"/>
  <c r="K925" i="2"/>
  <c r="L925" i="2" s="1"/>
  <c r="K924" i="2"/>
  <c r="L924" i="2" s="1"/>
  <c r="K923" i="2"/>
  <c r="L923" i="2" s="1"/>
  <c r="K922" i="2"/>
  <c r="L922" i="2" s="1"/>
  <c r="K921" i="2"/>
  <c r="L921" i="2" s="1"/>
  <c r="K920" i="2"/>
  <c r="L920" i="2" s="1"/>
  <c r="K919" i="2"/>
  <c r="L919" i="2" s="1"/>
  <c r="K918" i="2"/>
  <c r="L918" i="2" s="1"/>
  <c r="K917" i="2"/>
  <c r="L917" i="2" s="1"/>
  <c r="K916" i="2"/>
  <c r="L916" i="2" s="1"/>
  <c r="K915" i="2"/>
  <c r="L915" i="2" s="1"/>
  <c r="K914" i="2"/>
  <c r="L914" i="2" s="1"/>
  <c r="K913" i="2"/>
  <c r="L913" i="2" s="1"/>
  <c r="K912" i="2"/>
  <c r="L912" i="2" s="1"/>
  <c r="K911" i="2"/>
  <c r="L911" i="2" s="1"/>
  <c r="K910" i="2"/>
  <c r="L910" i="2" s="1"/>
  <c r="K909" i="2"/>
  <c r="L909" i="2" s="1"/>
  <c r="K908" i="2"/>
  <c r="L908" i="2" s="1"/>
  <c r="K907" i="2"/>
  <c r="L907" i="2" s="1"/>
  <c r="K906" i="2"/>
  <c r="L906" i="2" s="1"/>
  <c r="K905" i="2"/>
  <c r="L905" i="2" s="1"/>
  <c r="K904" i="2"/>
  <c r="L904" i="2" s="1"/>
  <c r="K903" i="2"/>
  <c r="L903" i="2" s="1"/>
  <c r="K902" i="2"/>
  <c r="L902" i="2" s="1"/>
  <c r="K901" i="2"/>
  <c r="L901" i="2" s="1"/>
  <c r="K900" i="2"/>
  <c r="L900" i="2" s="1"/>
  <c r="K899" i="2"/>
  <c r="L899" i="2" s="1"/>
  <c r="K898" i="2"/>
  <c r="L898" i="2" s="1"/>
  <c r="K897" i="2"/>
  <c r="L897" i="2" s="1"/>
  <c r="K896" i="2"/>
  <c r="L896" i="2" s="1"/>
  <c r="K895" i="2"/>
  <c r="L895" i="2" s="1"/>
  <c r="K894" i="2"/>
  <c r="L894" i="2" s="1"/>
  <c r="K893" i="2"/>
  <c r="L893" i="2" s="1"/>
  <c r="K892" i="2"/>
  <c r="L892" i="2" s="1"/>
  <c r="K891" i="2"/>
  <c r="L891" i="2" s="1"/>
  <c r="K890" i="2"/>
  <c r="L890" i="2" s="1"/>
  <c r="K889" i="2"/>
  <c r="L889" i="2" s="1"/>
  <c r="K888" i="2"/>
  <c r="L888" i="2" s="1"/>
  <c r="K887" i="2"/>
  <c r="L887" i="2" s="1"/>
  <c r="K886" i="2"/>
  <c r="L886" i="2" s="1"/>
  <c r="K885" i="2"/>
  <c r="L885" i="2" s="1"/>
  <c r="K884" i="2"/>
  <c r="L884" i="2" s="1"/>
  <c r="K883" i="2"/>
  <c r="L883" i="2" s="1"/>
  <c r="K882" i="2"/>
  <c r="L882" i="2" s="1"/>
  <c r="K881" i="2"/>
  <c r="L881" i="2" s="1"/>
  <c r="K880" i="2"/>
  <c r="L880" i="2" s="1"/>
  <c r="K879" i="2"/>
  <c r="L879" i="2" s="1"/>
  <c r="K878" i="2"/>
  <c r="L878" i="2" s="1"/>
  <c r="K877" i="2"/>
  <c r="L877" i="2" s="1"/>
  <c r="K876" i="2"/>
  <c r="L876" i="2" s="1"/>
  <c r="K875" i="2"/>
  <c r="L875" i="2" s="1"/>
  <c r="K874" i="2"/>
  <c r="L874" i="2" s="1"/>
  <c r="K873" i="2"/>
  <c r="L873" i="2" s="1"/>
  <c r="K872" i="2"/>
  <c r="L872" i="2" s="1"/>
  <c r="K871" i="2"/>
  <c r="L871" i="2" s="1"/>
  <c r="K870" i="2"/>
  <c r="L870" i="2" s="1"/>
  <c r="K869" i="2"/>
  <c r="L869" i="2" s="1"/>
  <c r="K868" i="2"/>
  <c r="L868" i="2" s="1"/>
  <c r="K867" i="2"/>
  <c r="L867" i="2" s="1"/>
  <c r="K866" i="2"/>
  <c r="L866" i="2" s="1"/>
  <c r="K865" i="2"/>
  <c r="L865" i="2" s="1"/>
  <c r="K864" i="2"/>
  <c r="L864" i="2" s="1"/>
  <c r="K863" i="2"/>
  <c r="L863" i="2" s="1"/>
  <c r="K862" i="2"/>
  <c r="L862" i="2" s="1"/>
  <c r="K861" i="2"/>
  <c r="L861" i="2" s="1"/>
  <c r="K860" i="2"/>
  <c r="L860" i="2" s="1"/>
  <c r="K859" i="2"/>
  <c r="L859" i="2" s="1"/>
  <c r="K858" i="2"/>
  <c r="L858" i="2" s="1"/>
  <c r="K857" i="2"/>
  <c r="L857" i="2" s="1"/>
  <c r="K856" i="2"/>
  <c r="L856" i="2" s="1"/>
  <c r="K855" i="2"/>
  <c r="L855" i="2" s="1"/>
  <c r="K854" i="2"/>
  <c r="L854" i="2" s="1"/>
  <c r="K853" i="2"/>
  <c r="L853" i="2" s="1"/>
  <c r="K852" i="2"/>
  <c r="L852" i="2" s="1"/>
  <c r="K851" i="2"/>
  <c r="L851" i="2" s="1"/>
  <c r="K850" i="2"/>
  <c r="L850" i="2" s="1"/>
  <c r="K849" i="2"/>
  <c r="L849" i="2" s="1"/>
  <c r="K848" i="2"/>
  <c r="L848" i="2" s="1"/>
  <c r="K847" i="2"/>
  <c r="L847" i="2" s="1"/>
  <c r="K846" i="2"/>
  <c r="L846" i="2" s="1"/>
  <c r="K845" i="2"/>
  <c r="L845" i="2" s="1"/>
  <c r="K844" i="2"/>
  <c r="L844" i="2" s="1"/>
  <c r="K843" i="2"/>
  <c r="L843" i="2" s="1"/>
  <c r="K842" i="2"/>
  <c r="L842" i="2" s="1"/>
  <c r="K841" i="2"/>
  <c r="L841" i="2" s="1"/>
  <c r="K840" i="2"/>
  <c r="L840" i="2" s="1"/>
  <c r="K839" i="2"/>
  <c r="L839" i="2" s="1"/>
  <c r="K838" i="2"/>
  <c r="L838" i="2" s="1"/>
  <c r="K837" i="2"/>
  <c r="L837" i="2" s="1"/>
  <c r="K836" i="2"/>
  <c r="L836" i="2" s="1"/>
  <c r="K835" i="2"/>
  <c r="L835" i="2" s="1"/>
  <c r="K834" i="2"/>
  <c r="L834" i="2" s="1"/>
  <c r="K833" i="2"/>
  <c r="L833" i="2" s="1"/>
  <c r="K832" i="2"/>
  <c r="L832" i="2" s="1"/>
  <c r="K831" i="2"/>
  <c r="L831" i="2" s="1"/>
  <c r="K830" i="2"/>
  <c r="L830" i="2" s="1"/>
  <c r="K829" i="2"/>
  <c r="L829" i="2" s="1"/>
  <c r="K828" i="2"/>
  <c r="L828" i="2" s="1"/>
  <c r="K827" i="2"/>
  <c r="L827" i="2" s="1"/>
  <c r="K826" i="2"/>
  <c r="L826" i="2" s="1"/>
  <c r="K825" i="2"/>
  <c r="L825" i="2" s="1"/>
  <c r="K824" i="2"/>
  <c r="L824" i="2" s="1"/>
  <c r="K823" i="2"/>
  <c r="L823" i="2" s="1"/>
  <c r="K822" i="2"/>
  <c r="L822" i="2" s="1"/>
  <c r="K821" i="2"/>
  <c r="L821" i="2" s="1"/>
  <c r="K820" i="2"/>
  <c r="L820" i="2" s="1"/>
  <c r="K819" i="2"/>
  <c r="L819" i="2" s="1"/>
  <c r="K818" i="2"/>
  <c r="L818" i="2" s="1"/>
  <c r="K817" i="2"/>
  <c r="L817" i="2" s="1"/>
  <c r="K816" i="2"/>
  <c r="L816" i="2" s="1"/>
  <c r="K815" i="2"/>
  <c r="L815" i="2" s="1"/>
  <c r="K814" i="2"/>
  <c r="L814" i="2" s="1"/>
  <c r="K813" i="2"/>
  <c r="L813" i="2" s="1"/>
  <c r="K812" i="2"/>
  <c r="L812" i="2" s="1"/>
  <c r="K811" i="2"/>
  <c r="L811" i="2" s="1"/>
  <c r="K810" i="2"/>
  <c r="L810" i="2" s="1"/>
  <c r="K809" i="2"/>
  <c r="L809" i="2" s="1"/>
  <c r="K808" i="2"/>
  <c r="L808" i="2" s="1"/>
  <c r="K807" i="2"/>
  <c r="L807" i="2" s="1"/>
  <c r="K806" i="2"/>
  <c r="L806" i="2" s="1"/>
  <c r="K805" i="2"/>
  <c r="L805" i="2" s="1"/>
  <c r="K804" i="2"/>
  <c r="L804" i="2" s="1"/>
  <c r="K803" i="2"/>
  <c r="L803" i="2" s="1"/>
  <c r="K802" i="2"/>
  <c r="L802" i="2" s="1"/>
  <c r="K801" i="2"/>
  <c r="L801" i="2" s="1"/>
  <c r="K800" i="2"/>
  <c r="L800" i="2" s="1"/>
  <c r="K799" i="2"/>
  <c r="L799" i="2" s="1"/>
  <c r="K798" i="2"/>
  <c r="L798" i="2" s="1"/>
  <c r="K797" i="2"/>
  <c r="L797" i="2" s="1"/>
  <c r="K796" i="2"/>
  <c r="L796" i="2" s="1"/>
  <c r="K795" i="2"/>
  <c r="L795" i="2" s="1"/>
  <c r="K794" i="2"/>
  <c r="L794" i="2" s="1"/>
  <c r="K793" i="2"/>
  <c r="L793" i="2" s="1"/>
  <c r="K792" i="2"/>
  <c r="L792" i="2" s="1"/>
  <c r="K791" i="2"/>
  <c r="L791" i="2" s="1"/>
  <c r="K790" i="2"/>
  <c r="L790" i="2" s="1"/>
  <c r="K789" i="2"/>
  <c r="L789" i="2" s="1"/>
  <c r="K788" i="2"/>
  <c r="L788" i="2" s="1"/>
  <c r="K787" i="2"/>
  <c r="L787" i="2" s="1"/>
  <c r="K786" i="2"/>
  <c r="L786" i="2" s="1"/>
  <c r="K785" i="2"/>
  <c r="L785" i="2" s="1"/>
  <c r="K784" i="2"/>
  <c r="L784" i="2" s="1"/>
  <c r="K783" i="2"/>
  <c r="L783" i="2" s="1"/>
  <c r="K782" i="2"/>
  <c r="L782" i="2" s="1"/>
  <c r="K781" i="2"/>
  <c r="L781" i="2" s="1"/>
  <c r="K780" i="2"/>
  <c r="L780" i="2" s="1"/>
  <c r="K779" i="2"/>
  <c r="L779" i="2" s="1"/>
  <c r="K778" i="2"/>
  <c r="L778" i="2" s="1"/>
  <c r="K777" i="2"/>
  <c r="L777" i="2" s="1"/>
  <c r="K776" i="2"/>
  <c r="L776" i="2" s="1"/>
  <c r="K775" i="2"/>
  <c r="L775" i="2" s="1"/>
  <c r="K774" i="2"/>
  <c r="L774" i="2" s="1"/>
  <c r="K773" i="2"/>
  <c r="L773" i="2" s="1"/>
  <c r="K772" i="2"/>
  <c r="L772" i="2" s="1"/>
  <c r="K771" i="2"/>
  <c r="L771" i="2" s="1"/>
  <c r="K770" i="2"/>
  <c r="L770" i="2" s="1"/>
  <c r="K769" i="2"/>
  <c r="L769" i="2" s="1"/>
  <c r="K768" i="2"/>
  <c r="L768" i="2" s="1"/>
  <c r="K767" i="2"/>
  <c r="L767" i="2" s="1"/>
  <c r="K766" i="2"/>
  <c r="L766" i="2" s="1"/>
  <c r="K765" i="2"/>
  <c r="L765" i="2" s="1"/>
  <c r="K764" i="2"/>
  <c r="L764" i="2" s="1"/>
  <c r="K763" i="2"/>
  <c r="L763" i="2" s="1"/>
  <c r="K762" i="2"/>
  <c r="L762" i="2" s="1"/>
  <c r="K761" i="2"/>
  <c r="L761" i="2" s="1"/>
  <c r="K760" i="2"/>
  <c r="L760" i="2" s="1"/>
  <c r="K759" i="2"/>
  <c r="L759" i="2" s="1"/>
  <c r="K758" i="2"/>
  <c r="L758" i="2" s="1"/>
  <c r="K757" i="2"/>
  <c r="L757" i="2" s="1"/>
  <c r="K756" i="2"/>
  <c r="L756" i="2" s="1"/>
  <c r="K755" i="2"/>
  <c r="L755" i="2" s="1"/>
  <c r="K754" i="2"/>
  <c r="L754" i="2" s="1"/>
  <c r="K753" i="2"/>
  <c r="L753" i="2" s="1"/>
  <c r="K752" i="2"/>
  <c r="L752" i="2" s="1"/>
  <c r="K751" i="2"/>
  <c r="L751" i="2" s="1"/>
  <c r="K750" i="2"/>
  <c r="L750" i="2" s="1"/>
  <c r="K749" i="2"/>
  <c r="L749" i="2" s="1"/>
  <c r="K748" i="2"/>
  <c r="L748" i="2" s="1"/>
  <c r="K747" i="2"/>
  <c r="L747" i="2" s="1"/>
  <c r="K746" i="2"/>
  <c r="L746" i="2" s="1"/>
  <c r="K745" i="2"/>
  <c r="L745" i="2" s="1"/>
  <c r="K744" i="2"/>
  <c r="L744" i="2" s="1"/>
  <c r="K743" i="2"/>
  <c r="L743" i="2" s="1"/>
  <c r="K742" i="2"/>
  <c r="L742" i="2" s="1"/>
  <c r="K741" i="2"/>
  <c r="L741" i="2" s="1"/>
  <c r="K740" i="2"/>
  <c r="L740" i="2" s="1"/>
  <c r="K739" i="2"/>
  <c r="L739" i="2" s="1"/>
  <c r="K738" i="2"/>
  <c r="L738" i="2" s="1"/>
  <c r="K737" i="2"/>
  <c r="L737" i="2" s="1"/>
  <c r="K736" i="2"/>
  <c r="L736" i="2" s="1"/>
  <c r="K735" i="2"/>
  <c r="L735" i="2" s="1"/>
  <c r="K734" i="2"/>
  <c r="L734" i="2" s="1"/>
  <c r="K733" i="2"/>
  <c r="L733" i="2" s="1"/>
  <c r="K732" i="2"/>
  <c r="L732" i="2" s="1"/>
  <c r="K731" i="2"/>
  <c r="L731" i="2" s="1"/>
  <c r="K730" i="2"/>
  <c r="L730" i="2" s="1"/>
  <c r="K729" i="2"/>
  <c r="L729" i="2" s="1"/>
  <c r="K728" i="2"/>
  <c r="L728" i="2" s="1"/>
  <c r="K727" i="2"/>
  <c r="L727" i="2" s="1"/>
  <c r="K726" i="2"/>
  <c r="L726" i="2" s="1"/>
  <c r="K725" i="2"/>
  <c r="L725" i="2" s="1"/>
  <c r="K724" i="2"/>
  <c r="L724" i="2" s="1"/>
  <c r="K723" i="2"/>
  <c r="L723" i="2" s="1"/>
  <c r="K722" i="2"/>
  <c r="L722" i="2" s="1"/>
  <c r="K721" i="2"/>
  <c r="L721" i="2" s="1"/>
  <c r="K720" i="2"/>
  <c r="L720" i="2" s="1"/>
  <c r="K719" i="2"/>
  <c r="L719" i="2" s="1"/>
  <c r="K718" i="2"/>
  <c r="L718" i="2" s="1"/>
  <c r="K717" i="2"/>
  <c r="L717" i="2" s="1"/>
  <c r="K716" i="2"/>
  <c r="L716" i="2" s="1"/>
  <c r="K715" i="2"/>
  <c r="L715" i="2" s="1"/>
  <c r="K714" i="2"/>
  <c r="L714" i="2" s="1"/>
  <c r="K713" i="2"/>
  <c r="L713" i="2" s="1"/>
  <c r="K712" i="2"/>
  <c r="L712" i="2" s="1"/>
  <c r="K711" i="2"/>
  <c r="L711" i="2" s="1"/>
  <c r="K710" i="2"/>
  <c r="L710" i="2" s="1"/>
  <c r="K709" i="2"/>
  <c r="L709" i="2" s="1"/>
  <c r="K708" i="2"/>
  <c r="L708" i="2" s="1"/>
  <c r="K707" i="2"/>
  <c r="L707" i="2" s="1"/>
  <c r="K706" i="2"/>
  <c r="L706" i="2" s="1"/>
  <c r="K705" i="2"/>
  <c r="L705" i="2" s="1"/>
  <c r="K704" i="2"/>
  <c r="L704" i="2" s="1"/>
  <c r="K703" i="2"/>
  <c r="L703" i="2" s="1"/>
  <c r="K702" i="2"/>
  <c r="L702" i="2" s="1"/>
  <c r="K701" i="2"/>
  <c r="L701" i="2" s="1"/>
  <c r="K700" i="2"/>
  <c r="L700" i="2" s="1"/>
  <c r="K699" i="2"/>
  <c r="L699" i="2" s="1"/>
  <c r="K698" i="2"/>
  <c r="L698" i="2" s="1"/>
  <c r="K697" i="2"/>
  <c r="L697" i="2" s="1"/>
  <c r="K696" i="2"/>
  <c r="L696" i="2" s="1"/>
  <c r="K695" i="2"/>
  <c r="L695" i="2" s="1"/>
  <c r="K694" i="2"/>
  <c r="L694" i="2" s="1"/>
  <c r="K693" i="2"/>
  <c r="L693" i="2" s="1"/>
  <c r="K692" i="2"/>
  <c r="L692" i="2" s="1"/>
  <c r="K691" i="2"/>
  <c r="L691" i="2" s="1"/>
  <c r="K690" i="2"/>
  <c r="L690" i="2" s="1"/>
  <c r="K689" i="2"/>
  <c r="L689" i="2" s="1"/>
  <c r="K688" i="2"/>
  <c r="L688" i="2" s="1"/>
  <c r="K687" i="2"/>
  <c r="L687" i="2" s="1"/>
  <c r="K686" i="2"/>
  <c r="L686" i="2" s="1"/>
  <c r="K685" i="2"/>
  <c r="L685" i="2" s="1"/>
  <c r="K684" i="2"/>
  <c r="L684" i="2" s="1"/>
  <c r="K683" i="2"/>
  <c r="L683" i="2" s="1"/>
  <c r="K682" i="2"/>
  <c r="L682" i="2" s="1"/>
  <c r="K681" i="2"/>
  <c r="L681" i="2" s="1"/>
  <c r="K680" i="2"/>
  <c r="L680" i="2" s="1"/>
  <c r="K679" i="2"/>
  <c r="L679" i="2" s="1"/>
  <c r="K678" i="2"/>
  <c r="L678" i="2" s="1"/>
  <c r="K677" i="2"/>
  <c r="L677" i="2" s="1"/>
  <c r="K676" i="2"/>
  <c r="L676" i="2" s="1"/>
  <c r="K675" i="2"/>
  <c r="L675" i="2" s="1"/>
  <c r="K674" i="2"/>
  <c r="L674" i="2" s="1"/>
  <c r="K673" i="2"/>
  <c r="L673" i="2" s="1"/>
  <c r="K672" i="2"/>
  <c r="L672" i="2" s="1"/>
  <c r="K671" i="2"/>
  <c r="L671" i="2" s="1"/>
  <c r="K670" i="2"/>
  <c r="L670" i="2" s="1"/>
  <c r="K669" i="2"/>
  <c r="L669" i="2" s="1"/>
  <c r="K668" i="2"/>
  <c r="L668" i="2" s="1"/>
  <c r="K667" i="2"/>
  <c r="L667" i="2" s="1"/>
  <c r="K666" i="2"/>
  <c r="L666" i="2" s="1"/>
  <c r="K665" i="2"/>
  <c r="L665" i="2" s="1"/>
  <c r="K664" i="2"/>
  <c r="L664" i="2" s="1"/>
  <c r="K663" i="2"/>
  <c r="L663" i="2" s="1"/>
  <c r="K662" i="2"/>
  <c r="L662" i="2" s="1"/>
  <c r="K661" i="2"/>
  <c r="L661" i="2" s="1"/>
  <c r="K660" i="2"/>
  <c r="L660" i="2" s="1"/>
  <c r="K659" i="2"/>
  <c r="L659" i="2" s="1"/>
  <c r="K658" i="2"/>
  <c r="L658" i="2" s="1"/>
  <c r="K657" i="2"/>
  <c r="L657" i="2" s="1"/>
  <c r="K656" i="2"/>
  <c r="L656" i="2" s="1"/>
  <c r="K655" i="2"/>
  <c r="L655" i="2" s="1"/>
  <c r="K654" i="2"/>
  <c r="L654" i="2" s="1"/>
  <c r="K653" i="2"/>
  <c r="L653" i="2" s="1"/>
  <c r="K652" i="2"/>
  <c r="L652" i="2" s="1"/>
  <c r="K651" i="2"/>
  <c r="L651" i="2" s="1"/>
  <c r="K650" i="2"/>
  <c r="L650" i="2" s="1"/>
  <c r="K649" i="2"/>
  <c r="L649" i="2" s="1"/>
  <c r="K648" i="2"/>
  <c r="L648" i="2" s="1"/>
  <c r="K647" i="2"/>
  <c r="L647" i="2" s="1"/>
  <c r="K646" i="2"/>
  <c r="L646" i="2" s="1"/>
  <c r="K645" i="2"/>
  <c r="L645" i="2" s="1"/>
  <c r="K644" i="2"/>
  <c r="L644" i="2" s="1"/>
  <c r="K643" i="2"/>
  <c r="L643" i="2" s="1"/>
  <c r="K642" i="2"/>
  <c r="L642" i="2" s="1"/>
  <c r="K641" i="2"/>
  <c r="L641" i="2" s="1"/>
  <c r="K640" i="2"/>
  <c r="L640" i="2" s="1"/>
  <c r="K639" i="2"/>
  <c r="L639" i="2" s="1"/>
  <c r="K638" i="2"/>
  <c r="L638" i="2" s="1"/>
  <c r="K637" i="2"/>
  <c r="L637" i="2" s="1"/>
  <c r="K636" i="2"/>
  <c r="L636" i="2" s="1"/>
  <c r="K635" i="2"/>
  <c r="L635" i="2" s="1"/>
  <c r="K634" i="2"/>
  <c r="L634" i="2" s="1"/>
  <c r="K633" i="2"/>
  <c r="L633" i="2" s="1"/>
  <c r="K632" i="2"/>
  <c r="L632" i="2" s="1"/>
  <c r="K631" i="2"/>
  <c r="L631" i="2" s="1"/>
  <c r="K630" i="2"/>
  <c r="L630" i="2" s="1"/>
  <c r="K629" i="2"/>
  <c r="L629" i="2" s="1"/>
  <c r="K628" i="2"/>
  <c r="L628" i="2" s="1"/>
  <c r="K627" i="2"/>
  <c r="L627" i="2" s="1"/>
  <c r="K626" i="2"/>
  <c r="L626" i="2" s="1"/>
  <c r="K625" i="2"/>
  <c r="L625" i="2" s="1"/>
  <c r="K624" i="2"/>
  <c r="L624" i="2" s="1"/>
  <c r="K623" i="2"/>
  <c r="L623" i="2" s="1"/>
  <c r="K622" i="2"/>
  <c r="L622" i="2" s="1"/>
  <c r="K621" i="2"/>
  <c r="L621" i="2" s="1"/>
  <c r="K620" i="2"/>
  <c r="L620" i="2" s="1"/>
  <c r="K619" i="2"/>
  <c r="L619" i="2" s="1"/>
  <c r="K618" i="2"/>
  <c r="L618" i="2" s="1"/>
  <c r="K617" i="2"/>
  <c r="L617" i="2" s="1"/>
  <c r="K616" i="2"/>
  <c r="L616" i="2" s="1"/>
  <c r="K615" i="2"/>
  <c r="L615" i="2" s="1"/>
  <c r="K614" i="2"/>
  <c r="L614" i="2" s="1"/>
  <c r="K613" i="2"/>
  <c r="L613" i="2" s="1"/>
  <c r="K612" i="2"/>
  <c r="L612" i="2" s="1"/>
  <c r="K611" i="2"/>
  <c r="L611" i="2" s="1"/>
  <c r="K610" i="2"/>
  <c r="L610" i="2" s="1"/>
  <c r="K609" i="2"/>
  <c r="L609" i="2" s="1"/>
  <c r="K608" i="2"/>
  <c r="L608" i="2" s="1"/>
  <c r="K607" i="2"/>
  <c r="L607" i="2" s="1"/>
  <c r="K606" i="2"/>
  <c r="L606" i="2" s="1"/>
  <c r="K605" i="2"/>
  <c r="L605" i="2" s="1"/>
  <c r="K604" i="2"/>
  <c r="L604" i="2" s="1"/>
  <c r="K603" i="2"/>
  <c r="L603" i="2" s="1"/>
  <c r="K602" i="2"/>
  <c r="L602" i="2" s="1"/>
  <c r="K601" i="2"/>
  <c r="L601" i="2" s="1"/>
  <c r="K600" i="2"/>
  <c r="L600" i="2" s="1"/>
  <c r="K599" i="2"/>
  <c r="L599" i="2" s="1"/>
  <c r="K598" i="2"/>
  <c r="L598" i="2" s="1"/>
  <c r="K597" i="2"/>
  <c r="L597" i="2" s="1"/>
  <c r="K596" i="2"/>
  <c r="L596" i="2" s="1"/>
  <c r="K595" i="2"/>
  <c r="L595" i="2" s="1"/>
  <c r="K594" i="2"/>
  <c r="L594" i="2" s="1"/>
  <c r="K593" i="2"/>
  <c r="L593" i="2" s="1"/>
  <c r="K592" i="2"/>
  <c r="L592" i="2" s="1"/>
  <c r="K591" i="2"/>
  <c r="L591" i="2" s="1"/>
  <c r="K590" i="2"/>
  <c r="L590" i="2" s="1"/>
  <c r="K589" i="2"/>
  <c r="L589" i="2" s="1"/>
  <c r="K588" i="2"/>
  <c r="L588" i="2" s="1"/>
  <c r="K587" i="2"/>
  <c r="L587" i="2" s="1"/>
  <c r="K586" i="2"/>
  <c r="L586" i="2" s="1"/>
  <c r="K585" i="2"/>
  <c r="L585" i="2" s="1"/>
  <c r="K584" i="2"/>
  <c r="L584" i="2" s="1"/>
  <c r="K583" i="2"/>
  <c r="L583" i="2" s="1"/>
  <c r="K582" i="2"/>
  <c r="L582" i="2" s="1"/>
  <c r="K581" i="2"/>
  <c r="L581" i="2" s="1"/>
  <c r="K580" i="2"/>
  <c r="L580" i="2" s="1"/>
  <c r="K579" i="2"/>
  <c r="L579" i="2" s="1"/>
  <c r="K578" i="2"/>
  <c r="L578" i="2" s="1"/>
  <c r="K577" i="2"/>
  <c r="L577" i="2" s="1"/>
  <c r="K576" i="2"/>
  <c r="L576" i="2" s="1"/>
  <c r="K575" i="2"/>
  <c r="L575" i="2" s="1"/>
  <c r="K574" i="2"/>
  <c r="L574" i="2" s="1"/>
  <c r="K573" i="2"/>
  <c r="L573" i="2" s="1"/>
  <c r="K572" i="2"/>
  <c r="L572" i="2" s="1"/>
  <c r="K571" i="2"/>
  <c r="L571" i="2" s="1"/>
  <c r="K570" i="2"/>
  <c r="L570" i="2" s="1"/>
  <c r="K569" i="2"/>
  <c r="L569" i="2" s="1"/>
  <c r="K568" i="2"/>
  <c r="L568" i="2" s="1"/>
  <c r="K567" i="2"/>
  <c r="L567" i="2" s="1"/>
  <c r="K566" i="2"/>
  <c r="L566" i="2" s="1"/>
  <c r="K565" i="2"/>
  <c r="L565" i="2" s="1"/>
  <c r="K564" i="2"/>
  <c r="L564" i="2" s="1"/>
  <c r="K563" i="2"/>
  <c r="L563" i="2" s="1"/>
  <c r="K562" i="2"/>
  <c r="L562" i="2" s="1"/>
  <c r="K561" i="2"/>
  <c r="L561" i="2" s="1"/>
  <c r="K560" i="2"/>
  <c r="L560" i="2" s="1"/>
  <c r="K559" i="2"/>
  <c r="L559" i="2" s="1"/>
  <c r="K558" i="2"/>
  <c r="L558" i="2" s="1"/>
  <c r="K557" i="2"/>
  <c r="L557" i="2" s="1"/>
  <c r="K556" i="2"/>
  <c r="L556" i="2" s="1"/>
  <c r="K555" i="2"/>
  <c r="L555" i="2" s="1"/>
  <c r="K554" i="2"/>
  <c r="L554" i="2" s="1"/>
  <c r="K553" i="2"/>
  <c r="L553" i="2" s="1"/>
  <c r="K552" i="2"/>
  <c r="L552" i="2" s="1"/>
  <c r="K551" i="2"/>
  <c r="L551" i="2" s="1"/>
  <c r="K550" i="2"/>
  <c r="L550" i="2" s="1"/>
  <c r="K549" i="2"/>
  <c r="L549" i="2" s="1"/>
  <c r="K548" i="2"/>
  <c r="L548" i="2" s="1"/>
  <c r="K547" i="2"/>
  <c r="L547" i="2" s="1"/>
  <c r="K546" i="2"/>
  <c r="L546" i="2" s="1"/>
  <c r="K545" i="2"/>
  <c r="L545" i="2" s="1"/>
  <c r="K544" i="2"/>
  <c r="L544" i="2" s="1"/>
  <c r="K543" i="2"/>
  <c r="L543" i="2" s="1"/>
  <c r="K542" i="2"/>
  <c r="L542" i="2" s="1"/>
  <c r="K541" i="2"/>
  <c r="L541" i="2" s="1"/>
  <c r="K540" i="2"/>
  <c r="L540" i="2" s="1"/>
  <c r="K539" i="2"/>
  <c r="L539" i="2" s="1"/>
  <c r="K538" i="2"/>
  <c r="L538" i="2" s="1"/>
  <c r="K537" i="2"/>
  <c r="L537" i="2" s="1"/>
  <c r="K536" i="2"/>
  <c r="L536" i="2" s="1"/>
  <c r="K535" i="2"/>
  <c r="L535" i="2" s="1"/>
  <c r="K534" i="2"/>
  <c r="L534" i="2" s="1"/>
  <c r="K533" i="2"/>
  <c r="L533" i="2" s="1"/>
  <c r="K532" i="2"/>
  <c r="L532" i="2" s="1"/>
  <c r="K531" i="2"/>
  <c r="L531" i="2" s="1"/>
  <c r="K530" i="2"/>
  <c r="L530" i="2" s="1"/>
  <c r="K529" i="2"/>
  <c r="L529" i="2" s="1"/>
  <c r="K528" i="2"/>
  <c r="L528" i="2" s="1"/>
  <c r="K527" i="2"/>
  <c r="L527" i="2" s="1"/>
  <c r="K526" i="2"/>
  <c r="L526" i="2" s="1"/>
  <c r="K525" i="2"/>
  <c r="L525" i="2" s="1"/>
  <c r="K524" i="2"/>
  <c r="L524" i="2" s="1"/>
  <c r="K523" i="2"/>
  <c r="L523" i="2" s="1"/>
  <c r="K522" i="2"/>
  <c r="L522" i="2" s="1"/>
  <c r="K521" i="2"/>
  <c r="L521" i="2" s="1"/>
  <c r="K520" i="2"/>
  <c r="L520" i="2" s="1"/>
  <c r="K519" i="2"/>
  <c r="L519" i="2" s="1"/>
  <c r="K518" i="2"/>
  <c r="L518" i="2" s="1"/>
  <c r="K517" i="2"/>
  <c r="L517" i="2" s="1"/>
  <c r="K516" i="2"/>
  <c r="L516" i="2" s="1"/>
  <c r="K515" i="2"/>
  <c r="L515" i="2" s="1"/>
  <c r="K514" i="2"/>
  <c r="L514" i="2" s="1"/>
  <c r="K513" i="2"/>
  <c r="L513" i="2" s="1"/>
  <c r="K512" i="2"/>
  <c r="L512" i="2" s="1"/>
  <c r="K511" i="2"/>
  <c r="L511" i="2" s="1"/>
  <c r="K510" i="2"/>
  <c r="L510" i="2" s="1"/>
  <c r="K509" i="2"/>
  <c r="L509" i="2" s="1"/>
  <c r="K508" i="2"/>
  <c r="L508" i="2" s="1"/>
  <c r="K507" i="2"/>
  <c r="L507" i="2" s="1"/>
  <c r="K506" i="2"/>
  <c r="L506" i="2" s="1"/>
  <c r="K505" i="2"/>
  <c r="L505" i="2" s="1"/>
  <c r="K504" i="2"/>
  <c r="L504" i="2" s="1"/>
  <c r="K503" i="2"/>
  <c r="L503" i="2" s="1"/>
  <c r="K502" i="2"/>
  <c r="L502" i="2" s="1"/>
  <c r="K501" i="2"/>
  <c r="L501" i="2" s="1"/>
  <c r="K500" i="2"/>
  <c r="L500" i="2" s="1"/>
  <c r="K499" i="2"/>
  <c r="L499" i="2" s="1"/>
  <c r="K498" i="2"/>
  <c r="L498" i="2" s="1"/>
  <c r="K497" i="2"/>
  <c r="L497" i="2" s="1"/>
  <c r="K496" i="2"/>
  <c r="L496" i="2" s="1"/>
  <c r="K495" i="2"/>
  <c r="L495" i="2" s="1"/>
  <c r="K494" i="2"/>
  <c r="L494" i="2" s="1"/>
  <c r="K493" i="2"/>
  <c r="L493" i="2" s="1"/>
  <c r="K492" i="2"/>
  <c r="L492" i="2" s="1"/>
  <c r="K491" i="2"/>
  <c r="L491" i="2" s="1"/>
  <c r="K490" i="2"/>
  <c r="L490" i="2" s="1"/>
  <c r="K489" i="2"/>
  <c r="L489" i="2" s="1"/>
  <c r="K488" i="2"/>
  <c r="L488" i="2" s="1"/>
  <c r="K487" i="2"/>
  <c r="L487" i="2" s="1"/>
  <c r="K486" i="2"/>
  <c r="L486" i="2" s="1"/>
  <c r="K485" i="2"/>
  <c r="L485" i="2" s="1"/>
  <c r="K484" i="2"/>
  <c r="L484" i="2" s="1"/>
  <c r="K483" i="2"/>
  <c r="L483" i="2" s="1"/>
  <c r="K482" i="2"/>
  <c r="L482" i="2" s="1"/>
  <c r="K481" i="2"/>
  <c r="L481" i="2" s="1"/>
  <c r="K480" i="2"/>
  <c r="L480" i="2" s="1"/>
  <c r="K479" i="2"/>
  <c r="L479" i="2" s="1"/>
  <c r="K478" i="2"/>
  <c r="L478" i="2" s="1"/>
  <c r="K477" i="2"/>
  <c r="L477" i="2" s="1"/>
  <c r="K476" i="2"/>
  <c r="L476" i="2" s="1"/>
  <c r="K475" i="2"/>
  <c r="L475" i="2" s="1"/>
  <c r="K474" i="2"/>
  <c r="L474" i="2" s="1"/>
  <c r="K473" i="2"/>
  <c r="L473" i="2" s="1"/>
  <c r="K472" i="2"/>
  <c r="L472" i="2" s="1"/>
  <c r="K471" i="2"/>
  <c r="L471" i="2" s="1"/>
  <c r="K470" i="2"/>
  <c r="L470" i="2" s="1"/>
  <c r="K469" i="2"/>
  <c r="L469" i="2" s="1"/>
  <c r="K468" i="2"/>
  <c r="L468" i="2" s="1"/>
  <c r="K467" i="2"/>
  <c r="L467" i="2" s="1"/>
  <c r="K466" i="2"/>
  <c r="L466" i="2" s="1"/>
  <c r="K465" i="2"/>
  <c r="L465" i="2" s="1"/>
  <c r="K464" i="2"/>
  <c r="L464" i="2" s="1"/>
  <c r="K463" i="2"/>
  <c r="L463" i="2" s="1"/>
  <c r="K462" i="2"/>
  <c r="L462" i="2" s="1"/>
  <c r="K461" i="2"/>
  <c r="L461" i="2" s="1"/>
  <c r="K460" i="2"/>
  <c r="L460" i="2" s="1"/>
  <c r="K459" i="2"/>
  <c r="L459" i="2" s="1"/>
  <c r="K458" i="2"/>
  <c r="L458" i="2" s="1"/>
  <c r="K457" i="2"/>
  <c r="L457" i="2" s="1"/>
  <c r="K456" i="2"/>
  <c r="L456" i="2" s="1"/>
  <c r="K455" i="2"/>
  <c r="L455" i="2" s="1"/>
  <c r="K454" i="2"/>
  <c r="L454" i="2" s="1"/>
  <c r="K453" i="2"/>
  <c r="L453" i="2" s="1"/>
  <c r="K452" i="2"/>
  <c r="L452" i="2" s="1"/>
  <c r="K451" i="2"/>
  <c r="L451" i="2" s="1"/>
  <c r="K450" i="2"/>
  <c r="L450" i="2" s="1"/>
  <c r="K449" i="2"/>
  <c r="L449" i="2" s="1"/>
  <c r="K448" i="2"/>
  <c r="L448" i="2" s="1"/>
  <c r="K447" i="2"/>
  <c r="L447" i="2" s="1"/>
  <c r="K446" i="2"/>
  <c r="L446" i="2" s="1"/>
  <c r="K445" i="2"/>
  <c r="L445" i="2" s="1"/>
  <c r="K444" i="2"/>
  <c r="L444" i="2" s="1"/>
  <c r="K443" i="2"/>
  <c r="L443" i="2" s="1"/>
  <c r="K442" i="2"/>
  <c r="L442" i="2" s="1"/>
  <c r="K441" i="2"/>
  <c r="L441" i="2" s="1"/>
  <c r="K440" i="2"/>
  <c r="L440" i="2" s="1"/>
  <c r="K439" i="2"/>
  <c r="L439" i="2" s="1"/>
  <c r="K438" i="2"/>
  <c r="L438" i="2" s="1"/>
  <c r="K437" i="2"/>
  <c r="L437" i="2" s="1"/>
  <c r="K436" i="2"/>
  <c r="L436" i="2" s="1"/>
  <c r="K435" i="2"/>
  <c r="L435" i="2" s="1"/>
  <c r="K434" i="2"/>
  <c r="L434" i="2" s="1"/>
  <c r="K433" i="2"/>
  <c r="L433" i="2" s="1"/>
  <c r="K432" i="2"/>
  <c r="L432" i="2" s="1"/>
  <c r="K431" i="2"/>
  <c r="L431" i="2" s="1"/>
  <c r="K430" i="2"/>
  <c r="L430" i="2" s="1"/>
  <c r="K429" i="2"/>
  <c r="L429" i="2" s="1"/>
  <c r="K428" i="2"/>
  <c r="L428" i="2" s="1"/>
  <c r="K427" i="2"/>
  <c r="L427" i="2" s="1"/>
  <c r="K426" i="2"/>
  <c r="L426" i="2" s="1"/>
  <c r="K425" i="2"/>
  <c r="L425" i="2" s="1"/>
  <c r="K424" i="2"/>
  <c r="L424" i="2" s="1"/>
  <c r="K423" i="2"/>
  <c r="L423" i="2" s="1"/>
  <c r="K422" i="2"/>
  <c r="L422" i="2" s="1"/>
  <c r="K421" i="2"/>
  <c r="L421" i="2" s="1"/>
  <c r="K420" i="2"/>
  <c r="L420" i="2" s="1"/>
  <c r="K419" i="2"/>
  <c r="L419" i="2" s="1"/>
  <c r="K418" i="2"/>
  <c r="L418" i="2" s="1"/>
  <c r="K417" i="2"/>
  <c r="L417" i="2" s="1"/>
  <c r="K416" i="2"/>
  <c r="L416" i="2" s="1"/>
  <c r="K415" i="2"/>
  <c r="L415" i="2" s="1"/>
  <c r="K414" i="2"/>
  <c r="L414" i="2" s="1"/>
  <c r="K413" i="2"/>
  <c r="L413" i="2" s="1"/>
  <c r="K412" i="2"/>
  <c r="L412" i="2" s="1"/>
  <c r="T28" i="2" s="1"/>
  <c r="K411" i="2"/>
  <c r="L411" i="2" s="1"/>
  <c r="K410" i="2"/>
  <c r="L410" i="2" s="1"/>
  <c r="K409" i="2"/>
  <c r="L409" i="2" s="1"/>
  <c r="K408" i="2"/>
  <c r="L408" i="2" s="1"/>
  <c r="K407" i="2"/>
  <c r="L407" i="2" s="1"/>
  <c r="K406" i="2"/>
  <c r="L406" i="2" s="1"/>
  <c r="K405" i="2"/>
  <c r="L405" i="2" s="1"/>
  <c r="K404" i="2"/>
  <c r="L404" i="2" s="1"/>
  <c r="K403" i="2"/>
  <c r="L403" i="2" s="1"/>
  <c r="K402" i="2"/>
  <c r="L402" i="2" s="1"/>
  <c r="K401" i="2"/>
  <c r="L401" i="2" s="1"/>
  <c r="K400" i="2"/>
  <c r="L400" i="2" s="1"/>
  <c r="K399" i="2"/>
  <c r="L399" i="2" s="1"/>
  <c r="K398" i="2"/>
  <c r="L398" i="2" s="1"/>
  <c r="K397" i="2"/>
  <c r="L397" i="2" s="1"/>
  <c r="K396" i="2"/>
  <c r="L396" i="2" s="1"/>
  <c r="K395" i="2"/>
  <c r="L395" i="2" s="1"/>
  <c r="K394" i="2"/>
  <c r="L394" i="2" s="1"/>
  <c r="K393" i="2"/>
  <c r="L393" i="2" s="1"/>
  <c r="K392" i="2"/>
  <c r="L392" i="2" s="1"/>
  <c r="K391" i="2"/>
  <c r="L391" i="2" s="1"/>
  <c r="K390" i="2"/>
  <c r="L390" i="2" s="1"/>
  <c r="K389" i="2"/>
  <c r="L389" i="2" s="1"/>
  <c r="K388" i="2"/>
  <c r="L388" i="2" s="1"/>
  <c r="K387" i="2"/>
  <c r="L387" i="2" s="1"/>
  <c r="K386" i="2"/>
  <c r="L386" i="2" s="1"/>
  <c r="K385" i="2"/>
  <c r="L385" i="2" s="1"/>
  <c r="K384" i="2"/>
  <c r="L384" i="2" s="1"/>
  <c r="K383" i="2"/>
  <c r="L383" i="2" s="1"/>
  <c r="K382" i="2"/>
  <c r="L382" i="2" s="1"/>
  <c r="K381" i="2"/>
  <c r="L381" i="2" s="1"/>
  <c r="K380" i="2"/>
  <c r="L380" i="2" s="1"/>
  <c r="K379" i="2"/>
  <c r="L379" i="2" s="1"/>
  <c r="K378" i="2"/>
  <c r="L378" i="2" s="1"/>
  <c r="K377" i="2"/>
  <c r="L377" i="2" s="1"/>
  <c r="K376" i="2"/>
  <c r="L376" i="2" s="1"/>
  <c r="K375" i="2"/>
  <c r="L375" i="2" s="1"/>
  <c r="K374" i="2"/>
  <c r="L374" i="2" s="1"/>
  <c r="K373" i="2"/>
  <c r="L373" i="2" s="1"/>
  <c r="K372" i="2"/>
  <c r="L372" i="2" s="1"/>
  <c r="K371" i="2"/>
  <c r="L371" i="2" s="1"/>
  <c r="K370" i="2"/>
  <c r="L370" i="2" s="1"/>
  <c r="K369" i="2"/>
  <c r="L369" i="2" s="1"/>
  <c r="K368" i="2"/>
  <c r="L368" i="2" s="1"/>
  <c r="K367" i="2"/>
  <c r="L367" i="2" s="1"/>
  <c r="K366" i="2"/>
  <c r="L366" i="2" s="1"/>
  <c r="K365" i="2"/>
  <c r="L365" i="2" s="1"/>
  <c r="K364" i="2"/>
  <c r="L364" i="2" s="1"/>
  <c r="K363" i="2"/>
  <c r="L363" i="2" s="1"/>
  <c r="K362" i="2"/>
  <c r="L362" i="2" s="1"/>
  <c r="K361" i="2"/>
  <c r="L361" i="2" s="1"/>
  <c r="K360" i="2"/>
  <c r="L360" i="2" s="1"/>
  <c r="K359" i="2"/>
  <c r="L359" i="2" s="1"/>
  <c r="K358" i="2"/>
  <c r="L358" i="2" s="1"/>
  <c r="K357" i="2"/>
  <c r="L357" i="2" s="1"/>
  <c r="K356" i="2"/>
  <c r="L356" i="2" s="1"/>
  <c r="K355" i="2"/>
  <c r="L355" i="2" s="1"/>
  <c r="K354" i="2"/>
  <c r="L354" i="2" s="1"/>
  <c r="K353" i="2"/>
  <c r="L353" i="2" s="1"/>
  <c r="K352" i="2"/>
  <c r="L352" i="2" s="1"/>
  <c r="K351" i="2"/>
  <c r="L351" i="2" s="1"/>
  <c r="K350" i="2"/>
  <c r="L350" i="2" s="1"/>
  <c r="K349" i="2"/>
  <c r="L349" i="2" s="1"/>
  <c r="K348" i="2"/>
  <c r="L348" i="2" s="1"/>
  <c r="K347" i="2"/>
  <c r="L347" i="2" s="1"/>
  <c r="K346" i="2"/>
  <c r="L346" i="2" s="1"/>
  <c r="K345" i="2"/>
  <c r="L345" i="2" s="1"/>
  <c r="K344" i="2"/>
  <c r="L344" i="2" s="1"/>
  <c r="K343" i="2"/>
  <c r="L343" i="2" s="1"/>
  <c r="K342" i="2"/>
  <c r="L342" i="2" s="1"/>
  <c r="K341" i="2"/>
  <c r="L341" i="2" s="1"/>
  <c r="K340" i="2"/>
  <c r="L340" i="2" s="1"/>
  <c r="K339" i="2"/>
  <c r="L339" i="2" s="1"/>
  <c r="K338" i="2"/>
  <c r="L338" i="2" s="1"/>
  <c r="K337" i="2"/>
  <c r="L337" i="2" s="1"/>
  <c r="K336" i="2"/>
  <c r="L336" i="2" s="1"/>
  <c r="K335" i="2"/>
  <c r="L335" i="2" s="1"/>
  <c r="K334" i="2"/>
  <c r="L334" i="2" s="1"/>
  <c r="K333" i="2"/>
  <c r="L333" i="2" s="1"/>
  <c r="K332" i="2"/>
  <c r="L332" i="2" s="1"/>
  <c r="K331" i="2"/>
  <c r="L331" i="2" s="1"/>
  <c r="K330" i="2"/>
  <c r="L330" i="2" s="1"/>
  <c r="K329" i="2"/>
  <c r="L329" i="2" s="1"/>
  <c r="K328" i="2"/>
  <c r="L328" i="2" s="1"/>
  <c r="K327" i="2"/>
  <c r="L327" i="2" s="1"/>
  <c r="K326" i="2"/>
  <c r="L326" i="2" s="1"/>
  <c r="K325" i="2"/>
  <c r="L325" i="2" s="1"/>
  <c r="K324" i="2"/>
  <c r="L324" i="2" s="1"/>
  <c r="K323" i="2"/>
  <c r="L323" i="2" s="1"/>
  <c r="K322" i="2"/>
  <c r="L322" i="2" s="1"/>
  <c r="S17" i="2" s="1"/>
  <c r="K321" i="2"/>
  <c r="L321" i="2" s="1"/>
  <c r="K320" i="2"/>
  <c r="L320" i="2" s="1"/>
  <c r="K319" i="2"/>
  <c r="L319" i="2" s="1"/>
  <c r="K318" i="2"/>
  <c r="L318" i="2" s="1"/>
  <c r="K317" i="2"/>
  <c r="L317" i="2" s="1"/>
  <c r="K316" i="2"/>
  <c r="L316" i="2" s="1"/>
  <c r="K315" i="2"/>
  <c r="L315" i="2" s="1"/>
  <c r="K314" i="2"/>
  <c r="L314" i="2" s="1"/>
  <c r="K313" i="2"/>
  <c r="L313" i="2" s="1"/>
  <c r="K312" i="2"/>
  <c r="L312" i="2" s="1"/>
  <c r="K311" i="2"/>
  <c r="L311" i="2" s="1"/>
  <c r="K310" i="2"/>
  <c r="L310" i="2" s="1"/>
  <c r="K309" i="2"/>
  <c r="L309" i="2" s="1"/>
  <c r="K308" i="2"/>
  <c r="L308" i="2" s="1"/>
  <c r="K307" i="2"/>
  <c r="L307" i="2" s="1"/>
  <c r="K306" i="2"/>
  <c r="L306" i="2" s="1"/>
  <c r="K305" i="2"/>
  <c r="L305" i="2" s="1"/>
  <c r="K304" i="2"/>
  <c r="L304" i="2" s="1"/>
  <c r="K303" i="2"/>
  <c r="L303" i="2" s="1"/>
  <c r="K302" i="2"/>
  <c r="L302" i="2" s="1"/>
  <c r="K301" i="2"/>
  <c r="L301" i="2" s="1"/>
  <c r="K300" i="2"/>
  <c r="L300" i="2" s="1"/>
  <c r="K299" i="2"/>
  <c r="L299" i="2" s="1"/>
  <c r="K298" i="2"/>
  <c r="L298" i="2" s="1"/>
  <c r="K297" i="2"/>
  <c r="L297" i="2" s="1"/>
  <c r="K296" i="2"/>
  <c r="L296" i="2" s="1"/>
  <c r="K295" i="2"/>
  <c r="L295" i="2" s="1"/>
  <c r="K294" i="2"/>
  <c r="L294" i="2" s="1"/>
  <c r="K293" i="2"/>
  <c r="L293" i="2" s="1"/>
  <c r="K292" i="2"/>
  <c r="L292" i="2" s="1"/>
  <c r="K291" i="2"/>
  <c r="L291" i="2" s="1"/>
  <c r="K290" i="2"/>
  <c r="L290" i="2" s="1"/>
  <c r="K289" i="2"/>
  <c r="L289" i="2" s="1"/>
  <c r="K288" i="2"/>
  <c r="L288" i="2" s="1"/>
  <c r="K287" i="2"/>
  <c r="L287" i="2" s="1"/>
  <c r="K286" i="2"/>
  <c r="L286" i="2" s="1"/>
  <c r="K285" i="2"/>
  <c r="L285" i="2" s="1"/>
  <c r="K284" i="2"/>
  <c r="L284" i="2" s="1"/>
  <c r="K283" i="2"/>
  <c r="L283" i="2" s="1"/>
  <c r="K282" i="2"/>
  <c r="L282" i="2" s="1"/>
  <c r="K281" i="2"/>
  <c r="L281" i="2" s="1"/>
  <c r="K280" i="2"/>
  <c r="L280" i="2" s="1"/>
  <c r="K279" i="2"/>
  <c r="L279" i="2" s="1"/>
  <c r="K278" i="2"/>
  <c r="L278" i="2" s="1"/>
  <c r="K277" i="2"/>
  <c r="L277" i="2" s="1"/>
  <c r="K276" i="2"/>
  <c r="L276" i="2" s="1"/>
  <c r="K275" i="2"/>
  <c r="L275" i="2" s="1"/>
  <c r="K274" i="2"/>
  <c r="L274" i="2" s="1"/>
  <c r="K273" i="2"/>
  <c r="L273" i="2" s="1"/>
  <c r="K272" i="2"/>
  <c r="L272" i="2" s="1"/>
  <c r="K271" i="2"/>
  <c r="L271" i="2" s="1"/>
  <c r="K270" i="2"/>
  <c r="L270" i="2" s="1"/>
  <c r="K269" i="2"/>
  <c r="L269" i="2" s="1"/>
  <c r="K268" i="2"/>
  <c r="L268" i="2" s="1"/>
  <c r="K267" i="2"/>
  <c r="L267" i="2" s="1"/>
  <c r="K266" i="2"/>
  <c r="L266" i="2" s="1"/>
  <c r="K265" i="2"/>
  <c r="L265" i="2" s="1"/>
  <c r="K264" i="2"/>
  <c r="L264" i="2" s="1"/>
  <c r="K263" i="2"/>
  <c r="L263" i="2" s="1"/>
  <c r="K262" i="2"/>
  <c r="L262" i="2" s="1"/>
  <c r="K261" i="2"/>
  <c r="L261" i="2" s="1"/>
  <c r="K260" i="2"/>
  <c r="L260" i="2" s="1"/>
  <c r="K259" i="2"/>
  <c r="L259" i="2" s="1"/>
  <c r="K258" i="2"/>
  <c r="L258" i="2" s="1"/>
  <c r="K257" i="2"/>
  <c r="L257" i="2" s="1"/>
  <c r="K256" i="2"/>
  <c r="L256" i="2" s="1"/>
  <c r="K255" i="2"/>
  <c r="L255" i="2" s="1"/>
  <c r="K254" i="2"/>
  <c r="L254" i="2" s="1"/>
  <c r="K253" i="2"/>
  <c r="L253" i="2" s="1"/>
  <c r="K252" i="2"/>
  <c r="L252" i="2" s="1"/>
  <c r="K251" i="2"/>
  <c r="L251" i="2" s="1"/>
  <c r="K250" i="2"/>
  <c r="L250" i="2" s="1"/>
  <c r="K249" i="2"/>
  <c r="L249" i="2" s="1"/>
  <c r="K248" i="2"/>
  <c r="L248" i="2" s="1"/>
  <c r="K247" i="2"/>
  <c r="L247" i="2" s="1"/>
  <c r="K246" i="2"/>
  <c r="L246" i="2" s="1"/>
  <c r="K245" i="2"/>
  <c r="L245" i="2" s="1"/>
  <c r="K244" i="2"/>
  <c r="L244" i="2" s="1"/>
  <c r="K243" i="2"/>
  <c r="L243" i="2" s="1"/>
  <c r="K242" i="2"/>
  <c r="L242" i="2" s="1"/>
  <c r="K241" i="2"/>
  <c r="L241" i="2" s="1"/>
  <c r="K240" i="2"/>
  <c r="L240" i="2" s="1"/>
  <c r="K239" i="2"/>
  <c r="L239" i="2" s="1"/>
  <c r="K238" i="2"/>
  <c r="L238" i="2" s="1"/>
  <c r="K237" i="2"/>
  <c r="L237" i="2" s="1"/>
  <c r="K236" i="2"/>
  <c r="L236" i="2" s="1"/>
  <c r="K235" i="2"/>
  <c r="L235" i="2" s="1"/>
  <c r="K234" i="2"/>
  <c r="L234" i="2" s="1"/>
  <c r="K233" i="2"/>
  <c r="L233" i="2" s="1"/>
  <c r="K232" i="2"/>
  <c r="L232" i="2" s="1"/>
  <c r="K231" i="2"/>
  <c r="L231" i="2" s="1"/>
  <c r="K230" i="2"/>
  <c r="L230" i="2" s="1"/>
  <c r="K229" i="2"/>
  <c r="L229" i="2" s="1"/>
  <c r="K228" i="2"/>
  <c r="L228" i="2" s="1"/>
  <c r="K227" i="2"/>
  <c r="L227" i="2" s="1"/>
  <c r="K226" i="2"/>
  <c r="L226" i="2" s="1"/>
  <c r="K225" i="2"/>
  <c r="L225" i="2" s="1"/>
  <c r="K224" i="2"/>
  <c r="L224" i="2" s="1"/>
  <c r="K223" i="2"/>
  <c r="L223" i="2" s="1"/>
  <c r="K222" i="2"/>
  <c r="L222" i="2" s="1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K211" i="2"/>
  <c r="L211" i="2" s="1"/>
  <c r="K210" i="2"/>
  <c r="L210" i="2" s="1"/>
  <c r="K209" i="2"/>
  <c r="L209" i="2" s="1"/>
  <c r="K208" i="2"/>
  <c r="L208" i="2" s="1"/>
  <c r="K207" i="2"/>
  <c r="L207" i="2" s="1"/>
  <c r="K206" i="2"/>
  <c r="L206" i="2" s="1"/>
  <c r="K205" i="2"/>
  <c r="L205" i="2" s="1"/>
  <c r="K204" i="2"/>
  <c r="L204" i="2" s="1"/>
  <c r="K203" i="2"/>
  <c r="L203" i="2" s="1"/>
  <c r="K202" i="2"/>
  <c r="L202" i="2" s="1"/>
  <c r="K201" i="2"/>
  <c r="L201" i="2" s="1"/>
  <c r="K200" i="2"/>
  <c r="L200" i="2" s="1"/>
  <c r="K199" i="2"/>
  <c r="L199" i="2" s="1"/>
  <c r="K198" i="2"/>
  <c r="L198" i="2" s="1"/>
  <c r="K197" i="2"/>
  <c r="L197" i="2" s="1"/>
  <c r="K196" i="2"/>
  <c r="L196" i="2" s="1"/>
  <c r="K195" i="2"/>
  <c r="L195" i="2" s="1"/>
  <c r="K194" i="2"/>
  <c r="L194" i="2" s="1"/>
  <c r="K193" i="2"/>
  <c r="L193" i="2" s="1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4" i="2"/>
  <c r="L184" i="2" s="1"/>
  <c r="K183" i="2"/>
  <c r="L183" i="2" s="1"/>
  <c r="K182" i="2"/>
  <c r="L182" i="2" s="1"/>
  <c r="K181" i="2"/>
  <c r="L181" i="2" s="1"/>
  <c r="K180" i="2"/>
  <c r="L180" i="2" s="1"/>
  <c r="K179" i="2"/>
  <c r="L179" i="2" s="1"/>
  <c r="K178" i="2"/>
  <c r="L178" i="2" s="1"/>
  <c r="K177" i="2"/>
  <c r="L177" i="2" s="1"/>
  <c r="K176" i="2"/>
  <c r="L176" i="2" s="1"/>
  <c r="K175" i="2"/>
  <c r="L175" i="2" s="1"/>
  <c r="K174" i="2"/>
  <c r="L174" i="2" s="1"/>
  <c r="K173" i="2"/>
  <c r="L173" i="2" s="1"/>
  <c r="K172" i="2"/>
  <c r="L172" i="2" s="1"/>
  <c r="K171" i="2"/>
  <c r="L171" i="2" s="1"/>
  <c r="K170" i="2"/>
  <c r="L170" i="2" s="1"/>
  <c r="K169" i="2"/>
  <c r="L169" i="2" s="1"/>
  <c r="K168" i="2"/>
  <c r="L168" i="2" s="1"/>
  <c r="K167" i="2"/>
  <c r="L167" i="2" s="1"/>
  <c r="K166" i="2"/>
  <c r="L166" i="2" s="1"/>
  <c r="K165" i="2"/>
  <c r="L165" i="2" s="1"/>
  <c r="K164" i="2"/>
  <c r="L164" i="2" s="1"/>
  <c r="K163" i="2"/>
  <c r="L163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52" i="2"/>
  <c r="L152" i="2" s="1"/>
  <c r="K151" i="2"/>
  <c r="L151" i="2" s="1"/>
  <c r="K150" i="2"/>
  <c r="L150" i="2" s="1"/>
  <c r="K149" i="2"/>
  <c r="L149" i="2" s="1"/>
  <c r="K148" i="2"/>
  <c r="L148" i="2" s="1"/>
  <c r="K147" i="2"/>
  <c r="L147" i="2" s="1"/>
  <c r="K146" i="2"/>
  <c r="L146" i="2" s="1"/>
  <c r="K145" i="2"/>
  <c r="L145" i="2" s="1"/>
  <c r="K144" i="2"/>
  <c r="L144" i="2" s="1"/>
  <c r="K143" i="2"/>
  <c r="L143" i="2" s="1"/>
  <c r="K142" i="2"/>
  <c r="L142" i="2" s="1"/>
  <c r="K141" i="2"/>
  <c r="L141" i="2" s="1"/>
  <c r="K140" i="2"/>
  <c r="L140" i="2" s="1"/>
  <c r="K139" i="2"/>
  <c r="L139" i="2" s="1"/>
  <c r="K138" i="2"/>
  <c r="L138" i="2" s="1"/>
  <c r="K137" i="2"/>
  <c r="L137" i="2" s="1"/>
  <c r="K136" i="2"/>
  <c r="L136" i="2" s="1"/>
  <c r="K135" i="2"/>
  <c r="L135" i="2" s="1"/>
  <c r="K134" i="2"/>
  <c r="L134" i="2" s="1"/>
  <c r="K133" i="2"/>
  <c r="L133" i="2" s="1"/>
  <c r="K132" i="2"/>
  <c r="L132" i="2" s="1"/>
  <c r="K131" i="2"/>
  <c r="L131" i="2" s="1"/>
  <c r="K130" i="2"/>
  <c r="L130" i="2" s="1"/>
  <c r="K129" i="2"/>
  <c r="L129" i="2" s="1"/>
  <c r="K128" i="2"/>
  <c r="L128" i="2" s="1"/>
  <c r="K127" i="2"/>
  <c r="L127" i="2" s="1"/>
  <c r="K126" i="2"/>
  <c r="L126" i="2" s="1"/>
  <c r="K125" i="2"/>
  <c r="L125" i="2" s="1"/>
  <c r="K124" i="2"/>
  <c r="L124" i="2" s="1"/>
  <c r="K123" i="2"/>
  <c r="L123" i="2" s="1"/>
  <c r="K122" i="2"/>
  <c r="L122" i="2" s="1"/>
  <c r="K121" i="2"/>
  <c r="L121" i="2" s="1"/>
  <c r="K120" i="2"/>
  <c r="L120" i="2" s="1"/>
  <c r="K119" i="2"/>
  <c r="L119" i="2" s="1"/>
  <c r="K118" i="2"/>
  <c r="L118" i="2" s="1"/>
  <c r="K117" i="2"/>
  <c r="L117" i="2" s="1"/>
  <c r="K116" i="2"/>
  <c r="L116" i="2" s="1"/>
  <c r="K115" i="2"/>
  <c r="L115" i="2" s="1"/>
  <c r="K114" i="2"/>
  <c r="L114" i="2" s="1"/>
  <c r="K113" i="2"/>
  <c r="L113" i="2" s="1"/>
  <c r="K112" i="2"/>
  <c r="L112" i="2" s="1"/>
  <c r="K111" i="2"/>
  <c r="L111" i="2" s="1"/>
  <c r="K110" i="2"/>
  <c r="L110" i="2" s="1"/>
  <c r="K109" i="2"/>
  <c r="L109" i="2" s="1"/>
  <c r="K108" i="2"/>
  <c r="L108" i="2" s="1"/>
  <c r="K107" i="2"/>
  <c r="L107" i="2" s="1"/>
  <c r="K106" i="2"/>
  <c r="L106" i="2" s="1"/>
  <c r="K105" i="2"/>
  <c r="L105" i="2" s="1"/>
  <c r="K104" i="2"/>
  <c r="L104" i="2" s="1"/>
  <c r="K103" i="2"/>
  <c r="L103" i="2" s="1"/>
  <c r="K102" i="2"/>
  <c r="L102" i="2" s="1"/>
  <c r="K101" i="2"/>
  <c r="L101" i="2" s="1"/>
  <c r="K100" i="2"/>
  <c r="L100" i="2" s="1"/>
  <c r="K99" i="2"/>
  <c r="L99" i="2" s="1"/>
  <c r="K98" i="2"/>
  <c r="L98" i="2" s="1"/>
  <c r="K97" i="2"/>
  <c r="L97" i="2" s="1"/>
  <c r="K96" i="2"/>
  <c r="L96" i="2" s="1"/>
  <c r="K95" i="2"/>
  <c r="L95" i="2" s="1"/>
  <c r="K94" i="2"/>
  <c r="L94" i="2" s="1"/>
  <c r="K93" i="2"/>
  <c r="L93" i="2" s="1"/>
  <c r="K92" i="2"/>
  <c r="L92" i="2" s="1"/>
  <c r="K91" i="2"/>
  <c r="L91" i="2" s="1"/>
  <c r="K90" i="2"/>
  <c r="L90" i="2" s="1"/>
  <c r="K89" i="2"/>
  <c r="L89" i="2" s="1"/>
  <c r="K88" i="2"/>
  <c r="L88" i="2" s="1"/>
  <c r="K87" i="2"/>
  <c r="L87" i="2" s="1"/>
  <c r="K86" i="2"/>
  <c r="L86" i="2" s="1"/>
  <c r="K85" i="2"/>
  <c r="L85" i="2" s="1"/>
  <c r="K84" i="2"/>
  <c r="L84" i="2" s="1"/>
  <c r="K83" i="2"/>
  <c r="L83" i="2" s="1"/>
  <c r="K82" i="2"/>
  <c r="L82" i="2" s="1"/>
  <c r="K81" i="2"/>
  <c r="L8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K72" i="2"/>
  <c r="L72" i="2" s="1"/>
  <c r="K71" i="2"/>
  <c r="L71" i="2" s="1"/>
  <c r="K70" i="2"/>
  <c r="L70" i="2" s="1"/>
  <c r="K69" i="2"/>
  <c r="L69" i="2" s="1"/>
  <c r="K68" i="2"/>
  <c r="L68" i="2" s="1"/>
  <c r="K67" i="2"/>
  <c r="L67" i="2" s="1"/>
  <c r="K66" i="2"/>
  <c r="L66" i="2" s="1"/>
  <c r="K65" i="2"/>
  <c r="L65" i="2" s="1"/>
  <c r="K64" i="2"/>
  <c r="L64" i="2" s="1"/>
  <c r="K63" i="2"/>
  <c r="L63" i="2" s="1"/>
  <c r="R21" i="2" s="1"/>
  <c r="K62" i="2"/>
  <c r="L62" i="2" s="1"/>
  <c r="K61" i="2"/>
  <c r="L61" i="2" s="1"/>
  <c r="K60" i="2"/>
  <c r="L60" i="2" s="1"/>
  <c r="K59" i="2"/>
  <c r="L59" i="2" s="1"/>
  <c r="K58" i="2"/>
  <c r="L58" i="2" s="1"/>
  <c r="K57" i="2"/>
  <c r="L57" i="2" s="1"/>
  <c r="K56" i="2"/>
  <c r="L56" i="2" s="1"/>
  <c r="K55" i="2"/>
  <c r="L55" i="2" s="1"/>
  <c r="K54" i="2"/>
  <c r="L54" i="2" s="1"/>
  <c r="K53" i="2"/>
  <c r="L53" i="2" s="1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K4" i="2"/>
  <c r="L4" i="2" s="1"/>
  <c r="K3" i="2"/>
  <c r="L3" i="2" s="1"/>
  <c r="K2" i="2"/>
  <c r="L2" i="2" s="1"/>
  <c r="W5" i="1"/>
  <c r="W6" i="1"/>
  <c r="W7" i="1"/>
  <c r="W8" i="1"/>
  <c r="W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4" i="1"/>
  <c r="S5" i="1"/>
  <c r="S6" i="1"/>
  <c r="S7" i="1"/>
  <c r="S8" i="1"/>
  <c r="S4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2" i="1"/>
  <c r="L2" i="1" s="1"/>
  <c r="U28" i="2" l="1"/>
  <c r="U25" i="2"/>
  <c r="Q23" i="2"/>
  <c r="S11" i="2"/>
  <c r="R6" i="2"/>
  <c r="S25" i="2"/>
  <c r="S18" i="2"/>
  <c r="U17" i="2"/>
  <c r="Q13" i="2"/>
  <c r="T15" i="2"/>
  <c r="T12" i="2"/>
  <c r="R15" i="2"/>
  <c r="T22" i="2"/>
  <c r="U27" i="2"/>
  <c r="S8" i="2"/>
  <c r="R9" i="2"/>
  <c r="Q6" i="2"/>
  <c r="R5" i="2"/>
  <c r="R20" i="2"/>
  <c r="Q28" i="2"/>
  <c r="Q8" i="2"/>
  <c r="Q21" i="2"/>
  <c r="S10" i="2"/>
  <c r="S27" i="2"/>
  <c r="Q5" i="2"/>
  <c r="S15" i="2"/>
  <c r="R17" i="2"/>
  <c r="R7" i="2"/>
  <c r="Q12" i="2"/>
  <c r="T26" i="2"/>
  <c r="U24" i="2"/>
  <c r="S24" i="2"/>
  <c r="U9" i="2"/>
  <c r="U7" i="2"/>
  <c r="R24" i="2"/>
  <c r="T17" i="2"/>
  <c r="T5" i="2"/>
  <c r="R14" i="2"/>
  <c r="Q24" i="2"/>
  <c r="R11" i="2"/>
  <c r="U11" i="2"/>
  <c r="Q27" i="2"/>
  <c r="R10" i="2"/>
  <c r="T19" i="2"/>
  <c r="R25" i="2"/>
  <c r="S5" i="2"/>
  <c r="U14" i="2"/>
  <c r="T27" i="2"/>
  <c r="S9" i="2"/>
  <c r="T25" i="2"/>
  <c r="U18" i="2"/>
  <c r="U22" i="2"/>
  <c r="R13" i="2"/>
  <c r="Q18" i="2"/>
  <c r="Q9" i="2"/>
  <c r="S16" i="2"/>
  <c r="Q20" i="2"/>
  <c r="S14" i="2"/>
  <c r="R26" i="2"/>
  <c r="S19" i="2"/>
  <c r="S22" i="2"/>
  <c r="T10" i="2"/>
  <c r="U5" i="2"/>
  <c r="R8" i="2"/>
  <c r="Q25" i="2"/>
  <c r="Q10" i="2"/>
  <c r="T7" i="2"/>
  <c r="T21" i="2"/>
  <c r="T14" i="2"/>
  <c r="R12" i="2"/>
  <c r="U12" i="2"/>
  <c r="S6" i="2"/>
  <c r="T23" i="2"/>
  <c r="T6" i="2"/>
  <c r="Q15" i="2"/>
  <c r="S13" i="2"/>
  <c r="R27" i="2"/>
  <c r="Q11" i="2"/>
  <c r="U23" i="2"/>
  <c r="T18" i="2"/>
  <c r="U19" i="2"/>
  <c r="R22" i="2"/>
  <c r="T24" i="2"/>
  <c r="S12" i="2"/>
  <c r="U10" i="2"/>
  <c r="S20" i="2"/>
  <c r="Q17" i="2"/>
  <c r="R18" i="2"/>
  <c r="R19" i="2"/>
  <c r="T9" i="2"/>
  <c r="U26" i="2"/>
  <c r="Q22" i="2"/>
  <c r="U13" i="2"/>
  <c r="U20" i="2"/>
  <c r="T16" i="2"/>
  <c r="Q19" i="2"/>
  <c r="R23" i="2"/>
  <c r="T13" i="2"/>
  <c r="U21" i="2"/>
  <c r="U16" i="2"/>
  <c r="S7" i="2"/>
  <c r="Q26" i="2"/>
  <c r="Q16" i="2"/>
  <c r="R16" i="2"/>
  <c r="S28" i="2"/>
  <c r="T8" i="2"/>
  <c r="Q7" i="2"/>
  <c r="U8" i="2"/>
  <c r="U15" i="2"/>
  <c r="S26" i="2"/>
  <c r="S21" i="2"/>
  <c r="T20" i="2"/>
  <c r="T11" i="2"/>
  <c r="R28" i="2"/>
  <c r="U6" i="2"/>
  <c r="Q14" i="2"/>
  <c r="S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<sst xmlns="http://schemas.openxmlformats.org/spreadsheetml/2006/main" count="16230" uniqueCount="336">
  <si>
    <t>OrderID</t>
  </si>
  <si>
    <t>OrderDate</t>
  </si>
  <si>
    <t>Region</t>
  </si>
  <si>
    <t>Product</t>
  </si>
  <si>
    <t>ProductLine</t>
  </si>
  <si>
    <t>MrpAmount</t>
  </si>
  <si>
    <t>customer_name</t>
  </si>
  <si>
    <t>dob</t>
  </si>
  <si>
    <t>delivery_date</t>
  </si>
  <si>
    <t>discount%</t>
  </si>
  <si>
    <t>West</t>
  </si>
  <si>
    <t>Basketball</t>
  </si>
  <si>
    <t>Sports</t>
  </si>
  <si>
    <t>Nicole Church</t>
  </si>
  <si>
    <t>North</t>
  </si>
  <si>
    <t>Milk</t>
  </si>
  <si>
    <t>Groceries</t>
  </si>
  <si>
    <t>Lisa Smith</t>
  </si>
  <si>
    <t>Tablet</t>
  </si>
  <si>
    <t>Electronics</t>
  </si>
  <si>
    <t>Mrs. Marissa Hall</t>
  </si>
  <si>
    <t>South</t>
  </si>
  <si>
    <t>Headphones</t>
  </si>
  <si>
    <t>Darryl Cooper</t>
  </si>
  <si>
    <t>Camera</t>
  </si>
  <si>
    <t>Melissa Douglas</t>
  </si>
  <si>
    <t>East</t>
  </si>
  <si>
    <t>Bed</t>
  </si>
  <si>
    <t>Furniture</t>
  </si>
  <si>
    <t>Daniel Cabrera</t>
  </si>
  <si>
    <t>Jeans</t>
  </si>
  <si>
    <t>Clothing</t>
  </si>
  <si>
    <t>Wesley Olson</t>
  </si>
  <si>
    <t>Oil</t>
  </si>
  <si>
    <t>Lawrence Frazier</t>
  </si>
  <si>
    <t>Central</t>
  </si>
  <si>
    <t>Wardrobe</t>
  </si>
  <si>
    <t>Derek Boyle</t>
  </si>
  <si>
    <t>Sofa</t>
  </si>
  <si>
    <t>Danielle Holloway</t>
  </si>
  <si>
    <t>Rice</t>
  </si>
  <si>
    <t>Elizabeth Obrien</t>
  </si>
  <si>
    <t>Jerry Smith</t>
  </si>
  <si>
    <t>Michael Robinson</t>
  </si>
  <si>
    <t>Wheat</t>
  </si>
  <si>
    <t>Michelle Davis</t>
  </si>
  <si>
    <t>Brittany Allen</t>
  </si>
  <si>
    <t>Tennis Racket</t>
  </si>
  <si>
    <t>Timothy Mueller</t>
  </si>
  <si>
    <t>Football</t>
  </si>
  <si>
    <t>David Noble</t>
  </si>
  <si>
    <t>Paige Alvarado</t>
  </si>
  <si>
    <t>Gregory Cohen</t>
  </si>
  <si>
    <t>Chair</t>
  </si>
  <si>
    <t>Nathaniel Gonzalez</t>
  </si>
  <si>
    <t>Jacket</t>
  </si>
  <si>
    <t>Harry Holmes</t>
  </si>
  <si>
    <t>Daniel Owens MD</t>
  </si>
  <si>
    <t>Cap</t>
  </si>
  <si>
    <t>Zachary Franklin</t>
  </si>
  <si>
    <t>Donald Mckenzie</t>
  </si>
  <si>
    <t>Laptop</t>
  </si>
  <si>
    <t>April Morgan</t>
  </si>
  <si>
    <t>Kirsten Wilkins</t>
  </si>
  <si>
    <t>Mrs. Vanessa Henson</t>
  </si>
  <si>
    <t>Smartphone</t>
  </si>
  <si>
    <t>Nancy French</t>
  </si>
  <si>
    <t>Jason Davidson</t>
  </si>
  <si>
    <t>Andrew Watson</t>
  </si>
  <si>
    <t>Shoes</t>
  </si>
  <si>
    <t>Samuel Humphrey</t>
  </si>
  <si>
    <t>T-Shirt</t>
  </si>
  <si>
    <t>Kayla Patel</t>
  </si>
  <si>
    <t>Table</t>
  </si>
  <si>
    <t>Billy Chavez</t>
  </si>
  <si>
    <t>Taylor Richardson</t>
  </si>
  <si>
    <t>Carol Lopez</t>
  </si>
  <si>
    <t>Sherry Henry</t>
  </si>
  <si>
    <t>Shane Morgan</t>
  </si>
  <si>
    <t>Robert Simon</t>
  </si>
  <si>
    <t>Lisa Garcia</t>
  </si>
  <si>
    <t>Timothy Diaz</t>
  </si>
  <si>
    <t>Anthony Lee</t>
  </si>
  <si>
    <t>Patricia Burton</t>
  </si>
  <si>
    <t>Alexandria Stone</t>
  </si>
  <si>
    <t>Adrian Howe</t>
  </si>
  <si>
    <t>Melanie Shaffer</t>
  </si>
  <si>
    <t>Kevin Rosario</t>
  </si>
  <si>
    <t>Eggs</t>
  </si>
  <si>
    <t>Margaret Wilson</t>
  </si>
  <si>
    <t>Troy Kelley</t>
  </si>
  <si>
    <t>Jenna Campbell</t>
  </si>
  <si>
    <t>Regina Lopez</t>
  </si>
  <si>
    <t>Alicia Campbell</t>
  </si>
  <si>
    <t>Angela Mooney</t>
  </si>
  <si>
    <t>Joe Rivera</t>
  </si>
  <si>
    <t>Andrea Mendez</t>
  </si>
  <si>
    <t>Joseph Vaughan</t>
  </si>
  <si>
    <t>Suzanne Brooks</t>
  </si>
  <si>
    <t>Dustin Cooley</t>
  </si>
  <si>
    <t>Jaime Haynes</t>
  </si>
  <si>
    <t>Karla Garcia</t>
  </si>
  <si>
    <t>Cricket Bat</t>
  </si>
  <si>
    <t>Laura Sanchez</t>
  </si>
  <si>
    <t>Kristi Chan</t>
  </si>
  <si>
    <t>Savannah Smith</t>
  </si>
  <si>
    <t>Brandon Maxwell</t>
  </si>
  <si>
    <t>Vincent Wiggins</t>
  </si>
  <si>
    <t>Lisa Bray MD</t>
  </si>
  <si>
    <t>Christina Young</t>
  </si>
  <si>
    <t>Kevin Preston</t>
  </si>
  <si>
    <t>Zachary Anthony</t>
  </si>
  <si>
    <t>Frank Davis</t>
  </si>
  <si>
    <t>Melissa Moreno</t>
  </si>
  <si>
    <t>Mark Ramos</t>
  </si>
  <si>
    <t>Charles Delgado</t>
  </si>
  <si>
    <t>Mary Hicks</t>
  </si>
  <si>
    <t>Charles Lewis</t>
  </si>
  <si>
    <t>Adam Martinez</t>
  </si>
  <si>
    <t>Beth Landry</t>
  </si>
  <si>
    <t>Mrs. Rebecca Young</t>
  </si>
  <si>
    <t>Antonio David</t>
  </si>
  <si>
    <t>Sierra Elliott</t>
  </si>
  <si>
    <t>Christina Bennett</t>
  </si>
  <si>
    <t>William Robles</t>
  </si>
  <si>
    <t>Kristy White</t>
  </si>
  <si>
    <t>James Campbell</t>
  </si>
  <si>
    <t>Peter Cook</t>
  </si>
  <si>
    <t>Katie Parker</t>
  </si>
  <si>
    <t>Amy Harris</t>
  </si>
  <si>
    <t>Edward Gonzalez</t>
  </si>
  <si>
    <t>Michelle Pitts</t>
  </si>
  <si>
    <t>Brandon King</t>
  </si>
  <si>
    <t>Toni Lopez</t>
  </si>
  <si>
    <t>Lee Hobbs</t>
  </si>
  <si>
    <t>Danielle Blake</t>
  </si>
  <si>
    <t>Aaron Ramirez</t>
  </si>
  <si>
    <t>Thomas Smith</t>
  </si>
  <si>
    <t>Elizabeth Lee MD</t>
  </si>
  <si>
    <t>Melissa Holt</t>
  </si>
  <si>
    <t>Jennifer Martinez</t>
  </si>
  <si>
    <t>Laura Fowler DVM</t>
  </si>
  <si>
    <t>Kyle Thomas</t>
  </si>
  <si>
    <t>Douglas Garrison</t>
  </si>
  <si>
    <t>Regina Gay</t>
  </si>
  <si>
    <t>Aaron Smith</t>
  </si>
  <si>
    <t>Kimberly Carey</t>
  </si>
  <si>
    <t>Danny Tran</t>
  </si>
  <si>
    <t>Russell Cummings</t>
  </si>
  <si>
    <t>Steven Hardin</t>
  </si>
  <si>
    <t>Melissa Hubbard</t>
  </si>
  <si>
    <t>Gabriel Watson</t>
  </si>
  <si>
    <t>Christopher Harris</t>
  </si>
  <si>
    <t>Jessica Cruz</t>
  </si>
  <si>
    <t>Kathryn Allen</t>
  </si>
  <si>
    <t>Stephanie Ray</t>
  </si>
  <si>
    <t>Randy Burke</t>
  </si>
  <si>
    <t>Lynn Johnson</t>
  </si>
  <si>
    <t>Matthew Stone</t>
  </si>
  <si>
    <t>Isaac Flores</t>
  </si>
  <si>
    <t>Juan White</t>
  </si>
  <si>
    <t>Joshua Joseph</t>
  </si>
  <si>
    <t>Stephanie Hudson</t>
  </si>
  <si>
    <t>Dorothy Thomas</t>
  </si>
  <si>
    <t>Wesley Thornton</t>
  </si>
  <si>
    <t>Taylor Whitaker</t>
  </si>
  <si>
    <t>Lisa Clark</t>
  </si>
  <si>
    <t>Kristin Ramsey</t>
  </si>
  <si>
    <t>Danielle Perry</t>
  </si>
  <si>
    <t>Harold Williams</t>
  </si>
  <si>
    <t>Anthony Kim</t>
  </si>
  <si>
    <t>Nicole Cantu</t>
  </si>
  <si>
    <t>Dustin Barnes</t>
  </si>
  <si>
    <t>John Adams</t>
  </si>
  <si>
    <t>Margaret Reynolds</t>
  </si>
  <si>
    <t>Richard Crawford</t>
  </si>
  <si>
    <t>Tracy Moore</t>
  </si>
  <si>
    <t>Christopher Gonzales</t>
  </si>
  <si>
    <t>Lucas Rodriguez</t>
  </si>
  <si>
    <t>Pamela Randall</t>
  </si>
  <si>
    <t>Jacqueline Chen</t>
  </si>
  <si>
    <t>Christine Wiley</t>
  </si>
  <si>
    <t>Darren Coleman</t>
  </si>
  <si>
    <t>Jamie Day</t>
  </si>
  <si>
    <t>Tina Kirk</t>
  </si>
  <si>
    <t>Tara Giles</t>
  </si>
  <si>
    <t>Jacob Thomas</t>
  </si>
  <si>
    <t>James Stevens</t>
  </si>
  <si>
    <t>Curtis George</t>
  </si>
  <si>
    <t>Lisa Vega</t>
  </si>
  <si>
    <t>Benjamin Travis</t>
  </si>
  <si>
    <t>Rebecca Fletcher</t>
  </si>
  <si>
    <t>William Stewart</t>
  </si>
  <si>
    <t>Christopher Campbell</t>
  </si>
  <si>
    <t>Tyler Frye</t>
  </si>
  <si>
    <t>Kurt Cabrera</t>
  </si>
  <si>
    <t>Robert Nunez</t>
  </si>
  <si>
    <t>Diane Coleman</t>
  </si>
  <si>
    <t>Cody Mason</t>
  </si>
  <si>
    <t>Amber Shaw</t>
  </si>
  <si>
    <t>Michael Cannon</t>
  </si>
  <si>
    <t>Lisa Hill</t>
  </si>
  <si>
    <t>Erik Garcia</t>
  </si>
  <si>
    <t>Brenda Scott</t>
  </si>
  <si>
    <t>William Padilla</t>
  </si>
  <si>
    <t>Sara Keller</t>
  </si>
  <si>
    <t>Kerry Hines</t>
  </si>
  <si>
    <t>Mrs. Vanessa Liu</t>
  </si>
  <si>
    <t>Taylor Knox</t>
  </si>
  <si>
    <t>Matthew Stuart</t>
  </si>
  <si>
    <t>Jesse Hernandez</t>
  </si>
  <si>
    <t>Donald Burke</t>
  </si>
  <si>
    <t>Katherine Jones</t>
  </si>
  <si>
    <t>Colin White</t>
  </si>
  <si>
    <t>Madison Dickson</t>
  </si>
  <si>
    <t>Shannon Foster</t>
  </si>
  <si>
    <t>Laura Wood</t>
  </si>
  <si>
    <t>Stephanie Weeks</t>
  </si>
  <si>
    <t>Brandon Ross</t>
  </si>
  <si>
    <t>Matthew Gonzalez</t>
  </si>
  <si>
    <t>Jessica Frank</t>
  </si>
  <si>
    <t>Matthew Baird</t>
  </si>
  <si>
    <t>Jeffery Smith</t>
  </si>
  <si>
    <t>Cynthia Brown</t>
  </si>
  <si>
    <t>Anna Rivers</t>
  </si>
  <si>
    <t>Joseph Rivera</t>
  </si>
  <si>
    <t>Caitlin Crane</t>
  </si>
  <si>
    <t>Patrick Woods</t>
  </si>
  <si>
    <t>Debra Jones</t>
  </si>
  <si>
    <t>Colin Garcia</t>
  </si>
  <si>
    <t>Sylvia Landry</t>
  </si>
  <si>
    <t>Robert Jones</t>
  </si>
  <si>
    <t>James Schmitt</t>
  </si>
  <si>
    <t>Douglas Williams</t>
  </si>
  <si>
    <t>Kim Brown</t>
  </si>
  <si>
    <t>Cassandra Mckinney</t>
  </si>
  <si>
    <t>Mark Swanson</t>
  </si>
  <si>
    <t>Martha Harris</t>
  </si>
  <si>
    <t>Timothy Castaneda</t>
  </si>
  <si>
    <t>William Stevenson</t>
  </si>
  <si>
    <t>Steven Santiago</t>
  </si>
  <si>
    <t>Alejandro Cross</t>
  </si>
  <si>
    <t>Edward Hawkins</t>
  </si>
  <si>
    <t>Debbie Jensen</t>
  </si>
  <si>
    <t>Amanda West</t>
  </si>
  <si>
    <t>Robert Harris</t>
  </si>
  <si>
    <t>John King</t>
  </si>
  <si>
    <t>Brian Lee</t>
  </si>
  <si>
    <t>Jason Gomez</t>
  </si>
  <si>
    <t>Justin Martinez</t>
  </si>
  <si>
    <t>Karen Johnson</t>
  </si>
  <si>
    <t>Ryan Hanson</t>
  </si>
  <si>
    <t>William Key</t>
  </si>
  <si>
    <t>Brian Tucker</t>
  </si>
  <si>
    <t>Matthew Moore</t>
  </si>
  <si>
    <t>Casey Williams</t>
  </si>
  <si>
    <t>Marcia Anderson</t>
  </si>
  <si>
    <t>Deanna Stephenson</t>
  </si>
  <si>
    <t>Scott Tucker</t>
  </si>
  <si>
    <t>Whitney Herring</t>
  </si>
  <si>
    <t>Marissa Johnson</t>
  </si>
  <si>
    <t>Donald Harris</t>
  </si>
  <si>
    <t>Kevin Coleman</t>
  </si>
  <si>
    <t>Justin Robinson</t>
  </si>
  <si>
    <t>Brian Carson</t>
  </si>
  <si>
    <t>Elizabeth Myers</t>
  </si>
  <si>
    <t>Amber Collins</t>
  </si>
  <si>
    <t>Sara Mayo</t>
  </si>
  <si>
    <t>Brittany Ayala</t>
  </si>
  <si>
    <t>Karen Hernandez</t>
  </si>
  <si>
    <t>Tracy Wood</t>
  </si>
  <si>
    <t>Jackie Foster</t>
  </si>
  <si>
    <t>Laurie Johnson</t>
  </si>
  <si>
    <t>Nicole Campbell</t>
  </si>
  <si>
    <t>Alyssa Schroeder</t>
  </si>
  <si>
    <t>Garrett Delgado</t>
  </si>
  <si>
    <t>Andrew Weaver</t>
  </si>
  <si>
    <t>Barbara Thomas</t>
  </si>
  <si>
    <t>Veronica Kelly</t>
  </si>
  <si>
    <t>Holly Wolfe</t>
  </si>
  <si>
    <t>Gary Wells</t>
  </si>
  <si>
    <t>Stephanie Taylor</t>
  </si>
  <si>
    <t>Benjamin Smith</t>
  </si>
  <si>
    <t>Tracy Benton</t>
  </si>
  <si>
    <t>Miguel Mason</t>
  </si>
  <si>
    <t>Erika Jones</t>
  </si>
  <si>
    <t>Craig Mcdowell</t>
  </si>
  <si>
    <t>Joseph Walter</t>
  </si>
  <si>
    <t>Megan Wagner</t>
  </si>
  <si>
    <t>Vanessa Johnson</t>
  </si>
  <si>
    <t>Tony Rose</t>
  </si>
  <si>
    <t>Dale Davis</t>
  </si>
  <si>
    <t>Matthew Hutchinson</t>
  </si>
  <si>
    <t>Diana Martin</t>
  </si>
  <si>
    <t>Catherine Jones</t>
  </si>
  <si>
    <t>Jennifer Booth</t>
  </si>
  <si>
    <t>Bradley Martinez</t>
  </si>
  <si>
    <t>Charles Sandoval</t>
  </si>
  <si>
    <t>David Blevins</t>
  </si>
  <si>
    <t>Jean Garza</t>
  </si>
  <si>
    <t>Bradley Lindsey</t>
  </si>
  <si>
    <t>Bruce Miller</t>
  </si>
  <si>
    <t>Holly Wilson</t>
  </si>
  <si>
    <t>Angela Wilkins</t>
  </si>
  <si>
    <t>Jimmy Lopez</t>
  </si>
  <si>
    <t>Kelsey Huber</t>
  </si>
  <si>
    <t>Logan Long</t>
  </si>
  <si>
    <t>Kevin Miller</t>
  </si>
  <si>
    <t>Jeffrey Harris</t>
  </si>
  <si>
    <t>Jonathan Gillespie MD</t>
  </si>
  <si>
    <t>Meagan Russell</t>
  </si>
  <si>
    <t>Miguel Sullivan</t>
  </si>
  <si>
    <t>Daniel Pennington</t>
  </si>
  <si>
    <t>April Wilson</t>
  </si>
  <si>
    <t>William Bell</t>
  </si>
  <si>
    <t>Robert Edwards</t>
  </si>
  <si>
    <t>Jesse Green</t>
  </si>
  <si>
    <t>David Raymond</t>
  </si>
  <si>
    <t>Olivia Griffin</t>
  </si>
  <si>
    <t>Daniel Morris</t>
  </si>
  <si>
    <t>Mark Huber</t>
  </si>
  <si>
    <t>Matthew Castillo</t>
  </si>
  <si>
    <t>Tara Roberts</t>
  </si>
  <si>
    <t>Jacqueline Brown</t>
  </si>
  <si>
    <t>Richard Gould</t>
  </si>
  <si>
    <t>Alexander Elliott</t>
  </si>
  <si>
    <t>David Ingram</t>
  </si>
  <si>
    <t>Kristin Brown</t>
  </si>
  <si>
    <t>James Kerr</t>
  </si>
  <si>
    <t>Discount price</t>
  </si>
  <si>
    <t>Revenue</t>
  </si>
  <si>
    <t xml:space="preserve">Product </t>
  </si>
  <si>
    <t>Product Line</t>
  </si>
  <si>
    <t>Product Region vs Count</t>
  </si>
  <si>
    <t xml:space="preserve">Product Region Vs Sale </t>
  </si>
  <si>
    <t>ONLY "&gt;1000" VALUE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</si>
</sst>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  <xf numFmtId="2" fontId="0" fillId="0" borderId="10" xfId="0" applyNumberFormat="1" applyBorder="1"/>
    <xf numFmtId="164" fontId="0" fillId="0" borderId="10" xfId="0" applyNumberFormat="1" applyBorder="1"/>
    <xf numFmtId="1" fontId="0" fillId="0" borderId="10" xfId="0" applyNumberFormat="1" applyBorder="1"/>
    <xf numFmtId="0" fontId="16" fillId="33" borderId="10" xfId="0" applyFont="1" applyFill="1" applyBorder="1"/>
    <xf numFmtId="0" fontId="16" fillId="0" borderId="10" xfId="0" applyFont="1" applyBorder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DE4B-841A-4907-8EA0-437BA0F23AA8}">
  <dimension ref="A1:W1001"/>
  <sheetViews>
    <sheetView topLeftCell="G12" zoomScale="129" workbookViewId="0">
      <selection activeCell="N1" sqref="N1:P25"/>
    </sheetView>
  </sheetViews>
  <sheetFormatPr defaultRowHeight="14.4" x14ac:dyDescent="0.3"/>
  <cols>
    <col min="1" max="1" width="7.33203125" style="1" bestFit="1" customWidth="1"/>
    <col min="2" max="2" width="10.33203125" style="1" bestFit="1" customWidth="1"/>
    <col min="3" max="3" width="6.88671875" style="1" bestFit="1" customWidth="1"/>
    <col min="4" max="4" width="12.21875" style="1" bestFit="1" customWidth="1"/>
    <col min="5" max="5" width="10.6640625" style="1" bestFit="1" customWidth="1"/>
    <col min="6" max="6" width="10.44140625" style="1" bestFit="1" customWidth="1"/>
    <col min="7" max="7" width="19.21875" style="1" bestFit="1" customWidth="1"/>
    <col min="8" max="8" width="10.33203125" style="1" bestFit="1" customWidth="1"/>
    <col min="9" max="9" width="11.88671875" style="1" bestFit="1" customWidth="1"/>
    <col min="10" max="10" width="9.44140625" style="1" bestFit="1" customWidth="1"/>
    <col min="11" max="11" width="12.88671875" style="1" bestFit="1" customWidth="1"/>
    <col min="12" max="12" width="12.5546875" style="1" bestFit="1" customWidth="1"/>
    <col min="13" max="13" width="8.88671875" style="1"/>
    <col min="14" max="14" width="12.109375" style="1" bestFit="1" customWidth="1"/>
    <col min="15" max="15" width="6.88671875" style="1" bestFit="1" customWidth="1"/>
    <col min="16" max="16" width="11" style="1" bestFit="1" customWidth="1"/>
    <col min="17" max="19" width="8.88671875" style="1"/>
    <col min="20" max="20" width="12.6640625" style="1" bestFit="1" customWidth="1"/>
    <col min="21" max="21" width="8.88671875" style="1"/>
    <col min="22" max="22" width="11.33203125" style="1" bestFit="1" customWidth="1"/>
    <col min="23" max="16384" width="8.88671875" style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329</v>
      </c>
      <c r="L1" s="1" t="s">
        <v>330</v>
      </c>
      <c r="N1" s="3" t="s">
        <v>331</v>
      </c>
      <c r="O1" s="3" t="s">
        <v>2</v>
      </c>
      <c r="P1" s="3" t="s">
        <v>332</v>
      </c>
    </row>
    <row r="2" spans="1:23" x14ac:dyDescent="0.3">
      <c r="A2" s="1">
        <v>1000</v>
      </c>
      <c r="B2" s="2">
        <v>44474</v>
      </c>
      <c r="C2" s="1" t="s">
        <v>10</v>
      </c>
      <c r="D2" s="1" t="s">
        <v>11</v>
      </c>
      <c r="E2" s="1" t="s">
        <v>12</v>
      </c>
      <c r="F2" s="1">
        <v>631.19000000000005</v>
      </c>
      <c r="G2" s="1" t="s">
        <v>13</v>
      </c>
      <c r="H2" s="2">
        <v>24348</v>
      </c>
      <c r="I2" s="2">
        <v>44481</v>
      </c>
      <c r="J2" s="1">
        <v>23.27</v>
      </c>
      <c r="K2" s="4">
        <f>F2*J2%</f>
        <v>146.87791300000001</v>
      </c>
      <c r="L2" s="4">
        <f>F2-K2</f>
        <v>484.31208700000002</v>
      </c>
      <c r="N2" s="1" t="s">
        <v>11</v>
      </c>
      <c r="O2" s="1" t="s">
        <v>10</v>
      </c>
      <c r="P2" s="1" t="s">
        <v>12</v>
      </c>
    </row>
    <row r="3" spans="1:23" x14ac:dyDescent="0.3">
      <c r="A3" s="1">
        <v>1001</v>
      </c>
      <c r="B3" s="2">
        <v>44531</v>
      </c>
      <c r="C3" s="1" t="s">
        <v>14</v>
      </c>
      <c r="D3" s="1" t="s">
        <v>15</v>
      </c>
      <c r="E3" s="1" t="s">
        <v>16</v>
      </c>
      <c r="F3" s="1">
        <v>2524.6</v>
      </c>
      <c r="G3" s="1" t="s">
        <v>17</v>
      </c>
      <c r="H3" s="2">
        <v>26484</v>
      </c>
      <c r="I3" s="2">
        <v>44540</v>
      </c>
      <c r="J3" s="1">
        <v>32.72</v>
      </c>
      <c r="K3" s="4">
        <f t="shared" ref="K3:K66" si="0">F3*J3%</f>
        <v>826.0491199999999</v>
      </c>
      <c r="L3" s="4">
        <f t="shared" ref="L3:L66" si="1">F3-K3</f>
        <v>1698.55088</v>
      </c>
      <c r="N3" s="1" t="s">
        <v>15</v>
      </c>
      <c r="O3" s="1" t="s">
        <v>14</v>
      </c>
      <c r="P3" s="1" t="s">
        <v>16</v>
      </c>
      <c r="R3" s="3" t="s">
        <v>2</v>
      </c>
      <c r="S3" s="1" t="s">
        <v>330</v>
      </c>
      <c r="T3" s="3" t="s">
        <v>331</v>
      </c>
      <c r="V3" s="3" t="s">
        <v>332</v>
      </c>
    </row>
    <row r="4" spans="1:23" x14ac:dyDescent="0.3">
      <c r="A4" s="1">
        <v>1002</v>
      </c>
      <c r="B4" s="2">
        <v>45090</v>
      </c>
      <c r="C4" s="1" t="s">
        <v>14</v>
      </c>
      <c r="D4" s="1" t="s">
        <v>18</v>
      </c>
      <c r="E4" s="1" t="s">
        <v>19</v>
      </c>
      <c r="F4" s="1">
        <v>4796.1499999999996</v>
      </c>
      <c r="G4" s="1" t="s">
        <v>20</v>
      </c>
      <c r="H4" s="2">
        <v>24232</v>
      </c>
      <c r="I4" s="2">
        <v>45100</v>
      </c>
      <c r="J4" s="1">
        <v>37.94</v>
      </c>
      <c r="K4" s="4">
        <f t="shared" si="0"/>
        <v>1819.6593099999998</v>
      </c>
      <c r="L4" s="4">
        <f t="shared" si="1"/>
        <v>2976.4906899999996</v>
      </c>
      <c r="N4" s="1" t="s">
        <v>18</v>
      </c>
      <c r="O4" s="1" t="s">
        <v>21</v>
      </c>
      <c r="P4" s="1" t="s">
        <v>19</v>
      </c>
      <c r="R4" s="1" t="s">
        <v>10</v>
      </c>
      <c r="S4" s="1">
        <f>SUMIF($C$2:$C$1001,R4,$L$2:$L$1001)</f>
        <v>353434.42871600017</v>
      </c>
      <c r="T4" s="1" t="s">
        <v>11</v>
      </c>
      <c r="U4" s="1">
        <f>SUMIF($D$2:$D$1001,T4,$L$2:$L$1001)</f>
        <v>86627.547774000021</v>
      </c>
      <c r="V4" s="1" t="s">
        <v>12</v>
      </c>
      <c r="W4" s="1">
        <f>SUMIF($E$2:$E$1001,V4,$L$2:$L$1001)</f>
        <v>342095.24872000015</v>
      </c>
    </row>
    <row r="5" spans="1:23" x14ac:dyDescent="0.3">
      <c r="A5" s="1">
        <v>1003</v>
      </c>
      <c r="B5" s="2">
        <v>45255</v>
      </c>
      <c r="C5" s="1" t="s">
        <v>21</v>
      </c>
      <c r="D5" s="1" t="s">
        <v>22</v>
      </c>
      <c r="E5" s="1" t="s">
        <v>19</v>
      </c>
      <c r="F5" s="1">
        <v>2768.66</v>
      </c>
      <c r="G5" s="1" t="s">
        <v>23</v>
      </c>
      <c r="H5" s="2">
        <v>38378</v>
      </c>
      <c r="I5" s="2">
        <v>45261</v>
      </c>
      <c r="J5" s="1">
        <v>2.4500000000000002</v>
      </c>
      <c r="K5" s="4">
        <f t="shared" si="0"/>
        <v>67.832170000000005</v>
      </c>
      <c r="L5" s="4">
        <f t="shared" si="1"/>
        <v>2700.8278299999997</v>
      </c>
      <c r="N5" s="1" t="s">
        <v>22</v>
      </c>
      <c r="O5" s="1" t="s">
        <v>26</v>
      </c>
      <c r="P5" s="1" t="s">
        <v>28</v>
      </c>
      <c r="R5" s="1" t="s">
        <v>14</v>
      </c>
      <c r="S5" s="1">
        <f t="shared" ref="S5:S8" si="2">SUMIF($C$2:$C$1001,R5,$L$2:$L$1001)</f>
        <v>371588.84550399991</v>
      </c>
      <c r="T5" s="1" t="s">
        <v>15</v>
      </c>
      <c r="U5" s="1">
        <f t="shared" ref="U5:U28" si="3">SUMIF($D$2:$D$1001,T5,$L$2:$L$1001)</f>
        <v>75817.679785</v>
      </c>
      <c r="V5" s="1" t="s">
        <v>16</v>
      </c>
      <c r="W5" s="1">
        <f t="shared" ref="W5:W8" si="4">SUMIF($E$2:$E$1001,V5,$L$2:$L$1001)</f>
        <v>376871.45303199999</v>
      </c>
    </row>
    <row r="6" spans="1:23" x14ac:dyDescent="0.3">
      <c r="A6" s="1">
        <v>1004</v>
      </c>
      <c r="B6" s="2">
        <v>44906</v>
      </c>
      <c r="C6" s="1" t="s">
        <v>14</v>
      </c>
      <c r="D6" s="1" t="s">
        <v>24</v>
      </c>
      <c r="E6" s="1" t="s">
        <v>19</v>
      </c>
      <c r="F6" s="1">
        <v>3730.38</v>
      </c>
      <c r="G6" s="1" t="s">
        <v>25</v>
      </c>
      <c r="H6" s="2">
        <v>33386</v>
      </c>
      <c r="I6" s="2">
        <v>44915</v>
      </c>
      <c r="J6" s="1">
        <v>39.65</v>
      </c>
      <c r="K6" s="4">
        <f t="shared" si="0"/>
        <v>1479.0956699999999</v>
      </c>
      <c r="L6" s="4">
        <f t="shared" si="1"/>
        <v>2251.2843300000004</v>
      </c>
      <c r="N6" s="1" t="s">
        <v>24</v>
      </c>
      <c r="O6" s="1" t="s">
        <v>35</v>
      </c>
      <c r="P6" s="1" t="s">
        <v>31</v>
      </c>
      <c r="R6" s="1" t="s">
        <v>21</v>
      </c>
      <c r="S6" s="1">
        <f t="shared" si="2"/>
        <v>381714.08060599997</v>
      </c>
      <c r="T6" s="1" t="s">
        <v>18</v>
      </c>
      <c r="U6" s="1">
        <f t="shared" si="3"/>
        <v>67154.170486999996</v>
      </c>
      <c r="V6" s="1" t="s">
        <v>19</v>
      </c>
      <c r="W6" s="1">
        <f t="shared" si="4"/>
        <v>384454.16766499984</v>
      </c>
    </row>
    <row r="7" spans="1:23" x14ac:dyDescent="0.3">
      <c r="A7" s="1">
        <v>1005</v>
      </c>
      <c r="B7" s="2">
        <v>45350</v>
      </c>
      <c r="C7" s="1" t="s">
        <v>26</v>
      </c>
      <c r="D7" s="1" t="s">
        <v>27</v>
      </c>
      <c r="E7" s="1" t="s">
        <v>28</v>
      </c>
      <c r="F7" s="1">
        <v>393.8</v>
      </c>
      <c r="G7" s="1" t="s">
        <v>29</v>
      </c>
      <c r="H7" s="2">
        <v>24033</v>
      </c>
      <c r="I7" s="2">
        <v>45364</v>
      </c>
      <c r="J7" s="1">
        <v>7.32</v>
      </c>
      <c r="K7" s="4">
        <f t="shared" si="0"/>
        <v>28.826160000000002</v>
      </c>
      <c r="L7" s="4">
        <f t="shared" si="1"/>
        <v>364.97384</v>
      </c>
      <c r="N7" s="1" t="s">
        <v>27</v>
      </c>
      <c r="R7" s="1" t="s">
        <v>26</v>
      </c>
      <c r="S7" s="1">
        <f t="shared" si="2"/>
        <v>355584.94117700012</v>
      </c>
      <c r="T7" s="1" t="s">
        <v>22</v>
      </c>
      <c r="U7" s="1">
        <f t="shared" si="3"/>
        <v>86063.204491000011</v>
      </c>
      <c r="V7" s="1" t="s">
        <v>28</v>
      </c>
      <c r="W7" s="1">
        <f t="shared" si="4"/>
        <v>421627.843597</v>
      </c>
    </row>
    <row r="8" spans="1:23" x14ac:dyDescent="0.3">
      <c r="A8" s="1">
        <v>1006</v>
      </c>
      <c r="B8" s="2">
        <v>45582</v>
      </c>
      <c r="C8" s="1" t="s">
        <v>10</v>
      </c>
      <c r="D8" s="1" t="s">
        <v>30</v>
      </c>
      <c r="E8" s="1" t="s">
        <v>31</v>
      </c>
      <c r="F8" s="1">
        <v>1661.65</v>
      </c>
      <c r="G8" s="1" t="s">
        <v>32</v>
      </c>
      <c r="H8" s="2">
        <v>27166</v>
      </c>
      <c r="I8" s="2">
        <v>45596</v>
      </c>
      <c r="J8" s="1">
        <v>23.68</v>
      </c>
      <c r="K8" s="4">
        <f t="shared" si="0"/>
        <v>393.47872000000007</v>
      </c>
      <c r="L8" s="4">
        <f t="shared" si="1"/>
        <v>1268.17128</v>
      </c>
      <c r="N8" s="1" t="s">
        <v>30</v>
      </c>
      <c r="R8" s="1" t="s">
        <v>35</v>
      </c>
      <c r="S8" s="1">
        <f t="shared" si="2"/>
        <v>420981.18631899991</v>
      </c>
      <c r="T8" s="1" t="s">
        <v>24</v>
      </c>
      <c r="U8" s="1">
        <f t="shared" si="3"/>
        <v>83507.833971</v>
      </c>
      <c r="V8" s="1" t="s">
        <v>31</v>
      </c>
      <c r="W8" s="1">
        <f t="shared" si="4"/>
        <v>358254.76930799999</v>
      </c>
    </row>
    <row r="9" spans="1:23" x14ac:dyDescent="0.3">
      <c r="A9" s="1">
        <v>1007</v>
      </c>
      <c r="B9" s="2">
        <v>45601</v>
      </c>
      <c r="C9" s="1" t="s">
        <v>21</v>
      </c>
      <c r="D9" s="1" t="s">
        <v>33</v>
      </c>
      <c r="E9" s="1" t="s">
        <v>16</v>
      </c>
      <c r="F9" s="1">
        <v>1343.23</v>
      </c>
      <c r="G9" s="1" t="s">
        <v>34</v>
      </c>
      <c r="H9" s="2">
        <v>25232</v>
      </c>
      <c r="I9" s="2">
        <v>45606</v>
      </c>
      <c r="J9" s="1">
        <v>12.44</v>
      </c>
      <c r="K9" s="4">
        <f t="shared" si="0"/>
        <v>167.097812</v>
      </c>
      <c r="L9" s="4">
        <f t="shared" si="1"/>
        <v>1176.132188</v>
      </c>
      <c r="N9" s="1" t="s">
        <v>33</v>
      </c>
      <c r="T9" s="1" t="s">
        <v>27</v>
      </c>
      <c r="U9" s="1">
        <f t="shared" si="3"/>
        <v>70366.670448999997</v>
      </c>
    </row>
    <row r="10" spans="1:23" x14ac:dyDescent="0.3">
      <c r="A10" s="1">
        <v>1008</v>
      </c>
      <c r="B10" s="2">
        <v>45269</v>
      </c>
      <c r="C10" s="1" t="s">
        <v>35</v>
      </c>
      <c r="D10" s="1" t="s">
        <v>36</v>
      </c>
      <c r="E10" s="1" t="s">
        <v>28</v>
      </c>
      <c r="F10" s="1">
        <v>3813.09</v>
      </c>
      <c r="G10" s="1" t="s">
        <v>37</v>
      </c>
      <c r="H10" s="2">
        <v>27534</v>
      </c>
      <c r="I10" s="2">
        <v>45279</v>
      </c>
      <c r="J10" s="1">
        <v>6.96</v>
      </c>
      <c r="K10" s="4">
        <f t="shared" si="0"/>
        <v>265.39106399999997</v>
      </c>
      <c r="L10" s="4">
        <f t="shared" si="1"/>
        <v>3547.6989360000002</v>
      </c>
      <c r="N10" s="1" t="s">
        <v>36</v>
      </c>
      <c r="T10" s="1" t="s">
        <v>30</v>
      </c>
      <c r="U10" s="1">
        <f t="shared" si="3"/>
        <v>71284.67802599998</v>
      </c>
    </row>
    <row r="11" spans="1:23" x14ac:dyDescent="0.3">
      <c r="A11" s="1">
        <v>1009</v>
      </c>
      <c r="B11" s="2">
        <v>44110</v>
      </c>
      <c r="C11" s="1" t="s">
        <v>35</v>
      </c>
      <c r="D11" s="1" t="s">
        <v>38</v>
      </c>
      <c r="E11" s="1" t="s">
        <v>28</v>
      </c>
      <c r="F11" s="1">
        <v>4445.5</v>
      </c>
      <c r="G11" s="1" t="s">
        <v>39</v>
      </c>
      <c r="H11" s="2">
        <v>26282</v>
      </c>
      <c r="I11" s="2">
        <v>44123</v>
      </c>
      <c r="J11" s="1">
        <v>27.08</v>
      </c>
      <c r="K11" s="4">
        <f t="shared" si="0"/>
        <v>1203.8414</v>
      </c>
      <c r="L11" s="4">
        <f t="shared" si="1"/>
        <v>3241.6585999999998</v>
      </c>
      <c r="N11" s="1" t="s">
        <v>38</v>
      </c>
      <c r="T11" s="1" t="s">
        <v>33</v>
      </c>
      <c r="U11" s="1">
        <f t="shared" si="3"/>
        <v>87870.129888999989</v>
      </c>
    </row>
    <row r="12" spans="1:23" x14ac:dyDescent="0.3">
      <c r="A12" s="1">
        <v>1010</v>
      </c>
      <c r="B12" s="2">
        <v>45125</v>
      </c>
      <c r="C12" s="1" t="s">
        <v>14</v>
      </c>
      <c r="D12" s="1" t="s">
        <v>40</v>
      </c>
      <c r="E12" s="1" t="s">
        <v>16</v>
      </c>
      <c r="F12" s="1">
        <v>179.63</v>
      </c>
      <c r="G12" s="1" t="s">
        <v>41</v>
      </c>
      <c r="H12" s="2">
        <v>35818</v>
      </c>
      <c r="I12" s="2">
        <v>45128</v>
      </c>
      <c r="J12" s="1">
        <v>19.760000000000002</v>
      </c>
      <c r="K12" s="4">
        <f t="shared" si="0"/>
        <v>35.494888000000003</v>
      </c>
      <c r="L12" s="4">
        <f t="shared" si="1"/>
        <v>144.13511199999999</v>
      </c>
      <c r="N12" s="1" t="s">
        <v>40</v>
      </c>
      <c r="T12" s="1" t="s">
        <v>36</v>
      </c>
      <c r="U12" s="1">
        <f t="shared" si="3"/>
        <v>73035.423811000001</v>
      </c>
    </row>
    <row r="13" spans="1:23" x14ac:dyDescent="0.3">
      <c r="A13" s="1">
        <v>1011</v>
      </c>
      <c r="B13" s="2">
        <v>44588</v>
      </c>
      <c r="C13" s="1" t="s">
        <v>10</v>
      </c>
      <c r="D13" s="1" t="s">
        <v>40</v>
      </c>
      <c r="E13" s="1" t="s">
        <v>16</v>
      </c>
      <c r="F13" s="1">
        <v>3282.77</v>
      </c>
      <c r="G13" s="1" t="s">
        <v>42</v>
      </c>
      <c r="H13" s="2">
        <v>26027</v>
      </c>
      <c r="I13" s="2">
        <v>44597</v>
      </c>
      <c r="J13" s="1">
        <v>27.39</v>
      </c>
      <c r="K13" s="4">
        <f t="shared" si="0"/>
        <v>899.15070300000014</v>
      </c>
      <c r="L13" s="4">
        <f t="shared" si="1"/>
        <v>2383.6192969999997</v>
      </c>
      <c r="N13" s="1" t="s">
        <v>44</v>
      </c>
      <c r="T13" s="1" t="s">
        <v>38</v>
      </c>
      <c r="U13" s="1">
        <f t="shared" si="3"/>
        <v>83708.527758000011</v>
      </c>
    </row>
    <row r="14" spans="1:23" x14ac:dyDescent="0.3">
      <c r="A14" s="1">
        <v>1012</v>
      </c>
      <c r="B14" s="2">
        <v>45413</v>
      </c>
      <c r="C14" s="1" t="s">
        <v>26</v>
      </c>
      <c r="D14" s="1" t="s">
        <v>11</v>
      </c>
      <c r="E14" s="1" t="s">
        <v>12</v>
      </c>
      <c r="F14" s="1">
        <v>1004.87</v>
      </c>
      <c r="G14" s="1" t="s">
        <v>43</v>
      </c>
      <c r="H14" s="2">
        <v>30054</v>
      </c>
      <c r="I14" s="2">
        <v>45421</v>
      </c>
      <c r="J14" s="1">
        <v>21.81</v>
      </c>
      <c r="K14" s="4">
        <f t="shared" si="0"/>
        <v>219.16214699999998</v>
      </c>
      <c r="L14" s="4">
        <f t="shared" si="1"/>
        <v>785.707853</v>
      </c>
      <c r="N14" s="1" t="s">
        <v>47</v>
      </c>
      <c r="T14" s="1" t="s">
        <v>40</v>
      </c>
      <c r="U14" s="1">
        <f t="shared" si="3"/>
        <v>70229.196698</v>
      </c>
    </row>
    <row r="15" spans="1:23" x14ac:dyDescent="0.3">
      <c r="A15" s="1">
        <v>1013</v>
      </c>
      <c r="B15" s="2">
        <v>45452</v>
      </c>
      <c r="C15" s="1" t="s">
        <v>21</v>
      </c>
      <c r="D15" s="1" t="s">
        <v>44</v>
      </c>
      <c r="E15" s="1" t="s">
        <v>16</v>
      </c>
      <c r="F15" s="1">
        <v>1447.5</v>
      </c>
      <c r="G15" s="1" t="s">
        <v>45</v>
      </c>
      <c r="H15" s="2">
        <v>34367</v>
      </c>
      <c r="I15" s="2">
        <v>45465</v>
      </c>
      <c r="J15" s="1">
        <v>41.59</v>
      </c>
      <c r="K15" s="4">
        <f t="shared" si="0"/>
        <v>602.01525000000004</v>
      </c>
      <c r="L15" s="4">
        <f t="shared" si="1"/>
        <v>845.48474999999996</v>
      </c>
      <c r="N15" s="1" t="s">
        <v>49</v>
      </c>
      <c r="T15" s="1" t="s">
        <v>44</v>
      </c>
      <c r="U15" s="1">
        <f t="shared" si="3"/>
        <v>83135.18163799998</v>
      </c>
    </row>
    <row r="16" spans="1:23" x14ac:dyDescent="0.3">
      <c r="A16" s="1">
        <v>1014</v>
      </c>
      <c r="B16" s="2">
        <v>45352</v>
      </c>
      <c r="C16" s="1" t="s">
        <v>26</v>
      </c>
      <c r="D16" s="1" t="s">
        <v>40</v>
      </c>
      <c r="E16" s="1" t="s">
        <v>16</v>
      </c>
      <c r="F16" s="1">
        <v>4448.16</v>
      </c>
      <c r="G16" s="1" t="s">
        <v>46</v>
      </c>
      <c r="H16" s="2">
        <v>24670</v>
      </c>
      <c r="I16" s="2">
        <v>45366</v>
      </c>
      <c r="J16" s="1">
        <v>27.78</v>
      </c>
      <c r="K16" s="4">
        <f t="shared" si="0"/>
        <v>1235.698848</v>
      </c>
      <c r="L16" s="4">
        <f t="shared" si="1"/>
        <v>3212.4611519999999</v>
      </c>
      <c r="N16" s="1" t="s">
        <v>53</v>
      </c>
      <c r="T16" s="1" t="s">
        <v>47</v>
      </c>
      <c r="U16" s="1">
        <f t="shared" si="3"/>
        <v>68644.61162299999</v>
      </c>
    </row>
    <row r="17" spans="1:21" x14ac:dyDescent="0.3">
      <c r="A17" s="1">
        <v>1015</v>
      </c>
      <c r="B17" s="2">
        <v>45567</v>
      </c>
      <c r="C17" s="1" t="s">
        <v>10</v>
      </c>
      <c r="D17" s="1" t="s">
        <v>47</v>
      </c>
      <c r="E17" s="1" t="s">
        <v>12</v>
      </c>
      <c r="F17" s="1">
        <v>1994.4</v>
      </c>
      <c r="G17" s="1" t="s">
        <v>48</v>
      </c>
      <c r="H17" s="2">
        <v>22315</v>
      </c>
      <c r="I17" s="2">
        <v>45572</v>
      </c>
      <c r="J17" s="1">
        <v>14.86</v>
      </c>
      <c r="K17" s="4">
        <f t="shared" si="0"/>
        <v>296.36784</v>
      </c>
      <c r="L17" s="4">
        <f t="shared" si="1"/>
        <v>1698.0321600000002</v>
      </c>
      <c r="N17" s="1" t="s">
        <v>55</v>
      </c>
      <c r="T17" s="1" t="s">
        <v>49</v>
      </c>
      <c r="U17" s="1">
        <f t="shared" si="3"/>
        <v>87570.801009999996</v>
      </c>
    </row>
    <row r="18" spans="1:21" x14ac:dyDescent="0.3">
      <c r="A18" s="1">
        <v>1016</v>
      </c>
      <c r="B18" s="2">
        <v>44980</v>
      </c>
      <c r="C18" s="1" t="s">
        <v>10</v>
      </c>
      <c r="D18" s="1" t="s">
        <v>49</v>
      </c>
      <c r="E18" s="1" t="s">
        <v>12</v>
      </c>
      <c r="F18" s="1">
        <v>2282.94</v>
      </c>
      <c r="G18" s="1" t="s">
        <v>50</v>
      </c>
      <c r="H18" s="2">
        <v>22594</v>
      </c>
      <c r="I18" s="2">
        <v>44982</v>
      </c>
      <c r="J18" s="1">
        <v>34.58</v>
      </c>
      <c r="K18" s="4">
        <f t="shared" si="0"/>
        <v>789.440652</v>
      </c>
      <c r="L18" s="4">
        <f t="shared" si="1"/>
        <v>1493.4993480000001</v>
      </c>
      <c r="N18" s="1" t="s">
        <v>58</v>
      </c>
      <c r="T18" s="1" t="s">
        <v>53</v>
      </c>
      <c r="U18" s="1">
        <f t="shared" si="3"/>
        <v>100249.03453699998</v>
      </c>
    </row>
    <row r="19" spans="1:21" x14ac:dyDescent="0.3">
      <c r="A19" s="1">
        <v>1017</v>
      </c>
      <c r="B19" s="2">
        <v>45057</v>
      </c>
      <c r="C19" s="1" t="s">
        <v>10</v>
      </c>
      <c r="D19" s="1" t="s">
        <v>27</v>
      </c>
      <c r="E19" s="1" t="s">
        <v>28</v>
      </c>
      <c r="F19" s="1">
        <v>300.31</v>
      </c>
      <c r="G19" s="1" t="s">
        <v>51</v>
      </c>
      <c r="H19" s="2">
        <v>30183</v>
      </c>
      <c r="I19" s="2">
        <v>45069</v>
      </c>
      <c r="J19" s="1">
        <v>23.72</v>
      </c>
      <c r="K19" s="4">
        <f t="shared" si="0"/>
        <v>71.233531999999997</v>
      </c>
      <c r="L19" s="4">
        <f t="shared" si="1"/>
        <v>229.07646800000001</v>
      </c>
      <c r="N19" s="1" t="s">
        <v>61</v>
      </c>
      <c r="T19" s="1" t="s">
        <v>55</v>
      </c>
      <c r="U19" s="1">
        <f t="shared" si="3"/>
        <v>80171.458631999994</v>
      </c>
    </row>
    <row r="20" spans="1:21" x14ac:dyDescent="0.3">
      <c r="A20" s="1">
        <v>1018</v>
      </c>
      <c r="B20" s="2">
        <v>44949</v>
      </c>
      <c r="C20" s="1" t="s">
        <v>26</v>
      </c>
      <c r="D20" s="1" t="s">
        <v>40</v>
      </c>
      <c r="E20" s="1" t="s">
        <v>16</v>
      </c>
      <c r="F20" s="1">
        <v>3380.12</v>
      </c>
      <c r="G20" s="1" t="s">
        <v>52</v>
      </c>
      <c r="H20" s="2">
        <v>30154</v>
      </c>
      <c r="I20" s="2">
        <v>44959</v>
      </c>
      <c r="J20" s="1">
        <v>48.14</v>
      </c>
      <c r="K20" s="4">
        <f t="shared" si="0"/>
        <v>1627.189768</v>
      </c>
      <c r="L20" s="4">
        <f t="shared" si="1"/>
        <v>1752.9302319999999</v>
      </c>
      <c r="N20" s="1" t="s">
        <v>65</v>
      </c>
      <c r="T20" s="1" t="s">
        <v>58</v>
      </c>
      <c r="U20" s="1">
        <f t="shared" si="3"/>
        <v>84593.520206000016</v>
      </c>
    </row>
    <row r="21" spans="1:21" x14ac:dyDescent="0.3">
      <c r="A21" s="1">
        <v>1019</v>
      </c>
      <c r="B21" s="2">
        <v>44364</v>
      </c>
      <c r="C21" s="1" t="s">
        <v>26</v>
      </c>
      <c r="D21" s="1" t="s">
        <v>53</v>
      </c>
      <c r="E21" s="1" t="s">
        <v>28</v>
      </c>
      <c r="F21" s="1">
        <v>2449.4499999999998</v>
      </c>
      <c r="G21" s="1" t="s">
        <v>54</v>
      </c>
      <c r="H21" s="2">
        <v>31082</v>
      </c>
      <c r="I21" s="2">
        <v>44369</v>
      </c>
      <c r="J21" s="1">
        <v>44.38</v>
      </c>
      <c r="K21" s="4">
        <f t="shared" si="0"/>
        <v>1087.06591</v>
      </c>
      <c r="L21" s="4">
        <f t="shared" si="1"/>
        <v>1362.3840899999998</v>
      </c>
      <c r="N21" s="1" t="s">
        <v>69</v>
      </c>
      <c r="T21" s="1" t="s">
        <v>61</v>
      </c>
      <c r="U21" s="1">
        <f t="shared" si="3"/>
        <v>80591.811016000007</v>
      </c>
    </row>
    <row r="22" spans="1:21" x14ac:dyDescent="0.3">
      <c r="A22" s="1">
        <v>1020</v>
      </c>
      <c r="B22" s="2">
        <v>44609</v>
      </c>
      <c r="C22" s="1" t="s">
        <v>35</v>
      </c>
      <c r="D22" s="1" t="s">
        <v>55</v>
      </c>
      <c r="E22" s="1" t="s">
        <v>31</v>
      </c>
      <c r="F22" s="1">
        <v>1160.4000000000001</v>
      </c>
      <c r="G22" s="1" t="s">
        <v>56</v>
      </c>
      <c r="H22" s="2">
        <v>25712</v>
      </c>
      <c r="I22" s="2">
        <v>44618</v>
      </c>
      <c r="J22" s="1">
        <v>40.840000000000003</v>
      </c>
      <c r="K22" s="4">
        <f t="shared" si="0"/>
        <v>473.9073600000001</v>
      </c>
      <c r="L22" s="4">
        <f t="shared" si="1"/>
        <v>686.49263999999994</v>
      </c>
      <c r="N22" s="1" t="s">
        <v>71</v>
      </c>
      <c r="T22" s="1" t="s">
        <v>65</v>
      </c>
      <c r="U22" s="1">
        <f t="shared" si="3"/>
        <v>67137.147700000001</v>
      </c>
    </row>
    <row r="23" spans="1:21" x14ac:dyDescent="0.3">
      <c r="A23" s="1">
        <v>1021</v>
      </c>
      <c r="B23" s="2">
        <v>44260</v>
      </c>
      <c r="C23" s="1" t="s">
        <v>10</v>
      </c>
      <c r="D23" s="1" t="s">
        <v>40</v>
      </c>
      <c r="E23" s="1" t="s">
        <v>16</v>
      </c>
      <c r="F23" s="1">
        <v>3787.11</v>
      </c>
      <c r="G23" s="1" t="s">
        <v>57</v>
      </c>
      <c r="H23" s="2">
        <v>38353</v>
      </c>
      <c r="I23" s="2">
        <v>44274</v>
      </c>
      <c r="J23" s="1">
        <v>43.05</v>
      </c>
      <c r="K23" s="4">
        <f t="shared" si="0"/>
        <v>1630.3508550000001</v>
      </c>
      <c r="L23" s="4">
        <f t="shared" si="1"/>
        <v>2156.759145</v>
      </c>
      <c r="N23" s="1" t="s">
        <v>73</v>
      </c>
      <c r="T23" s="1" t="s">
        <v>69</v>
      </c>
      <c r="U23" s="1">
        <f t="shared" si="3"/>
        <v>109583.93849300001</v>
      </c>
    </row>
    <row r="24" spans="1:21" x14ac:dyDescent="0.3">
      <c r="A24" s="1">
        <v>1022</v>
      </c>
      <c r="B24" s="2">
        <v>44985</v>
      </c>
      <c r="C24" s="1" t="s">
        <v>21</v>
      </c>
      <c r="D24" s="1" t="s">
        <v>58</v>
      </c>
      <c r="E24" s="1" t="s">
        <v>31</v>
      </c>
      <c r="F24" s="1">
        <v>4407.51</v>
      </c>
      <c r="G24" s="1" t="s">
        <v>59</v>
      </c>
      <c r="H24" s="2">
        <v>25166</v>
      </c>
      <c r="I24" s="2">
        <v>44991</v>
      </c>
      <c r="J24" s="1">
        <v>40.35</v>
      </c>
      <c r="K24" s="4">
        <f t="shared" si="0"/>
        <v>1778.4302850000001</v>
      </c>
      <c r="L24" s="4">
        <f t="shared" si="1"/>
        <v>2629.0797149999999</v>
      </c>
      <c r="N24" s="1" t="s">
        <v>88</v>
      </c>
      <c r="T24" s="1" t="s">
        <v>71</v>
      </c>
      <c r="U24" s="1">
        <f t="shared" si="3"/>
        <v>63984.878167000003</v>
      </c>
    </row>
    <row r="25" spans="1:21" x14ac:dyDescent="0.3">
      <c r="A25" s="1">
        <v>1023</v>
      </c>
      <c r="B25" s="2">
        <v>44173</v>
      </c>
      <c r="C25" s="1" t="s">
        <v>26</v>
      </c>
      <c r="D25" s="1" t="s">
        <v>30</v>
      </c>
      <c r="E25" s="1" t="s">
        <v>31</v>
      </c>
      <c r="F25" s="1">
        <v>2818.88</v>
      </c>
      <c r="G25" s="1" t="s">
        <v>60</v>
      </c>
      <c r="H25" s="2">
        <v>33482</v>
      </c>
      <c r="I25" s="2">
        <v>44181</v>
      </c>
      <c r="J25" s="1">
        <v>32.270000000000003</v>
      </c>
      <c r="K25" s="4">
        <f t="shared" si="0"/>
        <v>909.65257600000018</v>
      </c>
      <c r="L25" s="4">
        <f t="shared" si="1"/>
        <v>1909.2274239999999</v>
      </c>
      <c r="N25" s="1" t="s">
        <v>102</v>
      </c>
      <c r="T25" s="1" t="s">
        <v>73</v>
      </c>
      <c r="U25" s="1">
        <f t="shared" si="3"/>
        <v>94268.18704199999</v>
      </c>
    </row>
    <row r="26" spans="1:21" x14ac:dyDescent="0.3">
      <c r="A26" s="1">
        <v>1024</v>
      </c>
      <c r="B26" s="2">
        <v>45385</v>
      </c>
      <c r="C26" s="1" t="s">
        <v>21</v>
      </c>
      <c r="D26" s="1" t="s">
        <v>61</v>
      </c>
      <c r="E26" s="1" t="s">
        <v>19</v>
      </c>
      <c r="F26" s="1">
        <v>923.98</v>
      </c>
      <c r="G26" s="1" t="s">
        <v>62</v>
      </c>
      <c r="H26" s="2">
        <v>22870</v>
      </c>
      <c r="I26" s="2">
        <v>45387</v>
      </c>
      <c r="J26" s="1">
        <v>1.62</v>
      </c>
      <c r="K26" s="4">
        <f t="shared" si="0"/>
        <v>14.968476000000003</v>
      </c>
      <c r="L26" s="4">
        <f t="shared" si="1"/>
        <v>909.01152400000001</v>
      </c>
      <c r="T26" s="1" t="s">
        <v>88</v>
      </c>
      <c r="U26" s="1">
        <f t="shared" si="3"/>
        <v>59819.265022000014</v>
      </c>
    </row>
    <row r="27" spans="1:21" x14ac:dyDescent="0.3">
      <c r="A27" s="1">
        <v>1025</v>
      </c>
      <c r="B27" s="2">
        <v>45184</v>
      </c>
      <c r="C27" s="1" t="s">
        <v>10</v>
      </c>
      <c r="D27" s="1" t="s">
        <v>30</v>
      </c>
      <c r="E27" s="1" t="s">
        <v>31</v>
      </c>
      <c r="F27" s="1">
        <v>1341.71</v>
      </c>
      <c r="G27" s="1" t="s">
        <v>63</v>
      </c>
      <c r="H27" s="2">
        <v>25430</v>
      </c>
      <c r="I27" s="2">
        <v>45189</v>
      </c>
      <c r="J27" s="1">
        <v>38.22</v>
      </c>
      <c r="K27" s="4">
        <f t="shared" si="0"/>
        <v>512.80156199999999</v>
      </c>
      <c r="L27" s="4">
        <f t="shared" si="1"/>
        <v>828.90843800000005</v>
      </c>
      <c r="T27" s="1" t="s">
        <v>102</v>
      </c>
      <c r="U27" s="1">
        <f t="shared" si="3"/>
        <v>47888.584097000014</v>
      </c>
    </row>
    <row r="28" spans="1:21" x14ac:dyDescent="0.3">
      <c r="A28" s="1">
        <v>1026</v>
      </c>
      <c r="B28" s="2">
        <v>44998</v>
      </c>
      <c r="C28" s="1" t="s">
        <v>10</v>
      </c>
      <c r="D28" s="1" t="s">
        <v>44</v>
      </c>
      <c r="E28" s="1" t="s">
        <v>16</v>
      </c>
      <c r="F28" s="1">
        <v>2239.94</v>
      </c>
      <c r="G28" s="1" t="s">
        <v>64</v>
      </c>
      <c r="H28" s="2">
        <v>32375</v>
      </c>
      <c r="I28" s="2">
        <v>45003</v>
      </c>
      <c r="J28" s="1">
        <v>40.1</v>
      </c>
      <c r="K28" s="4">
        <f t="shared" si="0"/>
        <v>898.21594000000005</v>
      </c>
      <c r="L28" s="4">
        <f t="shared" si="1"/>
        <v>1341.72406</v>
      </c>
      <c r="U28" s="1">
        <f t="shared" si="3"/>
        <v>0</v>
      </c>
    </row>
    <row r="29" spans="1:21" x14ac:dyDescent="0.3">
      <c r="A29" s="1">
        <v>1027</v>
      </c>
      <c r="B29" s="2">
        <v>45397</v>
      </c>
      <c r="C29" s="1" t="s">
        <v>14</v>
      </c>
      <c r="D29" s="1" t="s">
        <v>65</v>
      </c>
      <c r="E29" s="1" t="s">
        <v>19</v>
      </c>
      <c r="F29" s="1">
        <v>1759.25</v>
      </c>
      <c r="G29" s="1" t="s">
        <v>66</v>
      </c>
      <c r="H29" s="2">
        <v>33192</v>
      </c>
      <c r="I29" s="2">
        <v>45401</v>
      </c>
      <c r="J29" s="1">
        <v>5.46</v>
      </c>
      <c r="K29" s="4">
        <f t="shared" si="0"/>
        <v>96.055050000000008</v>
      </c>
      <c r="L29" s="4">
        <f t="shared" si="1"/>
        <v>1663.1949500000001</v>
      </c>
    </row>
    <row r="30" spans="1:21" x14ac:dyDescent="0.3">
      <c r="A30" s="1">
        <v>1028</v>
      </c>
      <c r="B30" s="2">
        <v>45841</v>
      </c>
      <c r="C30" s="1" t="s">
        <v>10</v>
      </c>
      <c r="D30" s="1" t="s">
        <v>15</v>
      </c>
      <c r="E30" s="1" t="s">
        <v>16</v>
      </c>
      <c r="F30" s="1">
        <v>4018.52</v>
      </c>
      <c r="G30" s="1" t="s">
        <v>67</v>
      </c>
      <c r="H30" s="2">
        <v>34016</v>
      </c>
      <c r="I30" s="2">
        <v>45852</v>
      </c>
      <c r="J30" s="1">
        <v>19.98</v>
      </c>
      <c r="K30" s="4">
        <f t="shared" si="0"/>
        <v>802.90029600000003</v>
      </c>
      <c r="L30" s="4">
        <f t="shared" si="1"/>
        <v>3215.6197039999997</v>
      </c>
    </row>
    <row r="31" spans="1:21" x14ac:dyDescent="0.3">
      <c r="A31" s="1">
        <v>1029</v>
      </c>
      <c r="B31" s="2">
        <v>44115</v>
      </c>
      <c r="C31" s="1" t="s">
        <v>14</v>
      </c>
      <c r="D31" s="1" t="s">
        <v>47</v>
      </c>
      <c r="E31" s="1" t="s">
        <v>12</v>
      </c>
      <c r="F31" s="1">
        <v>1620.46</v>
      </c>
      <c r="G31" s="1" t="s">
        <v>68</v>
      </c>
      <c r="H31" s="2">
        <v>22079</v>
      </c>
      <c r="I31" s="2">
        <v>44127</v>
      </c>
      <c r="J31" s="1">
        <v>6.11</v>
      </c>
      <c r="K31" s="4">
        <f t="shared" si="0"/>
        <v>99.010106000000007</v>
      </c>
      <c r="L31" s="4">
        <f t="shared" si="1"/>
        <v>1521.4498940000001</v>
      </c>
    </row>
    <row r="32" spans="1:21" x14ac:dyDescent="0.3">
      <c r="A32" s="1">
        <v>1030</v>
      </c>
      <c r="B32" s="2">
        <v>44911</v>
      </c>
      <c r="C32" s="1" t="s">
        <v>10</v>
      </c>
      <c r="D32" s="1" t="s">
        <v>69</v>
      </c>
      <c r="E32" s="1" t="s">
        <v>12</v>
      </c>
      <c r="F32" s="1">
        <v>4976.51</v>
      </c>
      <c r="G32" s="1" t="s">
        <v>70</v>
      </c>
      <c r="H32" s="2">
        <v>30887</v>
      </c>
      <c r="I32" s="2">
        <v>44925</v>
      </c>
      <c r="J32" s="1">
        <v>36.06</v>
      </c>
      <c r="K32" s="4">
        <f t="shared" si="0"/>
        <v>1794.5295060000003</v>
      </c>
      <c r="L32" s="4">
        <f t="shared" si="1"/>
        <v>3181.9804939999999</v>
      </c>
    </row>
    <row r="33" spans="1:12" x14ac:dyDescent="0.3">
      <c r="A33" s="1">
        <v>1031</v>
      </c>
      <c r="B33" s="2">
        <v>44709</v>
      </c>
      <c r="C33" s="1" t="s">
        <v>14</v>
      </c>
      <c r="D33" s="1" t="s">
        <v>71</v>
      </c>
      <c r="E33" s="1" t="s">
        <v>31</v>
      </c>
      <c r="F33" s="1">
        <v>4139.5600000000004</v>
      </c>
      <c r="G33" s="1" t="s">
        <v>72</v>
      </c>
      <c r="H33" s="2">
        <v>32992</v>
      </c>
      <c r="I33" s="2">
        <v>44715</v>
      </c>
      <c r="J33" s="1">
        <v>22.24</v>
      </c>
      <c r="K33" s="4">
        <f t="shared" si="0"/>
        <v>920.63814400000001</v>
      </c>
      <c r="L33" s="4">
        <f t="shared" si="1"/>
        <v>3218.9218560000004</v>
      </c>
    </row>
    <row r="34" spans="1:12" x14ac:dyDescent="0.3">
      <c r="A34" s="1">
        <v>1032</v>
      </c>
      <c r="B34" s="2">
        <v>44282</v>
      </c>
      <c r="C34" s="1" t="s">
        <v>35</v>
      </c>
      <c r="D34" s="1" t="s">
        <v>38</v>
      </c>
      <c r="E34" s="1" t="s">
        <v>28</v>
      </c>
      <c r="F34" s="1">
        <v>4770.8999999999996</v>
      </c>
      <c r="G34" s="1" t="s">
        <v>42</v>
      </c>
      <c r="H34" s="2">
        <v>26027</v>
      </c>
      <c r="I34" s="2">
        <v>44284</v>
      </c>
      <c r="J34" s="1">
        <v>37.08</v>
      </c>
      <c r="K34" s="4">
        <f t="shared" si="0"/>
        <v>1769.0497199999998</v>
      </c>
      <c r="L34" s="4">
        <f t="shared" si="1"/>
        <v>3001.8502799999997</v>
      </c>
    </row>
    <row r="35" spans="1:12" x14ac:dyDescent="0.3">
      <c r="A35" s="1">
        <v>1033</v>
      </c>
      <c r="B35" s="2">
        <v>44348</v>
      </c>
      <c r="C35" s="1" t="s">
        <v>10</v>
      </c>
      <c r="D35" s="1" t="s">
        <v>73</v>
      </c>
      <c r="E35" s="1" t="s">
        <v>28</v>
      </c>
      <c r="F35" s="1">
        <v>4960.07</v>
      </c>
      <c r="G35" s="1" t="s">
        <v>74</v>
      </c>
      <c r="H35" s="2">
        <v>31224</v>
      </c>
      <c r="I35" s="2">
        <v>44362</v>
      </c>
      <c r="J35" s="1">
        <v>32.39</v>
      </c>
      <c r="K35" s="4">
        <f t="shared" si="0"/>
        <v>1606.566673</v>
      </c>
      <c r="L35" s="4">
        <f t="shared" si="1"/>
        <v>3353.5033269999994</v>
      </c>
    </row>
    <row r="36" spans="1:12" x14ac:dyDescent="0.3">
      <c r="A36" s="1">
        <v>1034</v>
      </c>
      <c r="B36" s="2">
        <v>45016</v>
      </c>
      <c r="C36" s="1" t="s">
        <v>10</v>
      </c>
      <c r="D36" s="1" t="s">
        <v>47</v>
      </c>
      <c r="E36" s="1" t="s">
        <v>12</v>
      </c>
      <c r="F36" s="1">
        <v>3598.89</v>
      </c>
      <c r="G36" s="1" t="s">
        <v>75</v>
      </c>
      <c r="H36" s="2">
        <v>25853</v>
      </c>
      <c r="I36" s="2">
        <v>45026</v>
      </c>
      <c r="J36" s="1">
        <v>2.8</v>
      </c>
      <c r="K36" s="4">
        <f t="shared" si="0"/>
        <v>100.76891999999998</v>
      </c>
      <c r="L36" s="4">
        <f t="shared" si="1"/>
        <v>3498.1210799999999</v>
      </c>
    </row>
    <row r="37" spans="1:12" x14ac:dyDescent="0.3">
      <c r="A37" s="1">
        <v>1035</v>
      </c>
      <c r="B37" s="2">
        <v>45070</v>
      </c>
      <c r="C37" s="1" t="s">
        <v>26</v>
      </c>
      <c r="D37" s="1" t="s">
        <v>69</v>
      </c>
      <c r="E37" s="1" t="s">
        <v>31</v>
      </c>
      <c r="F37" s="1">
        <v>2445.59</v>
      </c>
      <c r="G37" s="1" t="s">
        <v>76</v>
      </c>
      <c r="H37" s="2">
        <v>37049</v>
      </c>
      <c r="I37" s="2">
        <v>45081</v>
      </c>
      <c r="J37" s="1">
        <v>9.6</v>
      </c>
      <c r="K37" s="4">
        <f t="shared" si="0"/>
        <v>234.77664000000001</v>
      </c>
      <c r="L37" s="4">
        <f t="shared" si="1"/>
        <v>2210.8133600000001</v>
      </c>
    </row>
    <row r="38" spans="1:12" x14ac:dyDescent="0.3">
      <c r="A38" s="1">
        <v>1036</v>
      </c>
      <c r="B38" s="2">
        <v>45035</v>
      </c>
      <c r="C38" s="1" t="s">
        <v>35</v>
      </c>
      <c r="D38" s="1" t="s">
        <v>58</v>
      </c>
      <c r="E38" s="1" t="s">
        <v>31</v>
      </c>
      <c r="F38" s="1">
        <v>3781.84</v>
      </c>
      <c r="G38" s="1" t="s">
        <v>77</v>
      </c>
      <c r="H38" s="2">
        <v>38696</v>
      </c>
      <c r="I38" s="2">
        <v>45038</v>
      </c>
      <c r="J38" s="1">
        <v>35.909999999999997</v>
      </c>
      <c r="K38" s="4">
        <f t="shared" si="0"/>
        <v>1358.0587439999999</v>
      </c>
      <c r="L38" s="4">
        <f t="shared" si="1"/>
        <v>2423.7812560000002</v>
      </c>
    </row>
    <row r="39" spans="1:12" x14ac:dyDescent="0.3">
      <c r="A39" s="1">
        <v>1037</v>
      </c>
      <c r="B39" s="2">
        <v>45283</v>
      </c>
      <c r="C39" s="1" t="s">
        <v>21</v>
      </c>
      <c r="D39" s="1" t="s">
        <v>71</v>
      </c>
      <c r="E39" s="1" t="s">
        <v>31</v>
      </c>
      <c r="F39" s="1">
        <v>2577.08</v>
      </c>
      <c r="G39" s="1" t="s">
        <v>78</v>
      </c>
      <c r="H39" s="2">
        <v>25099</v>
      </c>
      <c r="I39" s="2">
        <v>45294</v>
      </c>
      <c r="J39" s="1">
        <v>14.51</v>
      </c>
      <c r="K39" s="4">
        <f t="shared" si="0"/>
        <v>373.93430799999999</v>
      </c>
      <c r="L39" s="4">
        <f t="shared" si="1"/>
        <v>2203.1456920000001</v>
      </c>
    </row>
    <row r="40" spans="1:12" x14ac:dyDescent="0.3">
      <c r="A40" s="1">
        <v>1038</v>
      </c>
      <c r="B40" s="2">
        <v>45444</v>
      </c>
      <c r="C40" s="1" t="s">
        <v>26</v>
      </c>
      <c r="D40" s="1" t="s">
        <v>33</v>
      </c>
      <c r="E40" s="1" t="s">
        <v>16</v>
      </c>
      <c r="F40" s="1">
        <v>301.27999999999997</v>
      </c>
      <c r="G40" s="1" t="s">
        <v>79</v>
      </c>
      <c r="H40" s="2">
        <v>28675</v>
      </c>
      <c r="I40" s="2">
        <v>45447</v>
      </c>
      <c r="J40" s="1">
        <v>40.67</v>
      </c>
      <c r="K40" s="4">
        <f t="shared" si="0"/>
        <v>122.530576</v>
      </c>
      <c r="L40" s="4">
        <f t="shared" si="1"/>
        <v>178.74942399999998</v>
      </c>
    </row>
    <row r="41" spans="1:12" x14ac:dyDescent="0.3">
      <c r="A41" s="1">
        <v>1039</v>
      </c>
      <c r="B41" s="2">
        <v>44521</v>
      </c>
      <c r="C41" s="1" t="s">
        <v>35</v>
      </c>
      <c r="D41" s="1" t="s">
        <v>58</v>
      </c>
      <c r="E41" s="1" t="s">
        <v>31</v>
      </c>
      <c r="F41" s="1">
        <v>2471.8000000000002</v>
      </c>
      <c r="G41" s="1" t="s">
        <v>80</v>
      </c>
      <c r="H41" s="2">
        <v>31578</v>
      </c>
      <c r="I41" s="2">
        <v>44522</v>
      </c>
      <c r="J41" s="1">
        <v>29.86</v>
      </c>
      <c r="K41" s="4">
        <f t="shared" si="0"/>
        <v>738.07947999999999</v>
      </c>
      <c r="L41" s="4">
        <f t="shared" si="1"/>
        <v>1733.7205200000003</v>
      </c>
    </row>
    <row r="42" spans="1:12" x14ac:dyDescent="0.3">
      <c r="A42" s="1">
        <v>1040</v>
      </c>
      <c r="B42" s="2">
        <v>45056</v>
      </c>
      <c r="C42" s="1" t="s">
        <v>10</v>
      </c>
      <c r="D42" s="1" t="s">
        <v>24</v>
      </c>
      <c r="E42" s="1" t="s">
        <v>19</v>
      </c>
      <c r="F42" s="1">
        <v>2421.06</v>
      </c>
      <c r="G42" s="1" t="s">
        <v>81</v>
      </c>
      <c r="H42" s="2">
        <v>38350</v>
      </c>
      <c r="I42" s="2">
        <v>45069</v>
      </c>
      <c r="J42" s="1">
        <v>41.86</v>
      </c>
      <c r="K42" s="4">
        <f t="shared" si="0"/>
        <v>1013.4557159999999</v>
      </c>
      <c r="L42" s="4">
        <f t="shared" si="1"/>
        <v>1407.604284</v>
      </c>
    </row>
    <row r="43" spans="1:12" x14ac:dyDescent="0.3">
      <c r="A43" s="1">
        <v>1041</v>
      </c>
      <c r="B43" s="2">
        <v>44876</v>
      </c>
      <c r="C43" s="1" t="s">
        <v>26</v>
      </c>
      <c r="D43" s="1" t="s">
        <v>18</v>
      </c>
      <c r="E43" s="1" t="s">
        <v>19</v>
      </c>
      <c r="F43" s="1">
        <v>2755.69</v>
      </c>
      <c r="G43" s="1" t="s">
        <v>82</v>
      </c>
      <c r="H43" s="2">
        <v>38879</v>
      </c>
      <c r="I43" s="2">
        <v>44881</v>
      </c>
      <c r="J43" s="1">
        <v>8.0500000000000007</v>
      </c>
      <c r="K43" s="4">
        <f t="shared" si="0"/>
        <v>221.833045</v>
      </c>
      <c r="L43" s="4">
        <f t="shared" si="1"/>
        <v>2533.8569550000002</v>
      </c>
    </row>
    <row r="44" spans="1:12" x14ac:dyDescent="0.3">
      <c r="A44" s="1">
        <v>1042</v>
      </c>
      <c r="B44" s="2">
        <v>44218</v>
      </c>
      <c r="C44" s="1" t="s">
        <v>35</v>
      </c>
      <c r="D44" s="1" t="s">
        <v>65</v>
      </c>
      <c r="E44" s="1" t="s">
        <v>19</v>
      </c>
      <c r="F44" s="1">
        <v>2810.19</v>
      </c>
      <c r="G44" s="1" t="s">
        <v>83</v>
      </c>
      <c r="H44" s="2">
        <v>24673</v>
      </c>
      <c r="I44" s="2">
        <v>44225</v>
      </c>
      <c r="J44" s="1">
        <v>22.77</v>
      </c>
      <c r="K44" s="4">
        <f t="shared" si="0"/>
        <v>639.88026300000001</v>
      </c>
      <c r="L44" s="4">
        <f t="shared" si="1"/>
        <v>2170.309737</v>
      </c>
    </row>
    <row r="45" spans="1:12" x14ac:dyDescent="0.3">
      <c r="A45" s="1">
        <v>1043</v>
      </c>
      <c r="B45" s="2">
        <v>45566</v>
      </c>
      <c r="C45" s="1" t="s">
        <v>21</v>
      </c>
      <c r="D45" s="1" t="s">
        <v>71</v>
      </c>
      <c r="E45" s="1" t="s">
        <v>31</v>
      </c>
      <c r="F45" s="1">
        <v>2567.7399999999998</v>
      </c>
      <c r="G45" s="1" t="s">
        <v>84</v>
      </c>
      <c r="H45" s="2">
        <v>26472</v>
      </c>
      <c r="I45" s="2">
        <v>45578</v>
      </c>
      <c r="J45" s="1">
        <v>43.1</v>
      </c>
      <c r="K45" s="4">
        <f t="shared" si="0"/>
        <v>1106.6959399999998</v>
      </c>
      <c r="L45" s="4">
        <f t="shared" si="1"/>
        <v>1461.0440599999999</v>
      </c>
    </row>
    <row r="46" spans="1:12" x14ac:dyDescent="0.3">
      <c r="A46" s="1">
        <v>1044</v>
      </c>
      <c r="B46" s="2">
        <v>45605</v>
      </c>
      <c r="C46" s="1" t="s">
        <v>26</v>
      </c>
      <c r="D46" s="1" t="s">
        <v>44</v>
      </c>
      <c r="E46" s="1" t="s">
        <v>16</v>
      </c>
      <c r="F46" s="1">
        <v>1716.51</v>
      </c>
      <c r="G46" s="1" t="s">
        <v>67</v>
      </c>
      <c r="H46" s="2">
        <v>34016</v>
      </c>
      <c r="I46" s="2">
        <v>45619</v>
      </c>
      <c r="J46" s="1">
        <v>4.53</v>
      </c>
      <c r="K46" s="4">
        <f t="shared" si="0"/>
        <v>77.757902999999999</v>
      </c>
      <c r="L46" s="4">
        <f t="shared" si="1"/>
        <v>1638.752097</v>
      </c>
    </row>
    <row r="47" spans="1:12" x14ac:dyDescent="0.3">
      <c r="A47" s="1">
        <v>1045</v>
      </c>
      <c r="B47" s="2">
        <v>44129</v>
      </c>
      <c r="C47" s="1" t="s">
        <v>10</v>
      </c>
      <c r="D47" s="1" t="s">
        <v>44</v>
      </c>
      <c r="E47" s="1" t="s">
        <v>16</v>
      </c>
      <c r="F47" s="1">
        <v>2117.04</v>
      </c>
      <c r="G47" s="1" t="s">
        <v>85</v>
      </c>
      <c r="H47" s="2">
        <v>37236</v>
      </c>
      <c r="I47" s="2">
        <v>44138</v>
      </c>
      <c r="J47" s="1">
        <v>44.1</v>
      </c>
      <c r="K47" s="4">
        <f t="shared" si="0"/>
        <v>933.61464000000001</v>
      </c>
      <c r="L47" s="4">
        <f t="shared" si="1"/>
        <v>1183.42536</v>
      </c>
    </row>
    <row r="48" spans="1:12" x14ac:dyDescent="0.3">
      <c r="A48" s="1">
        <v>1046</v>
      </c>
      <c r="B48" s="2">
        <v>45878</v>
      </c>
      <c r="C48" s="1" t="s">
        <v>14</v>
      </c>
      <c r="D48" s="1" t="s">
        <v>55</v>
      </c>
      <c r="E48" s="1" t="s">
        <v>31</v>
      </c>
      <c r="F48" s="1">
        <v>4425.8100000000004</v>
      </c>
      <c r="G48" s="1" t="s">
        <v>86</v>
      </c>
      <c r="H48" s="2">
        <v>37858</v>
      </c>
      <c r="I48" s="2">
        <v>45886</v>
      </c>
      <c r="J48" s="1">
        <v>25.08</v>
      </c>
      <c r="K48" s="4">
        <f t="shared" si="0"/>
        <v>1109.993148</v>
      </c>
      <c r="L48" s="4">
        <f t="shared" si="1"/>
        <v>3315.8168520000004</v>
      </c>
    </row>
    <row r="49" spans="1:12" x14ac:dyDescent="0.3">
      <c r="A49" s="1">
        <v>1047</v>
      </c>
      <c r="B49" s="2">
        <v>45337</v>
      </c>
      <c r="C49" s="1" t="s">
        <v>26</v>
      </c>
      <c r="D49" s="1" t="s">
        <v>18</v>
      </c>
      <c r="E49" s="1" t="s">
        <v>19</v>
      </c>
      <c r="F49" s="1">
        <v>1443.45</v>
      </c>
      <c r="G49" s="1" t="s">
        <v>87</v>
      </c>
      <c r="H49" s="2">
        <v>36012</v>
      </c>
      <c r="I49" s="2">
        <v>45338</v>
      </c>
      <c r="J49" s="1">
        <v>34.08</v>
      </c>
      <c r="K49" s="4">
        <f t="shared" si="0"/>
        <v>491.92775999999998</v>
      </c>
      <c r="L49" s="4">
        <f t="shared" si="1"/>
        <v>951.52224000000001</v>
      </c>
    </row>
    <row r="50" spans="1:12" x14ac:dyDescent="0.3">
      <c r="A50" s="1">
        <v>1048</v>
      </c>
      <c r="B50" s="2">
        <v>44436</v>
      </c>
      <c r="C50" s="1" t="s">
        <v>21</v>
      </c>
      <c r="D50" s="1" t="s">
        <v>88</v>
      </c>
      <c r="E50" s="1" t="s">
        <v>16</v>
      </c>
      <c r="F50" s="1">
        <v>2162.52</v>
      </c>
      <c r="G50" s="1" t="s">
        <v>89</v>
      </c>
      <c r="H50" s="2">
        <v>37141</v>
      </c>
      <c r="I50" s="2">
        <v>44437</v>
      </c>
      <c r="J50" s="1">
        <v>37.590000000000003</v>
      </c>
      <c r="K50" s="4">
        <f t="shared" si="0"/>
        <v>812.89126799999997</v>
      </c>
      <c r="L50" s="4">
        <f t="shared" si="1"/>
        <v>1349.6287320000001</v>
      </c>
    </row>
    <row r="51" spans="1:12" x14ac:dyDescent="0.3">
      <c r="A51" s="1">
        <v>1049</v>
      </c>
      <c r="B51" s="2">
        <v>44339</v>
      </c>
      <c r="C51" s="1" t="s">
        <v>14</v>
      </c>
      <c r="D51" s="1" t="s">
        <v>24</v>
      </c>
      <c r="E51" s="1" t="s">
        <v>19</v>
      </c>
      <c r="F51" s="1">
        <v>2194.81</v>
      </c>
      <c r="G51" s="1" t="s">
        <v>90</v>
      </c>
      <c r="H51" s="2">
        <v>29348</v>
      </c>
      <c r="I51" s="2">
        <v>44343</v>
      </c>
      <c r="J51" s="1">
        <v>31.26</v>
      </c>
      <c r="K51" s="4">
        <f t="shared" si="0"/>
        <v>686.09760599999993</v>
      </c>
      <c r="L51" s="4">
        <f t="shared" si="1"/>
        <v>1508.7123940000001</v>
      </c>
    </row>
    <row r="52" spans="1:12" x14ac:dyDescent="0.3">
      <c r="A52" s="1">
        <v>1050</v>
      </c>
      <c r="B52" s="2">
        <v>45450</v>
      </c>
      <c r="C52" s="1" t="s">
        <v>35</v>
      </c>
      <c r="D52" s="1" t="s">
        <v>61</v>
      </c>
      <c r="E52" s="1" t="s">
        <v>19</v>
      </c>
      <c r="F52" s="1">
        <v>4255.5600000000004</v>
      </c>
      <c r="G52" s="1" t="s">
        <v>91</v>
      </c>
      <c r="H52" s="2">
        <v>34220</v>
      </c>
      <c r="I52" s="2">
        <v>45452</v>
      </c>
      <c r="J52" s="1">
        <v>31.49</v>
      </c>
      <c r="K52" s="4">
        <f t="shared" si="0"/>
        <v>1340.075844</v>
      </c>
      <c r="L52" s="4">
        <f t="shared" si="1"/>
        <v>2915.4841560000004</v>
      </c>
    </row>
    <row r="53" spans="1:12" x14ac:dyDescent="0.3">
      <c r="A53" s="1">
        <v>1051</v>
      </c>
      <c r="B53" s="2">
        <v>44296</v>
      </c>
      <c r="C53" s="1" t="s">
        <v>35</v>
      </c>
      <c r="D53" s="1" t="s">
        <v>69</v>
      </c>
      <c r="E53" s="1" t="s">
        <v>12</v>
      </c>
      <c r="F53" s="1">
        <v>3921.4</v>
      </c>
      <c r="G53" s="1" t="s">
        <v>92</v>
      </c>
      <c r="H53" s="2">
        <v>24544</v>
      </c>
      <c r="I53" s="2">
        <v>44304</v>
      </c>
      <c r="J53" s="1">
        <v>23.42</v>
      </c>
      <c r="K53" s="4">
        <f t="shared" si="0"/>
        <v>918.39188000000013</v>
      </c>
      <c r="L53" s="4">
        <f t="shared" si="1"/>
        <v>3003.00812</v>
      </c>
    </row>
    <row r="54" spans="1:12" x14ac:dyDescent="0.3">
      <c r="A54" s="1">
        <v>1052</v>
      </c>
      <c r="B54" s="2">
        <v>44954</v>
      </c>
      <c r="C54" s="1" t="s">
        <v>35</v>
      </c>
      <c r="D54" s="1" t="s">
        <v>65</v>
      </c>
      <c r="E54" s="1" t="s">
        <v>19</v>
      </c>
      <c r="F54" s="1">
        <v>4847.83</v>
      </c>
      <c r="G54" s="1" t="s">
        <v>93</v>
      </c>
      <c r="H54" s="2">
        <v>33984</v>
      </c>
      <c r="I54" s="2">
        <v>44960</v>
      </c>
      <c r="J54" s="1">
        <v>14.96</v>
      </c>
      <c r="K54" s="4">
        <f t="shared" si="0"/>
        <v>725.23536799999999</v>
      </c>
      <c r="L54" s="4">
        <f t="shared" si="1"/>
        <v>4122.5946320000003</v>
      </c>
    </row>
    <row r="55" spans="1:12" x14ac:dyDescent="0.3">
      <c r="A55" s="1">
        <v>1053</v>
      </c>
      <c r="B55" s="2">
        <v>45512</v>
      </c>
      <c r="C55" s="1" t="s">
        <v>14</v>
      </c>
      <c r="D55" s="1" t="s">
        <v>18</v>
      </c>
      <c r="E55" s="1" t="s">
        <v>19</v>
      </c>
      <c r="F55" s="1">
        <v>1731.23</v>
      </c>
      <c r="G55" s="1" t="s">
        <v>94</v>
      </c>
      <c r="H55" s="2">
        <v>25516</v>
      </c>
      <c r="I55" s="2">
        <v>45516</v>
      </c>
      <c r="J55" s="1">
        <v>8.27</v>
      </c>
      <c r="K55" s="4">
        <f t="shared" si="0"/>
        <v>143.172721</v>
      </c>
      <c r="L55" s="4">
        <f t="shared" si="1"/>
        <v>1588.0572790000001</v>
      </c>
    </row>
    <row r="56" spans="1:12" x14ac:dyDescent="0.3">
      <c r="A56" s="1">
        <v>1054</v>
      </c>
      <c r="B56" s="2">
        <v>45579</v>
      </c>
      <c r="C56" s="1" t="s">
        <v>10</v>
      </c>
      <c r="D56" s="1" t="s">
        <v>15</v>
      </c>
      <c r="E56" s="1" t="s">
        <v>16</v>
      </c>
      <c r="F56" s="1">
        <v>1414.61</v>
      </c>
      <c r="G56" s="1" t="s">
        <v>95</v>
      </c>
      <c r="H56" s="2">
        <v>25821</v>
      </c>
      <c r="I56" s="2">
        <v>45580</v>
      </c>
      <c r="J56" s="1">
        <v>10.31</v>
      </c>
      <c r="K56" s="4">
        <f t="shared" si="0"/>
        <v>145.84629100000001</v>
      </c>
      <c r="L56" s="4">
        <f t="shared" si="1"/>
        <v>1268.7637089999998</v>
      </c>
    </row>
    <row r="57" spans="1:12" x14ac:dyDescent="0.3">
      <c r="A57" s="1">
        <v>1055</v>
      </c>
      <c r="B57" s="2">
        <v>45293</v>
      </c>
      <c r="C57" s="1" t="s">
        <v>35</v>
      </c>
      <c r="D57" s="1" t="s">
        <v>27</v>
      </c>
      <c r="E57" s="1" t="s">
        <v>28</v>
      </c>
      <c r="F57" s="1">
        <v>2130.08</v>
      </c>
      <c r="G57" s="1" t="s">
        <v>96</v>
      </c>
      <c r="H57" s="2">
        <v>36236</v>
      </c>
      <c r="I57" s="2">
        <v>45298</v>
      </c>
      <c r="J57" s="1">
        <v>20.03</v>
      </c>
      <c r="K57" s="4">
        <f t="shared" si="0"/>
        <v>426.65502400000003</v>
      </c>
      <c r="L57" s="4">
        <f t="shared" si="1"/>
        <v>1703.4249759999998</v>
      </c>
    </row>
    <row r="58" spans="1:12" x14ac:dyDescent="0.3">
      <c r="A58" s="1">
        <v>1056</v>
      </c>
      <c r="B58" s="2">
        <v>44987</v>
      </c>
      <c r="C58" s="1" t="s">
        <v>10</v>
      </c>
      <c r="D58" s="1" t="s">
        <v>40</v>
      </c>
      <c r="E58" s="1" t="s">
        <v>16</v>
      </c>
      <c r="F58" s="1">
        <v>3373.61</v>
      </c>
      <c r="G58" s="1" t="s">
        <v>97</v>
      </c>
      <c r="H58" s="2">
        <v>24706</v>
      </c>
      <c r="I58" s="2">
        <v>45000</v>
      </c>
      <c r="J58" s="1">
        <v>23.87</v>
      </c>
      <c r="K58" s="4">
        <f t="shared" si="0"/>
        <v>805.28070700000012</v>
      </c>
      <c r="L58" s="4">
        <f t="shared" si="1"/>
        <v>2568.3292929999998</v>
      </c>
    </row>
    <row r="59" spans="1:12" x14ac:dyDescent="0.3">
      <c r="A59" s="1">
        <v>1057</v>
      </c>
      <c r="B59" s="2">
        <v>44784</v>
      </c>
      <c r="C59" s="1" t="s">
        <v>35</v>
      </c>
      <c r="D59" s="1" t="s">
        <v>53</v>
      </c>
      <c r="E59" s="1" t="s">
        <v>28</v>
      </c>
      <c r="F59" s="1">
        <v>2471.33</v>
      </c>
      <c r="G59" s="1" t="s">
        <v>32</v>
      </c>
      <c r="H59" s="2">
        <v>27166</v>
      </c>
      <c r="I59" s="2">
        <v>44788</v>
      </c>
      <c r="J59" s="1">
        <v>19.45</v>
      </c>
      <c r="K59" s="4">
        <f t="shared" si="0"/>
        <v>480.67368499999998</v>
      </c>
      <c r="L59" s="4">
        <f t="shared" si="1"/>
        <v>1990.6563149999999</v>
      </c>
    </row>
    <row r="60" spans="1:12" x14ac:dyDescent="0.3">
      <c r="A60" s="1">
        <v>1058</v>
      </c>
      <c r="B60" s="2">
        <v>44862</v>
      </c>
      <c r="C60" s="1" t="s">
        <v>21</v>
      </c>
      <c r="D60" s="1" t="s">
        <v>53</v>
      </c>
      <c r="E60" s="1" t="s">
        <v>28</v>
      </c>
      <c r="F60" s="1">
        <v>2895.56</v>
      </c>
      <c r="G60" s="1" t="s">
        <v>98</v>
      </c>
      <c r="H60" s="2">
        <v>38134</v>
      </c>
      <c r="I60" s="2">
        <v>44870</v>
      </c>
      <c r="J60" s="1">
        <v>2.38</v>
      </c>
      <c r="K60" s="4">
        <f t="shared" si="0"/>
        <v>68.914327999999998</v>
      </c>
      <c r="L60" s="4">
        <f t="shared" si="1"/>
        <v>2826.6456720000001</v>
      </c>
    </row>
    <row r="61" spans="1:12" x14ac:dyDescent="0.3">
      <c r="A61" s="1">
        <v>1059</v>
      </c>
      <c r="B61" s="2">
        <v>45636</v>
      </c>
      <c r="C61" s="1" t="s">
        <v>10</v>
      </c>
      <c r="D61" s="1" t="s">
        <v>15</v>
      </c>
      <c r="E61" s="1" t="s">
        <v>16</v>
      </c>
      <c r="F61" s="1">
        <v>401.47</v>
      </c>
      <c r="G61" s="1" t="s">
        <v>66</v>
      </c>
      <c r="H61" s="2">
        <v>33192</v>
      </c>
      <c r="I61" s="2">
        <v>45637</v>
      </c>
      <c r="J61" s="1">
        <v>41.19</v>
      </c>
      <c r="K61" s="4">
        <f t="shared" si="0"/>
        <v>165.36549300000001</v>
      </c>
      <c r="L61" s="4">
        <f t="shared" si="1"/>
        <v>236.10450700000001</v>
      </c>
    </row>
    <row r="62" spans="1:12" x14ac:dyDescent="0.3">
      <c r="A62" s="1">
        <v>1060</v>
      </c>
      <c r="B62" s="2">
        <v>44494</v>
      </c>
      <c r="C62" s="1" t="s">
        <v>10</v>
      </c>
      <c r="D62" s="1" t="s">
        <v>11</v>
      </c>
      <c r="E62" s="1" t="s">
        <v>12</v>
      </c>
      <c r="F62" s="1">
        <v>2174.4499999999998</v>
      </c>
      <c r="G62" s="1" t="s">
        <v>99</v>
      </c>
      <c r="H62" s="2">
        <v>26397</v>
      </c>
      <c r="I62" s="2">
        <v>44501</v>
      </c>
      <c r="J62" s="1">
        <v>42.65</v>
      </c>
      <c r="K62" s="4">
        <f t="shared" si="0"/>
        <v>927.40292499999987</v>
      </c>
      <c r="L62" s="4">
        <f t="shared" si="1"/>
        <v>1247.0470749999999</v>
      </c>
    </row>
    <row r="63" spans="1:12" x14ac:dyDescent="0.3">
      <c r="A63" s="1">
        <v>1061</v>
      </c>
      <c r="B63" s="2">
        <v>45886</v>
      </c>
      <c r="C63" s="1" t="s">
        <v>14</v>
      </c>
      <c r="D63" s="1" t="s">
        <v>58</v>
      </c>
      <c r="E63" s="1" t="s">
        <v>31</v>
      </c>
      <c r="F63" s="1">
        <v>2919.16</v>
      </c>
      <c r="G63" s="1" t="s">
        <v>100</v>
      </c>
      <c r="H63" s="2">
        <v>22100</v>
      </c>
      <c r="I63" s="2">
        <v>45892</v>
      </c>
      <c r="J63" s="1">
        <v>19.739999999999998</v>
      </c>
      <c r="K63" s="4">
        <f t="shared" si="0"/>
        <v>576.24218399999995</v>
      </c>
      <c r="L63" s="4">
        <f t="shared" si="1"/>
        <v>2342.9178160000001</v>
      </c>
    </row>
    <row r="64" spans="1:12" x14ac:dyDescent="0.3">
      <c r="A64" s="1">
        <v>1062</v>
      </c>
      <c r="B64" s="2">
        <v>45749</v>
      </c>
      <c r="C64" s="1" t="s">
        <v>10</v>
      </c>
      <c r="D64" s="1" t="s">
        <v>33</v>
      </c>
      <c r="E64" s="1" t="s">
        <v>16</v>
      </c>
      <c r="F64" s="1">
        <v>4834.29</v>
      </c>
      <c r="G64" s="1" t="s">
        <v>101</v>
      </c>
      <c r="H64" s="2">
        <v>31331</v>
      </c>
      <c r="I64" s="2">
        <v>45759</v>
      </c>
      <c r="J64" s="1">
        <v>2.39</v>
      </c>
      <c r="K64" s="4">
        <f t="shared" si="0"/>
        <v>115.53953100000001</v>
      </c>
      <c r="L64" s="4">
        <f t="shared" si="1"/>
        <v>4718.7504689999996</v>
      </c>
    </row>
    <row r="65" spans="1:12" x14ac:dyDescent="0.3">
      <c r="A65" s="1">
        <v>1063</v>
      </c>
      <c r="B65" s="2">
        <v>44590</v>
      </c>
      <c r="C65" s="1" t="s">
        <v>14</v>
      </c>
      <c r="D65" s="1" t="s">
        <v>36</v>
      </c>
      <c r="E65" s="1" t="s">
        <v>28</v>
      </c>
      <c r="F65" s="1">
        <v>543.84</v>
      </c>
      <c r="G65" s="1" t="s">
        <v>39</v>
      </c>
      <c r="H65" s="2">
        <v>26282</v>
      </c>
      <c r="I65" s="2">
        <v>44603</v>
      </c>
      <c r="J65" s="1">
        <v>27.65</v>
      </c>
      <c r="K65" s="4">
        <f t="shared" si="0"/>
        <v>150.37175999999999</v>
      </c>
      <c r="L65" s="4">
        <f t="shared" si="1"/>
        <v>393.46824000000004</v>
      </c>
    </row>
    <row r="66" spans="1:12" x14ac:dyDescent="0.3">
      <c r="A66" s="1">
        <v>1064</v>
      </c>
      <c r="B66" s="2">
        <v>44565</v>
      </c>
      <c r="C66" s="1" t="s">
        <v>35</v>
      </c>
      <c r="D66" s="1" t="s">
        <v>102</v>
      </c>
      <c r="E66" s="1" t="s">
        <v>12</v>
      </c>
      <c r="F66" s="1">
        <v>809.73</v>
      </c>
      <c r="G66" s="1" t="s">
        <v>94</v>
      </c>
      <c r="H66" s="2">
        <v>25516</v>
      </c>
      <c r="I66" s="2">
        <v>44571</v>
      </c>
      <c r="J66" s="1">
        <v>34.11</v>
      </c>
      <c r="K66" s="4">
        <f t="shared" si="0"/>
        <v>276.19890300000003</v>
      </c>
      <c r="L66" s="4">
        <f t="shared" si="1"/>
        <v>533.53109700000005</v>
      </c>
    </row>
    <row r="67" spans="1:12" x14ac:dyDescent="0.3">
      <c r="A67" s="1">
        <v>1065</v>
      </c>
      <c r="B67" s="2">
        <v>45418</v>
      </c>
      <c r="C67" s="1" t="s">
        <v>26</v>
      </c>
      <c r="D67" s="1" t="s">
        <v>58</v>
      </c>
      <c r="E67" s="1" t="s">
        <v>31</v>
      </c>
      <c r="F67" s="1">
        <v>3284.07</v>
      </c>
      <c r="G67" s="1" t="s">
        <v>103</v>
      </c>
      <c r="H67" s="2">
        <v>30923</v>
      </c>
      <c r="I67" s="2">
        <v>45425</v>
      </c>
      <c r="J67" s="1">
        <v>32.409999999999997</v>
      </c>
      <c r="K67" s="4">
        <f t="shared" ref="K67:K130" si="5">F67*J67%</f>
        <v>1064.3670869999999</v>
      </c>
      <c r="L67" s="4">
        <f t="shared" ref="L67:L130" si="6">F67-K67</f>
        <v>2219.7029130000001</v>
      </c>
    </row>
    <row r="68" spans="1:12" x14ac:dyDescent="0.3">
      <c r="A68" s="1">
        <v>1066</v>
      </c>
      <c r="B68" s="2">
        <v>44121</v>
      </c>
      <c r="C68" s="1" t="s">
        <v>14</v>
      </c>
      <c r="D68" s="1" t="s">
        <v>30</v>
      </c>
      <c r="E68" s="1" t="s">
        <v>31</v>
      </c>
      <c r="F68" s="1">
        <v>3022.63</v>
      </c>
      <c r="G68" s="1" t="s">
        <v>104</v>
      </c>
      <c r="H68" s="2">
        <v>24852</v>
      </c>
      <c r="I68" s="2">
        <v>44124</v>
      </c>
      <c r="J68" s="1">
        <v>15.46</v>
      </c>
      <c r="K68" s="4">
        <f t="shared" si="5"/>
        <v>467.29859800000008</v>
      </c>
      <c r="L68" s="4">
        <f t="shared" si="6"/>
        <v>2555.3314019999998</v>
      </c>
    </row>
    <row r="69" spans="1:12" x14ac:dyDescent="0.3">
      <c r="A69" s="1">
        <v>1067</v>
      </c>
      <c r="B69" s="2">
        <v>44633</v>
      </c>
      <c r="C69" s="1" t="s">
        <v>14</v>
      </c>
      <c r="D69" s="1" t="s">
        <v>61</v>
      </c>
      <c r="E69" s="1" t="s">
        <v>19</v>
      </c>
      <c r="F69" s="1">
        <v>1227.01</v>
      </c>
      <c r="G69" s="1" t="s">
        <v>105</v>
      </c>
      <c r="H69" s="2">
        <v>35889</v>
      </c>
      <c r="I69" s="2">
        <v>44635</v>
      </c>
      <c r="J69" s="1">
        <v>10.28</v>
      </c>
      <c r="K69" s="4">
        <f t="shared" si="5"/>
        <v>126.13662799999999</v>
      </c>
      <c r="L69" s="4">
        <f t="shared" si="6"/>
        <v>1100.873372</v>
      </c>
    </row>
    <row r="70" spans="1:12" x14ac:dyDescent="0.3">
      <c r="A70" s="1">
        <v>1068</v>
      </c>
      <c r="B70" s="2">
        <v>45567</v>
      </c>
      <c r="C70" s="1" t="s">
        <v>10</v>
      </c>
      <c r="D70" s="1" t="s">
        <v>15</v>
      </c>
      <c r="E70" s="1" t="s">
        <v>16</v>
      </c>
      <c r="F70" s="1">
        <v>2133.52</v>
      </c>
      <c r="G70" s="1" t="s">
        <v>62</v>
      </c>
      <c r="H70" s="2">
        <v>22870</v>
      </c>
      <c r="I70" s="2">
        <v>45572</v>
      </c>
      <c r="J70" s="1">
        <v>49.58</v>
      </c>
      <c r="K70" s="4">
        <f t="shared" si="5"/>
        <v>1057.7992159999999</v>
      </c>
      <c r="L70" s="4">
        <f t="shared" si="6"/>
        <v>1075.7207840000001</v>
      </c>
    </row>
    <row r="71" spans="1:12" x14ac:dyDescent="0.3">
      <c r="A71" s="1">
        <v>1069</v>
      </c>
      <c r="B71" s="2">
        <v>45534</v>
      </c>
      <c r="C71" s="1" t="s">
        <v>14</v>
      </c>
      <c r="D71" s="1" t="s">
        <v>44</v>
      </c>
      <c r="E71" s="1" t="s">
        <v>16</v>
      </c>
      <c r="F71" s="1">
        <v>1837.32</v>
      </c>
      <c r="G71" s="1" t="s">
        <v>106</v>
      </c>
      <c r="H71" s="2">
        <v>35506</v>
      </c>
      <c r="I71" s="2">
        <v>45540</v>
      </c>
      <c r="J71" s="1">
        <v>11.64</v>
      </c>
      <c r="K71" s="4">
        <f t="shared" si="5"/>
        <v>213.864048</v>
      </c>
      <c r="L71" s="4">
        <f t="shared" si="6"/>
        <v>1623.455952</v>
      </c>
    </row>
    <row r="72" spans="1:12" x14ac:dyDescent="0.3">
      <c r="A72" s="1">
        <v>1070</v>
      </c>
      <c r="B72" s="2">
        <v>44633</v>
      </c>
      <c r="C72" s="1" t="s">
        <v>26</v>
      </c>
      <c r="D72" s="1" t="s">
        <v>88</v>
      </c>
      <c r="E72" s="1" t="s">
        <v>16</v>
      </c>
      <c r="F72" s="1">
        <v>3460.16</v>
      </c>
      <c r="G72" s="1" t="s">
        <v>107</v>
      </c>
      <c r="H72" s="2">
        <v>26671</v>
      </c>
      <c r="I72" s="2">
        <v>44634</v>
      </c>
      <c r="J72" s="1">
        <v>11.06</v>
      </c>
      <c r="K72" s="4">
        <f t="shared" si="5"/>
        <v>382.69369599999999</v>
      </c>
      <c r="L72" s="4">
        <f t="shared" si="6"/>
        <v>3077.466304</v>
      </c>
    </row>
    <row r="73" spans="1:12" x14ac:dyDescent="0.3">
      <c r="A73" s="1">
        <v>1071</v>
      </c>
      <c r="B73" s="2">
        <v>45780</v>
      </c>
      <c r="C73" s="1" t="s">
        <v>10</v>
      </c>
      <c r="D73" s="1" t="s">
        <v>11</v>
      </c>
      <c r="E73" s="1" t="s">
        <v>12</v>
      </c>
      <c r="F73" s="1">
        <v>3450.56</v>
      </c>
      <c r="G73" s="1" t="s">
        <v>108</v>
      </c>
      <c r="H73" s="2">
        <v>33413</v>
      </c>
      <c r="I73" s="2">
        <v>45792</v>
      </c>
      <c r="J73" s="1">
        <v>28.47</v>
      </c>
      <c r="K73" s="4">
        <f t="shared" si="5"/>
        <v>982.37443200000007</v>
      </c>
      <c r="L73" s="4">
        <f t="shared" si="6"/>
        <v>2468.1855679999999</v>
      </c>
    </row>
    <row r="74" spans="1:12" x14ac:dyDescent="0.3">
      <c r="A74" s="1">
        <v>1072</v>
      </c>
      <c r="B74" s="2">
        <v>45585</v>
      </c>
      <c r="C74" s="1" t="s">
        <v>14</v>
      </c>
      <c r="D74" s="1" t="s">
        <v>11</v>
      </c>
      <c r="E74" s="1" t="s">
        <v>12</v>
      </c>
      <c r="F74" s="1">
        <v>4220.8999999999996</v>
      </c>
      <c r="G74" s="1" t="s">
        <v>93</v>
      </c>
      <c r="H74" s="2">
        <v>33984</v>
      </c>
      <c r="I74" s="2">
        <v>45590</v>
      </c>
      <c r="J74" s="1">
        <v>10.25</v>
      </c>
      <c r="K74" s="4">
        <f t="shared" si="5"/>
        <v>432.64224999999993</v>
      </c>
      <c r="L74" s="4">
        <f t="shared" si="6"/>
        <v>3788.2577499999998</v>
      </c>
    </row>
    <row r="75" spans="1:12" x14ac:dyDescent="0.3">
      <c r="A75" s="1">
        <v>1073</v>
      </c>
      <c r="B75" s="2">
        <v>45238</v>
      </c>
      <c r="C75" s="1" t="s">
        <v>21</v>
      </c>
      <c r="D75" s="1" t="s">
        <v>88</v>
      </c>
      <c r="E75" s="1" t="s">
        <v>16</v>
      </c>
      <c r="F75" s="1">
        <v>1397.31</v>
      </c>
      <c r="G75" s="1" t="s">
        <v>101</v>
      </c>
      <c r="H75" s="2">
        <v>31331</v>
      </c>
      <c r="I75" s="2">
        <v>45244</v>
      </c>
      <c r="J75" s="1">
        <v>9.11</v>
      </c>
      <c r="K75" s="4">
        <f t="shared" si="5"/>
        <v>127.29494099999999</v>
      </c>
      <c r="L75" s="4">
        <f t="shared" si="6"/>
        <v>1270.0150589999998</v>
      </c>
    </row>
    <row r="76" spans="1:12" x14ac:dyDescent="0.3">
      <c r="A76" s="1">
        <v>1074</v>
      </c>
      <c r="B76" s="2">
        <v>45174</v>
      </c>
      <c r="C76" s="1" t="s">
        <v>35</v>
      </c>
      <c r="D76" s="1" t="s">
        <v>88</v>
      </c>
      <c r="E76" s="1" t="s">
        <v>16</v>
      </c>
      <c r="F76" s="1">
        <v>2618.06</v>
      </c>
      <c r="G76" s="1" t="s">
        <v>109</v>
      </c>
      <c r="H76" s="2">
        <v>26011</v>
      </c>
      <c r="I76" s="2">
        <v>45176</v>
      </c>
      <c r="J76" s="1">
        <v>11.89</v>
      </c>
      <c r="K76" s="4">
        <f t="shared" si="5"/>
        <v>311.28733399999999</v>
      </c>
      <c r="L76" s="4">
        <f t="shared" si="6"/>
        <v>2306.7726659999998</v>
      </c>
    </row>
    <row r="77" spans="1:12" x14ac:dyDescent="0.3">
      <c r="A77" s="1">
        <v>1075</v>
      </c>
      <c r="B77" s="2">
        <v>45212</v>
      </c>
      <c r="C77" s="1" t="s">
        <v>26</v>
      </c>
      <c r="D77" s="1" t="s">
        <v>27</v>
      </c>
      <c r="E77" s="1" t="s">
        <v>28</v>
      </c>
      <c r="F77" s="1">
        <v>4787.12</v>
      </c>
      <c r="G77" s="1" t="s">
        <v>110</v>
      </c>
      <c r="H77" s="2">
        <v>32064</v>
      </c>
      <c r="I77" s="2">
        <v>45226</v>
      </c>
      <c r="J77" s="1">
        <v>1.25</v>
      </c>
      <c r="K77" s="4">
        <f t="shared" si="5"/>
        <v>59.838999999999999</v>
      </c>
      <c r="L77" s="4">
        <f t="shared" si="6"/>
        <v>4727.2809999999999</v>
      </c>
    </row>
    <row r="78" spans="1:12" x14ac:dyDescent="0.3">
      <c r="A78" s="1">
        <v>1076</v>
      </c>
      <c r="B78" s="2">
        <v>44682</v>
      </c>
      <c r="C78" s="1" t="s">
        <v>21</v>
      </c>
      <c r="D78" s="1" t="s">
        <v>44</v>
      </c>
      <c r="E78" s="1" t="s">
        <v>16</v>
      </c>
      <c r="F78" s="1">
        <v>316.27</v>
      </c>
      <c r="G78" s="1" t="s">
        <v>111</v>
      </c>
      <c r="H78" s="2">
        <v>34704</v>
      </c>
      <c r="I78" s="2">
        <v>44695</v>
      </c>
      <c r="J78" s="1">
        <v>22.2</v>
      </c>
      <c r="K78" s="4">
        <f t="shared" si="5"/>
        <v>70.211939999999998</v>
      </c>
      <c r="L78" s="4">
        <f t="shared" si="6"/>
        <v>246.05805999999998</v>
      </c>
    </row>
    <row r="79" spans="1:12" x14ac:dyDescent="0.3">
      <c r="A79" s="1">
        <v>1077</v>
      </c>
      <c r="B79" s="2">
        <v>44472</v>
      </c>
      <c r="C79" s="1" t="s">
        <v>10</v>
      </c>
      <c r="D79" s="1" t="s">
        <v>33</v>
      </c>
      <c r="E79" s="1" t="s">
        <v>16</v>
      </c>
      <c r="F79" s="1">
        <v>2607.7399999999998</v>
      </c>
      <c r="G79" s="1" t="s">
        <v>112</v>
      </c>
      <c r="H79" s="2">
        <v>38171</v>
      </c>
      <c r="I79" s="2">
        <v>44482</v>
      </c>
      <c r="J79" s="1">
        <v>36.32</v>
      </c>
      <c r="K79" s="4">
        <f t="shared" si="5"/>
        <v>947.131168</v>
      </c>
      <c r="L79" s="4">
        <f t="shared" si="6"/>
        <v>1660.6088319999999</v>
      </c>
    </row>
    <row r="80" spans="1:12" x14ac:dyDescent="0.3">
      <c r="A80" s="1">
        <v>1078</v>
      </c>
      <c r="B80" s="2">
        <v>44790</v>
      </c>
      <c r="C80" s="1" t="s">
        <v>14</v>
      </c>
      <c r="D80" s="1" t="s">
        <v>55</v>
      </c>
      <c r="E80" s="1" t="s">
        <v>31</v>
      </c>
      <c r="F80" s="1">
        <v>1059.23</v>
      </c>
      <c r="G80" s="1" t="s">
        <v>20</v>
      </c>
      <c r="H80" s="2">
        <v>24232</v>
      </c>
      <c r="I80" s="2">
        <v>44795</v>
      </c>
      <c r="J80" s="1">
        <v>37.99</v>
      </c>
      <c r="K80" s="4">
        <f t="shared" si="5"/>
        <v>402.401477</v>
      </c>
      <c r="L80" s="4">
        <f t="shared" si="6"/>
        <v>656.82852300000002</v>
      </c>
    </row>
    <row r="81" spans="1:12" x14ac:dyDescent="0.3">
      <c r="A81" s="1">
        <v>1079</v>
      </c>
      <c r="B81" s="2">
        <v>44587</v>
      </c>
      <c r="C81" s="1" t="s">
        <v>21</v>
      </c>
      <c r="D81" s="1" t="s">
        <v>11</v>
      </c>
      <c r="E81" s="1" t="s">
        <v>12</v>
      </c>
      <c r="F81" s="1">
        <v>222.13</v>
      </c>
      <c r="G81" s="1" t="s">
        <v>113</v>
      </c>
      <c r="H81" s="2">
        <v>25579</v>
      </c>
      <c r="I81" s="2">
        <v>44596</v>
      </c>
      <c r="J81" s="1">
        <v>47.93</v>
      </c>
      <c r="K81" s="4">
        <f t="shared" si="5"/>
        <v>106.466909</v>
      </c>
      <c r="L81" s="4">
        <f t="shared" si="6"/>
        <v>115.66309099999999</v>
      </c>
    </row>
    <row r="82" spans="1:12" x14ac:dyDescent="0.3">
      <c r="A82" s="1">
        <v>1080</v>
      </c>
      <c r="B82" s="2">
        <v>44967</v>
      </c>
      <c r="C82" s="1" t="s">
        <v>14</v>
      </c>
      <c r="D82" s="1" t="s">
        <v>27</v>
      </c>
      <c r="E82" s="1" t="s">
        <v>28</v>
      </c>
      <c r="F82" s="1">
        <v>2009.76</v>
      </c>
      <c r="G82" s="1" t="s">
        <v>72</v>
      </c>
      <c r="H82" s="2">
        <v>32992</v>
      </c>
      <c r="I82" s="2">
        <v>44971</v>
      </c>
      <c r="J82" s="1">
        <v>13.06</v>
      </c>
      <c r="K82" s="4">
        <f t="shared" si="5"/>
        <v>262.47465599999998</v>
      </c>
      <c r="L82" s="4">
        <f t="shared" si="6"/>
        <v>1747.2853439999999</v>
      </c>
    </row>
    <row r="83" spans="1:12" x14ac:dyDescent="0.3">
      <c r="A83" s="1">
        <v>1081</v>
      </c>
      <c r="B83" s="2">
        <v>44548</v>
      </c>
      <c r="C83" s="1" t="s">
        <v>26</v>
      </c>
      <c r="D83" s="1" t="s">
        <v>30</v>
      </c>
      <c r="E83" s="1" t="s">
        <v>31</v>
      </c>
      <c r="F83" s="1">
        <v>556.89</v>
      </c>
      <c r="G83" s="1" t="s">
        <v>108</v>
      </c>
      <c r="H83" s="2">
        <v>33413</v>
      </c>
      <c r="I83" s="2">
        <v>44554</v>
      </c>
      <c r="J83" s="1">
        <v>9.42</v>
      </c>
      <c r="K83" s="4">
        <f t="shared" si="5"/>
        <v>52.459038</v>
      </c>
      <c r="L83" s="4">
        <f t="shared" si="6"/>
        <v>504.43096199999997</v>
      </c>
    </row>
    <row r="84" spans="1:12" x14ac:dyDescent="0.3">
      <c r="A84" s="1">
        <v>1082</v>
      </c>
      <c r="B84" s="2">
        <v>44142</v>
      </c>
      <c r="C84" s="1" t="s">
        <v>21</v>
      </c>
      <c r="D84" s="1" t="s">
        <v>73</v>
      </c>
      <c r="E84" s="1" t="s">
        <v>28</v>
      </c>
      <c r="F84" s="1">
        <v>711.12</v>
      </c>
      <c r="G84" s="1" t="s">
        <v>114</v>
      </c>
      <c r="H84" s="2">
        <v>28543</v>
      </c>
      <c r="I84" s="2">
        <v>44153</v>
      </c>
      <c r="J84" s="1">
        <v>49.69</v>
      </c>
      <c r="K84" s="4">
        <f t="shared" si="5"/>
        <v>353.35552799999999</v>
      </c>
      <c r="L84" s="4">
        <f t="shared" si="6"/>
        <v>357.76447200000001</v>
      </c>
    </row>
    <row r="85" spans="1:12" x14ac:dyDescent="0.3">
      <c r="A85" s="1">
        <v>1083</v>
      </c>
      <c r="B85" s="2">
        <v>44429</v>
      </c>
      <c r="C85" s="1" t="s">
        <v>10</v>
      </c>
      <c r="D85" s="1" t="s">
        <v>53</v>
      </c>
      <c r="E85" s="1" t="s">
        <v>28</v>
      </c>
      <c r="F85" s="1">
        <v>2800.45</v>
      </c>
      <c r="G85" s="1" t="s">
        <v>115</v>
      </c>
      <c r="H85" s="2">
        <v>29486</v>
      </c>
      <c r="I85" s="2">
        <v>44430</v>
      </c>
      <c r="J85" s="1">
        <v>19.16</v>
      </c>
      <c r="K85" s="4">
        <f t="shared" si="5"/>
        <v>536.56621999999993</v>
      </c>
      <c r="L85" s="4">
        <f t="shared" si="6"/>
        <v>2263.8837800000001</v>
      </c>
    </row>
    <row r="86" spans="1:12" x14ac:dyDescent="0.3">
      <c r="A86" s="1">
        <v>1084</v>
      </c>
      <c r="B86" s="2">
        <v>44453</v>
      </c>
      <c r="C86" s="1" t="s">
        <v>35</v>
      </c>
      <c r="D86" s="1" t="s">
        <v>71</v>
      </c>
      <c r="E86" s="1" t="s">
        <v>31</v>
      </c>
      <c r="F86" s="1">
        <v>3499.14</v>
      </c>
      <c r="G86" s="1" t="s">
        <v>116</v>
      </c>
      <c r="H86" s="2">
        <v>39294</v>
      </c>
      <c r="I86" s="2">
        <v>44463</v>
      </c>
      <c r="J86" s="1">
        <v>13.33</v>
      </c>
      <c r="K86" s="4">
        <f t="shared" si="5"/>
        <v>466.435362</v>
      </c>
      <c r="L86" s="4">
        <f t="shared" si="6"/>
        <v>3032.7046379999997</v>
      </c>
    </row>
    <row r="87" spans="1:12" x14ac:dyDescent="0.3">
      <c r="A87" s="1">
        <v>1085</v>
      </c>
      <c r="B87" s="2">
        <v>44713</v>
      </c>
      <c r="C87" s="1" t="s">
        <v>21</v>
      </c>
      <c r="D87" s="1" t="s">
        <v>49</v>
      </c>
      <c r="E87" s="1" t="s">
        <v>12</v>
      </c>
      <c r="F87" s="1">
        <v>4470.8599999999997</v>
      </c>
      <c r="G87" s="1" t="s">
        <v>117</v>
      </c>
      <c r="H87" s="2">
        <v>23513</v>
      </c>
      <c r="I87" s="2">
        <v>44727</v>
      </c>
      <c r="J87" s="1">
        <v>32.76</v>
      </c>
      <c r="K87" s="4">
        <f t="shared" si="5"/>
        <v>1464.653736</v>
      </c>
      <c r="L87" s="4">
        <f t="shared" si="6"/>
        <v>3006.2062639999995</v>
      </c>
    </row>
    <row r="88" spans="1:12" x14ac:dyDescent="0.3">
      <c r="A88" s="1">
        <v>1086</v>
      </c>
      <c r="B88" s="2">
        <v>45703</v>
      </c>
      <c r="C88" s="1" t="s">
        <v>35</v>
      </c>
      <c r="D88" s="1" t="s">
        <v>24</v>
      </c>
      <c r="E88" s="1" t="s">
        <v>19</v>
      </c>
      <c r="F88" s="1">
        <v>3968.35</v>
      </c>
      <c r="G88" s="1" t="s">
        <v>118</v>
      </c>
      <c r="H88" s="2">
        <v>22599</v>
      </c>
      <c r="I88" s="2">
        <v>45712</v>
      </c>
      <c r="J88" s="1">
        <v>30.13</v>
      </c>
      <c r="K88" s="4">
        <f t="shared" si="5"/>
        <v>1195.663855</v>
      </c>
      <c r="L88" s="4">
        <f t="shared" si="6"/>
        <v>2772.6861449999997</v>
      </c>
    </row>
    <row r="89" spans="1:12" x14ac:dyDescent="0.3">
      <c r="A89" s="1">
        <v>1087</v>
      </c>
      <c r="B89" s="2">
        <v>45003</v>
      </c>
      <c r="C89" s="1" t="s">
        <v>35</v>
      </c>
      <c r="D89" s="1" t="s">
        <v>49</v>
      </c>
      <c r="E89" s="1" t="s">
        <v>12</v>
      </c>
      <c r="F89" s="1">
        <v>4586.37</v>
      </c>
      <c r="G89" s="1" t="s">
        <v>119</v>
      </c>
      <c r="H89" s="2">
        <v>34954</v>
      </c>
      <c r="I89" s="2">
        <v>45005</v>
      </c>
      <c r="J89" s="1">
        <v>40.15</v>
      </c>
      <c r="K89" s="4">
        <f t="shared" si="5"/>
        <v>1841.4275549999998</v>
      </c>
      <c r="L89" s="4">
        <f t="shared" si="6"/>
        <v>2744.9424450000001</v>
      </c>
    </row>
    <row r="90" spans="1:12" x14ac:dyDescent="0.3">
      <c r="A90" s="1">
        <v>1088</v>
      </c>
      <c r="B90" s="2">
        <v>45268</v>
      </c>
      <c r="C90" s="1" t="s">
        <v>26</v>
      </c>
      <c r="D90" s="1" t="s">
        <v>40</v>
      </c>
      <c r="E90" s="1" t="s">
        <v>16</v>
      </c>
      <c r="F90" s="1">
        <v>3650.88</v>
      </c>
      <c r="G90" s="1" t="s">
        <v>120</v>
      </c>
      <c r="H90" s="2">
        <v>30820</v>
      </c>
      <c r="I90" s="2">
        <v>45270</v>
      </c>
      <c r="J90" s="1">
        <v>31.44</v>
      </c>
      <c r="K90" s="4">
        <f t="shared" si="5"/>
        <v>1147.8366720000001</v>
      </c>
      <c r="L90" s="4">
        <f t="shared" si="6"/>
        <v>2503.0433279999997</v>
      </c>
    </row>
    <row r="91" spans="1:12" x14ac:dyDescent="0.3">
      <c r="A91" s="1">
        <v>1089</v>
      </c>
      <c r="B91" s="2">
        <v>45319</v>
      </c>
      <c r="C91" s="1" t="s">
        <v>26</v>
      </c>
      <c r="D91" s="1" t="s">
        <v>38</v>
      </c>
      <c r="E91" s="1" t="s">
        <v>28</v>
      </c>
      <c r="F91" s="1">
        <v>2648.98</v>
      </c>
      <c r="G91" s="1" t="s">
        <v>121</v>
      </c>
      <c r="H91" s="2">
        <v>24580</v>
      </c>
      <c r="I91" s="2">
        <v>45332</v>
      </c>
      <c r="J91" s="1">
        <v>32.72</v>
      </c>
      <c r="K91" s="4">
        <f t="shared" si="5"/>
        <v>866.74625600000002</v>
      </c>
      <c r="L91" s="4">
        <f t="shared" si="6"/>
        <v>1782.2337440000001</v>
      </c>
    </row>
    <row r="92" spans="1:12" x14ac:dyDescent="0.3">
      <c r="A92" s="1">
        <v>1090</v>
      </c>
      <c r="B92" s="2">
        <v>45589</v>
      </c>
      <c r="C92" s="1" t="s">
        <v>14</v>
      </c>
      <c r="D92" s="1" t="s">
        <v>71</v>
      </c>
      <c r="E92" s="1" t="s">
        <v>31</v>
      </c>
      <c r="F92" s="1">
        <v>4552.96</v>
      </c>
      <c r="G92" s="1" t="s">
        <v>122</v>
      </c>
      <c r="H92" s="2">
        <v>29720</v>
      </c>
      <c r="I92" s="2">
        <v>45598</v>
      </c>
      <c r="J92" s="1">
        <v>45.91</v>
      </c>
      <c r="K92" s="4">
        <f t="shared" si="5"/>
        <v>2090.2639359999998</v>
      </c>
      <c r="L92" s="4">
        <f t="shared" si="6"/>
        <v>2462.6960640000002</v>
      </c>
    </row>
    <row r="93" spans="1:12" x14ac:dyDescent="0.3">
      <c r="A93" s="1">
        <v>1091</v>
      </c>
      <c r="B93" s="2">
        <v>45476</v>
      </c>
      <c r="C93" s="1" t="s">
        <v>10</v>
      </c>
      <c r="D93" s="1" t="s">
        <v>30</v>
      </c>
      <c r="E93" s="1" t="s">
        <v>31</v>
      </c>
      <c r="F93" s="1">
        <v>1851.24</v>
      </c>
      <c r="G93" s="1" t="s">
        <v>123</v>
      </c>
      <c r="H93" s="2">
        <v>36120</v>
      </c>
      <c r="I93" s="2">
        <v>45479</v>
      </c>
      <c r="J93" s="1">
        <v>24.89</v>
      </c>
      <c r="K93" s="4">
        <f t="shared" si="5"/>
        <v>460.77363600000001</v>
      </c>
      <c r="L93" s="4">
        <f t="shared" si="6"/>
        <v>1390.4663639999999</v>
      </c>
    </row>
    <row r="94" spans="1:12" x14ac:dyDescent="0.3">
      <c r="A94" s="1">
        <v>1092</v>
      </c>
      <c r="B94" s="2">
        <v>45544</v>
      </c>
      <c r="C94" s="1" t="s">
        <v>10</v>
      </c>
      <c r="D94" s="1" t="s">
        <v>53</v>
      </c>
      <c r="E94" s="1" t="s">
        <v>28</v>
      </c>
      <c r="F94" s="1">
        <v>2920.84</v>
      </c>
      <c r="G94" s="1" t="s">
        <v>110</v>
      </c>
      <c r="H94" s="2">
        <v>32064</v>
      </c>
      <c r="I94" s="2">
        <v>45556</v>
      </c>
      <c r="J94" s="1">
        <v>13.81</v>
      </c>
      <c r="K94" s="4">
        <f t="shared" si="5"/>
        <v>403.36800400000004</v>
      </c>
      <c r="L94" s="4">
        <f t="shared" si="6"/>
        <v>2517.4719960000002</v>
      </c>
    </row>
    <row r="95" spans="1:12" x14ac:dyDescent="0.3">
      <c r="A95" s="1">
        <v>1093</v>
      </c>
      <c r="B95" s="2">
        <v>45520</v>
      </c>
      <c r="C95" s="1" t="s">
        <v>21</v>
      </c>
      <c r="D95" s="1" t="s">
        <v>18</v>
      </c>
      <c r="E95" s="1" t="s">
        <v>19</v>
      </c>
      <c r="F95" s="1">
        <v>3885.89</v>
      </c>
      <c r="G95" s="1" t="s">
        <v>83</v>
      </c>
      <c r="H95" s="2">
        <v>24673</v>
      </c>
      <c r="I95" s="2">
        <v>45525</v>
      </c>
      <c r="J95" s="1">
        <v>42.07</v>
      </c>
      <c r="K95" s="4">
        <f t="shared" si="5"/>
        <v>1634.7939229999999</v>
      </c>
      <c r="L95" s="4">
        <f t="shared" si="6"/>
        <v>2251.0960770000002</v>
      </c>
    </row>
    <row r="96" spans="1:12" x14ac:dyDescent="0.3">
      <c r="A96" s="1">
        <v>1094</v>
      </c>
      <c r="B96" s="2">
        <v>45658</v>
      </c>
      <c r="C96" s="1" t="s">
        <v>21</v>
      </c>
      <c r="D96" s="1" t="s">
        <v>58</v>
      </c>
      <c r="E96" s="1" t="s">
        <v>31</v>
      </c>
      <c r="F96" s="1">
        <v>406.83</v>
      </c>
      <c r="G96" s="1" t="s">
        <v>95</v>
      </c>
      <c r="H96" s="2">
        <v>25821</v>
      </c>
      <c r="I96" s="2">
        <v>45669</v>
      </c>
      <c r="J96" s="1">
        <v>17.48</v>
      </c>
      <c r="K96" s="4">
        <f t="shared" si="5"/>
        <v>71.113883999999999</v>
      </c>
      <c r="L96" s="4">
        <f t="shared" si="6"/>
        <v>335.716116</v>
      </c>
    </row>
    <row r="97" spans="1:12" x14ac:dyDescent="0.3">
      <c r="A97" s="1">
        <v>1095</v>
      </c>
      <c r="B97" s="2">
        <v>44895</v>
      </c>
      <c r="C97" s="1" t="s">
        <v>14</v>
      </c>
      <c r="D97" s="1" t="s">
        <v>36</v>
      </c>
      <c r="E97" s="1" t="s">
        <v>28</v>
      </c>
      <c r="F97" s="1">
        <v>3199.23</v>
      </c>
      <c r="G97" s="1" t="s">
        <v>124</v>
      </c>
      <c r="H97" s="2">
        <v>30786</v>
      </c>
      <c r="I97" s="2">
        <v>44905</v>
      </c>
      <c r="J97" s="1">
        <v>33.99</v>
      </c>
      <c r="K97" s="4">
        <f t="shared" si="5"/>
        <v>1087.4182770000002</v>
      </c>
      <c r="L97" s="4">
        <f t="shared" si="6"/>
        <v>2111.8117229999998</v>
      </c>
    </row>
    <row r="98" spans="1:12" x14ac:dyDescent="0.3">
      <c r="A98" s="1">
        <v>1096</v>
      </c>
      <c r="B98" s="2">
        <v>44322</v>
      </c>
      <c r="C98" s="1" t="s">
        <v>14</v>
      </c>
      <c r="D98" s="1" t="s">
        <v>22</v>
      </c>
      <c r="E98" s="1" t="s">
        <v>19</v>
      </c>
      <c r="F98" s="1">
        <v>494.78</v>
      </c>
      <c r="G98" s="1" t="s">
        <v>125</v>
      </c>
      <c r="H98" s="2">
        <v>28830</v>
      </c>
      <c r="I98" s="2">
        <v>44331</v>
      </c>
      <c r="J98" s="1">
        <v>35.520000000000003</v>
      </c>
      <c r="K98" s="4">
        <f t="shared" si="5"/>
        <v>175.745856</v>
      </c>
      <c r="L98" s="4">
        <f t="shared" si="6"/>
        <v>319.03414399999997</v>
      </c>
    </row>
    <row r="99" spans="1:12" x14ac:dyDescent="0.3">
      <c r="A99" s="1">
        <v>1097</v>
      </c>
      <c r="B99" s="2">
        <v>45757</v>
      </c>
      <c r="C99" s="1" t="s">
        <v>35</v>
      </c>
      <c r="D99" s="1" t="s">
        <v>47</v>
      </c>
      <c r="E99" s="1" t="s">
        <v>12</v>
      </c>
      <c r="F99" s="1">
        <v>1679.27</v>
      </c>
      <c r="G99" s="1" t="s">
        <v>126</v>
      </c>
      <c r="H99" s="2">
        <v>28644</v>
      </c>
      <c r="I99" s="2">
        <v>45768</v>
      </c>
      <c r="J99" s="1">
        <v>14.47</v>
      </c>
      <c r="K99" s="4">
        <f t="shared" si="5"/>
        <v>242.99036899999999</v>
      </c>
      <c r="L99" s="4">
        <f t="shared" si="6"/>
        <v>1436.2796309999999</v>
      </c>
    </row>
    <row r="100" spans="1:12" x14ac:dyDescent="0.3">
      <c r="A100" s="1">
        <v>1098</v>
      </c>
      <c r="B100" s="2">
        <v>44664</v>
      </c>
      <c r="C100" s="1" t="s">
        <v>26</v>
      </c>
      <c r="D100" s="1" t="s">
        <v>11</v>
      </c>
      <c r="E100" s="1" t="s">
        <v>12</v>
      </c>
      <c r="F100" s="1">
        <v>3385.55</v>
      </c>
      <c r="G100" s="1" t="s">
        <v>127</v>
      </c>
      <c r="H100" s="2">
        <v>31846</v>
      </c>
      <c r="I100" s="2">
        <v>44670</v>
      </c>
      <c r="J100" s="1">
        <v>49.06</v>
      </c>
      <c r="K100" s="4">
        <f t="shared" si="5"/>
        <v>1660.9508300000002</v>
      </c>
      <c r="L100" s="4">
        <f t="shared" si="6"/>
        <v>1724.59917</v>
      </c>
    </row>
    <row r="101" spans="1:12" x14ac:dyDescent="0.3">
      <c r="A101" s="1">
        <v>1099</v>
      </c>
      <c r="B101" s="2">
        <v>44936</v>
      </c>
      <c r="C101" s="1" t="s">
        <v>14</v>
      </c>
      <c r="D101" s="1" t="s">
        <v>24</v>
      </c>
      <c r="E101" s="1" t="s">
        <v>19</v>
      </c>
      <c r="F101" s="1">
        <v>3277.84</v>
      </c>
      <c r="G101" s="1" t="s">
        <v>39</v>
      </c>
      <c r="H101" s="2">
        <v>26282</v>
      </c>
      <c r="I101" s="2">
        <v>44949</v>
      </c>
      <c r="J101" s="1">
        <v>36.24</v>
      </c>
      <c r="K101" s="4">
        <f t="shared" si="5"/>
        <v>1187.889216</v>
      </c>
      <c r="L101" s="4">
        <f t="shared" si="6"/>
        <v>2089.9507840000001</v>
      </c>
    </row>
    <row r="102" spans="1:12" x14ac:dyDescent="0.3">
      <c r="A102" s="1">
        <v>1100</v>
      </c>
      <c r="B102" s="2">
        <v>45530</v>
      </c>
      <c r="C102" s="1" t="s">
        <v>14</v>
      </c>
      <c r="D102" s="1" t="s">
        <v>11</v>
      </c>
      <c r="E102" s="1" t="s">
        <v>12</v>
      </c>
      <c r="F102" s="1">
        <v>4696</v>
      </c>
      <c r="G102" s="1" t="s">
        <v>128</v>
      </c>
      <c r="H102" s="2">
        <v>37961</v>
      </c>
      <c r="I102" s="2">
        <v>45533</v>
      </c>
      <c r="J102" s="1">
        <v>5.37</v>
      </c>
      <c r="K102" s="4">
        <f t="shared" si="5"/>
        <v>252.17519999999999</v>
      </c>
      <c r="L102" s="4">
        <f t="shared" si="6"/>
        <v>4443.8248000000003</v>
      </c>
    </row>
    <row r="103" spans="1:12" x14ac:dyDescent="0.3">
      <c r="A103" s="1">
        <v>1101</v>
      </c>
      <c r="B103" s="2">
        <v>44098</v>
      </c>
      <c r="C103" s="1" t="s">
        <v>26</v>
      </c>
      <c r="D103" s="1" t="s">
        <v>73</v>
      </c>
      <c r="E103" s="1" t="s">
        <v>28</v>
      </c>
      <c r="F103" s="1">
        <v>4356.8599999999997</v>
      </c>
      <c r="G103" s="1" t="s">
        <v>129</v>
      </c>
      <c r="H103" s="2">
        <v>26668</v>
      </c>
      <c r="I103" s="2">
        <v>44104</v>
      </c>
      <c r="J103" s="1">
        <v>15.96</v>
      </c>
      <c r="K103" s="4">
        <f t="shared" si="5"/>
        <v>695.35485600000004</v>
      </c>
      <c r="L103" s="4">
        <f t="shared" si="6"/>
        <v>3661.5051439999997</v>
      </c>
    </row>
    <row r="104" spans="1:12" x14ac:dyDescent="0.3">
      <c r="A104" s="1">
        <v>1102</v>
      </c>
      <c r="B104" s="2">
        <v>44129</v>
      </c>
      <c r="C104" s="1" t="s">
        <v>26</v>
      </c>
      <c r="D104" s="1" t="s">
        <v>49</v>
      </c>
      <c r="E104" s="1" t="s">
        <v>12</v>
      </c>
      <c r="F104" s="1">
        <v>1697.76</v>
      </c>
      <c r="G104" s="1" t="s">
        <v>130</v>
      </c>
      <c r="H104" s="2">
        <v>38750</v>
      </c>
      <c r="I104" s="2">
        <v>44140</v>
      </c>
      <c r="J104" s="1">
        <v>18.23</v>
      </c>
      <c r="K104" s="4">
        <f t="shared" si="5"/>
        <v>309.50164800000005</v>
      </c>
      <c r="L104" s="4">
        <f t="shared" si="6"/>
        <v>1388.2583519999998</v>
      </c>
    </row>
    <row r="105" spans="1:12" x14ac:dyDescent="0.3">
      <c r="A105" s="1">
        <v>1103</v>
      </c>
      <c r="B105" s="2">
        <v>45417</v>
      </c>
      <c r="C105" s="1" t="s">
        <v>21</v>
      </c>
      <c r="D105" s="1" t="s">
        <v>55</v>
      </c>
      <c r="E105" s="1" t="s">
        <v>31</v>
      </c>
      <c r="F105" s="1">
        <v>3125.88</v>
      </c>
      <c r="G105" s="1" t="s">
        <v>13</v>
      </c>
      <c r="H105" s="2">
        <v>24348</v>
      </c>
      <c r="I105" s="2">
        <v>45423</v>
      </c>
      <c r="J105" s="1">
        <v>39.28</v>
      </c>
      <c r="K105" s="4">
        <f t="shared" si="5"/>
        <v>1227.8456640000002</v>
      </c>
      <c r="L105" s="4">
        <f t="shared" si="6"/>
        <v>1898.0343359999999</v>
      </c>
    </row>
    <row r="106" spans="1:12" x14ac:dyDescent="0.3">
      <c r="A106" s="1">
        <v>1104</v>
      </c>
      <c r="B106" s="2">
        <v>44951</v>
      </c>
      <c r="C106" s="1" t="s">
        <v>14</v>
      </c>
      <c r="D106" s="1" t="s">
        <v>61</v>
      </c>
      <c r="E106" s="1" t="s">
        <v>19</v>
      </c>
      <c r="F106" s="1">
        <v>1079.68</v>
      </c>
      <c r="G106" s="1" t="s">
        <v>89</v>
      </c>
      <c r="H106" s="2">
        <v>37141</v>
      </c>
      <c r="I106" s="2">
        <v>44956</v>
      </c>
      <c r="J106" s="1">
        <v>43.99</v>
      </c>
      <c r="K106" s="4">
        <f t="shared" si="5"/>
        <v>474.95123200000006</v>
      </c>
      <c r="L106" s="4">
        <f t="shared" si="6"/>
        <v>604.72876799999995</v>
      </c>
    </row>
    <row r="107" spans="1:12" x14ac:dyDescent="0.3">
      <c r="A107" s="1">
        <v>1105</v>
      </c>
      <c r="B107" s="2">
        <v>45179</v>
      </c>
      <c r="C107" s="1" t="s">
        <v>35</v>
      </c>
      <c r="D107" s="1" t="s">
        <v>58</v>
      </c>
      <c r="E107" s="1" t="s">
        <v>31</v>
      </c>
      <c r="F107" s="1">
        <v>3680.76</v>
      </c>
      <c r="G107" s="1" t="s">
        <v>42</v>
      </c>
      <c r="H107" s="2">
        <v>26027</v>
      </c>
      <c r="I107" s="2">
        <v>45181</v>
      </c>
      <c r="J107" s="1">
        <v>44.36</v>
      </c>
      <c r="K107" s="4">
        <f t="shared" si="5"/>
        <v>1632.785136</v>
      </c>
      <c r="L107" s="4">
        <f t="shared" si="6"/>
        <v>2047.9748640000003</v>
      </c>
    </row>
    <row r="108" spans="1:12" x14ac:dyDescent="0.3">
      <c r="A108" s="1">
        <v>1106</v>
      </c>
      <c r="B108" s="2">
        <v>44176</v>
      </c>
      <c r="C108" s="1" t="s">
        <v>10</v>
      </c>
      <c r="D108" s="1" t="s">
        <v>40</v>
      </c>
      <c r="E108" s="1" t="s">
        <v>16</v>
      </c>
      <c r="F108" s="1">
        <v>2597.9899999999998</v>
      </c>
      <c r="G108" s="1" t="s">
        <v>131</v>
      </c>
      <c r="H108" s="2">
        <v>38087</v>
      </c>
      <c r="I108" s="2">
        <v>44189</v>
      </c>
      <c r="J108" s="1">
        <v>13.57</v>
      </c>
      <c r="K108" s="4">
        <f t="shared" si="5"/>
        <v>352.54724300000004</v>
      </c>
      <c r="L108" s="4">
        <f t="shared" si="6"/>
        <v>2245.4427569999998</v>
      </c>
    </row>
    <row r="109" spans="1:12" x14ac:dyDescent="0.3">
      <c r="A109" s="1">
        <v>1107</v>
      </c>
      <c r="B109" s="2">
        <v>45028</v>
      </c>
      <c r="C109" s="1" t="s">
        <v>14</v>
      </c>
      <c r="D109" s="1" t="s">
        <v>47</v>
      </c>
      <c r="E109" s="1" t="s">
        <v>12</v>
      </c>
      <c r="F109" s="1">
        <v>1943.78</v>
      </c>
      <c r="G109" s="1" t="s">
        <v>63</v>
      </c>
      <c r="H109" s="2">
        <v>25430</v>
      </c>
      <c r="I109" s="2">
        <v>45041</v>
      </c>
      <c r="J109" s="1">
        <v>6.56</v>
      </c>
      <c r="K109" s="4">
        <f t="shared" si="5"/>
        <v>127.51196799999998</v>
      </c>
      <c r="L109" s="4">
        <f t="shared" si="6"/>
        <v>1816.2680319999999</v>
      </c>
    </row>
    <row r="110" spans="1:12" x14ac:dyDescent="0.3">
      <c r="A110" s="1">
        <v>1108</v>
      </c>
      <c r="B110" s="2">
        <v>44530</v>
      </c>
      <c r="C110" s="1" t="s">
        <v>10</v>
      </c>
      <c r="D110" s="1" t="s">
        <v>65</v>
      </c>
      <c r="E110" s="1" t="s">
        <v>19</v>
      </c>
      <c r="F110" s="1">
        <v>1280.52</v>
      </c>
      <c r="G110" s="1" t="s">
        <v>132</v>
      </c>
      <c r="H110" s="2">
        <v>34364</v>
      </c>
      <c r="I110" s="2">
        <v>44533</v>
      </c>
      <c r="J110" s="1">
        <v>21.85</v>
      </c>
      <c r="K110" s="4">
        <f t="shared" si="5"/>
        <v>279.79362000000003</v>
      </c>
      <c r="L110" s="4">
        <f t="shared" si="6"/>
        <v>1000.7263799999999</v>
      </c>
    </row>
    <row r="111" spans="1:12" x14ac:dyDescent="0.3">
      <c r="A111" s="1">
        <v>1109</v>
      </c>
      <c r="B111" s="2">
        <v>44456</v>
      </c>
      <c r="C111" s="1" t="s">
        <v>10</v>
      </c>
      <c r="D111" s="1" t="s">
        <v>36</v>
      </c>
      <c r="E111" s="1" t="s">
        <v>28</v>
      </c>
      <c r="F111" s="1">
        <v>4143.1899999999996</v>
      </c>
      <c r="G111" s="1" t="s">
        <v>133</v>
      </c>
      <c r="H111" s="2">
        <v>23264</v>
      </c>
      <c r="I111" s="2">
        <v>44468</v>
      </c>
      <c r="J111" s="1">
        <v>10.54</v>
      </c>
      <c r="K111" s="4">
        <f t="shared" si="5"/>
        <v>436.69222599999995</v>
      </c>
      <c r="L111" s="4">
        <f t="shared" si="6"/>
        <v>3706.4977739999995</v>
      </c>
    </row>
    <row r="112" spans="1:12" x14ac:dyDescent="0.3">
      <c r="A112" s="1">
        <v>1110</v>
      </c>
      <c r="B112" s="2">
        <v>45174</v>
      </c>
      <c r="C112" s="1" t="s">
        <v>35</v>
      </c>
      <c r="D112" s="1" t="s">
        <v>53</v>
      </c>
      <c r="E112" s="1" t="s">
        <v>28</v>
      </c>
      <c r="F112" s="1">
        <v>3945.68</v>
      </c>
      <c r="G112" s="1" t="s">
        <v>134</v>
      </c>
      <c r="H112" s="2">
        <v>30299</v>
      </c>
      <c r="I112" s="2">
        <v>45178</v>
      </c>
      <c r="J112" s="1">
        <v>19.010000000000002</v>
      </c>
      <c r="K112" s="4">
        <f t="shared" si="5"/>
        <v>750.07376800000009</v>
      </c>
      <c r="L112" s="4">
        <f t="shared" si="6"/>
        <v>3195.6062319999996</v>
      </c>
    </row>
    <row r="113" spans="1:12" x14ac:dyDescent="0.3">
      <c r="A113" s="1">
        <v>1111</v>
      </c>
      <c r="B113" s="2">
        <v>45144</v>
      </c>
      <c r="C113" s="1" t="s">
        <v>35</v>
      </c>
      <c r="D113" s="1" t="s">
        <v>73</v>
      </c>
      <c r="E113" s="1" t="s">
        <v>28</v>
      </c>
      <c r="F113" s="1">
        <v>3954.86</v>
      </c>
      <c r="G113" s="1" t="s">
        <v>135</v>
      </c>
      <c r="H113" s="2">
        <v>38018</v>
      </c>
      <c r="I113" s="2">
        <v>45158</v>
      </c>
      <c r="J113" s="1">
        <v>13.44</v>
      </c>
      <c r="K113" s="4">
        <f t="shared" si="5"/>
        <v>531.53318400000001</v>
      </c>
      <c r="L113" s="4">
        <f t="shared" si="6"/>
        <v>3423.3268160000002</v>
      </c>
    </row>
    <row r="114" spans="1:12" x14ac:dyDescent="0.3">
      <c r="A114" s="1">
        <v>1112</v>
      </c>
      <c r="B114" s="2">
        <v>44984</v>
      </c>
      <c r="C114" s="1" t="s">
        <v>10</v>
      </c>
      <c r="D114" s="1" t="s">
        <v>55</v>
      </c>
      <c r="E114" s="1" t="s">
        <v>31</v>
      </c>
      <c r="F114" s="1">
        <v>1352.28</v>
      </c>
      <c r="G114" s="1" t="s">
        <v>136</v>
      </c>
      <c r="H114" s="2">
        <v>23704</v>
      </c>
      <c r="I114" s="2">
        <v>44994</v>
      </c>
      <c r="J114" s="1">
        <v>31.85</v>
      </c>
      <c r="K114" s="4">
        <f t="shared" si="5"/>
        <v>430.70118000000002</v>
      </c>
      <c r="L114" s="4">
        <f t="shared" si="6"/>
        <v>921.57881999999995</v>
      </c>
    </row>
    <row r="115" spans="1:12" x14ac:dyDescent="0.3">
      <c r="A115" s="1">
        <v>1113</v>
      </c>
      <c r="B115" s="2">
        <v>44853</v>
      </c>
      <c r="C115" s="1" t="s">
        <v>14</v>
      </c>
      <c r="D115" s="1" t="s">
        <v>33</v>
      </c>
      <c r="E115" s="1" t="s">
        <v>16</v>
      </c>
      <c r="F115" s="1">
        <v>3348.99</v>
      </c>
      <c r="G115" s="1" t="s">
        <v>137</v>
      </c>
      <c r="H115" s="2">
        <v>36905</v>
      </c>
      <c r="I115" s="2">
        <v>44857</v>
      </c>
      <c r="J115" s="1">
        <v>40.46</v>
      </c>
      <c r="K115" s="4">
        <f t="shared" si="5"/>
        <v>1355.001354</v>
      </c>
      <c r="L115" s="4">
        <f t="shared" si="6"/>
        <v>1993.9886459999998</v>
      </c>
    </row>
    <row r="116" spans="1:12" x14ac:dyDescent="0.3">
      <c r="A116" s="1">
        <v>1114</v>
      </c>
      <c r="B116" s="2">
        <v>45723</v>
      </c>
      <c r="C116" s="1" t="s">
        <v>35</v>
      </c>
      <c r="D116" s="1" t="s">
        <v>11</v>
      </c>
      <c r="E116" s="1" t="s">
        <v>12</v>
      </c>
      <c r="F116" s="1">
        <v>412.14</v>
      </c>
      <c r="G116" s="1" t="s">
        <v>106</v>
      </c>
      <c r="H116" s="2">
        <v>35506</v>
      </c>
      <c r="I116" s="2">
        <v>45726</v>
      </c>
      <c r="J116" s="1">
        <v>38.22</v>
      </c>
      <c r="K116" s="4">
        <f t="shared" si="5"/>
        <v>157.51990799999999</v>
      </c>
      <c r="L116" s="4">
        <f t="shared" si="6"/>
        <v>254.620092</v>
      </c>
    </row>
    <row r="117" spans="1:12" x14ac:dyDescent="0.3">
      <c r="A117" s="1">
        <v>1115</v>
      </c>
      <c r="B117" s="2">
        <v>44218</v>
      </c>
      <c r="C117" s="1" t="s">
        <v>35</v>
      </c>
      <c r="D117" s="1" t="s">
        <v>38</v>
      </c>
      <c r="E117" s="1" t="s">
        <v>28</v>
      </c>
      <c r="F117" s="1">
        <v>3960.77</v>
      </c>
      <c r="G117" s="1" t="s">
        <v>138</v>
      </c>
      <c r="H117" s="2">
        <v>25948</v>
      </c>
      <c r="I117" s="2">
        <v>44222</v>
      </c>
      <c r="J117" s="1">
        <v>42.31</v>
      </c>
      <c r="K117" s="4">
        <f t="shared" si="5"/>
        <v>1675.8017870000001</v>
      </c>
      <c r="L117" s="4">
        <f t="shared" si="6"/>
        <v>2284.9682130000001</v>
      </c>
    </row>
    <row r="118" spans="1:12" x14ac:dyDescent="0.3">
      <c r="A118" s="1">
        <v>1116</v>
      </c>
      <c r="B118" s="2">
        <v>45044</v>
      </c>
      <c r="C118" s="1" t="s">
        <v>14</v>
      </c>
      <c r="D118" s="1" t="s">
        <v>65</v>
      </c>
      <c r="E118" s="1" t="s">
        <v>19</v>
      </c>
      <c r="F118" s="1">
        <v>2449</v>
      </c>
      <c r="G118" s="1" t="s">
        <v>139</v>
      </c>
      <c r="H118" s="2">
        <v>29381</v>
      </c>
      <c r="I118" s="2">
        <v>45056</v>
      </c>
      <c r="J118" s="1">
        <v>22.98</v>
      </c>
      <c r="K118" s="4">
        <f t="shared" si="5"/>
        <v>562.78020000000004</v>
      </c>
      <c r="L118" s="4">
        <f t="shared" si="6"/>
        <v>1886.2197999999999</v>
      </c>
    </row>
    <row r="119" spans="1:12" x14ac:dyDescent="0.3">
      <c r="A119" s="1">
        <v>1117</v>
      </c>
      <c r="B119" s="2">
        <v>44445</v>
      </c>
      <c r="C119" s="1" t="s">
        <v>10</v>
      </c>
      <c r="D119" s="1" t="s">
        <v>40</v>
      </c>
      <c r="E119" s="1" t="s">
        <v>16</v>
      </c>
      <c r="F119" s="1">
        <v>1567.51</v>
      </c>
      <c r="G119" s="1" t="s">
        <v>140</v>
      </c>
      <c r="H119" s="2">
        <v>24579</v>
      </c>
      <c r="I119" s="2">
        <v>44456</v>
      </c>
      <c r="J119" s="1">
        <v>30.47</v>
      </c>
      <c r="K119" s="4">
        <f t="shared" si="5"/>
        <v>477.62029699999994</v>
      </c>
      <c r="L119" s="4">
        <f t="shared" si="6"/>
        <v>1089.8897030000001</v>
      </c>
    </row>
    <row r="120" spans="1:12" x14ac:dyDescent="0.3">
      <c r="A120" s="1">
        <v>1118</v>
      </c>
      <c r="B120" s="2">
        <v>44966</v>
      </c>
      <c r="C120" s="1" t="s">
        <v>26</v>
      </c>
      <c r="D120" s="1" t="s">
        <v>55</v>
      </c>
      <c r="E120" s="1" t="s">
        <v>31</v>
      </c>
      <c r="F120" s="1">
        <v>2984.11</v>
      </c>
      <c r="G120" s="1" t="s">
        <v>141</v>
      </c>
      <c r="H120" s="2">
        <v>35559</v>
      </c>
      <c r="I120" s="2">
        <v>44979</v>
      </c>
      <c r="J120" s="1">
        <v>36.44</v>
      </c>
      <c r="K120" s="4">
        <f t="shared" si="5"/>
        <v>1087.409684</v>
      </c>
      <c r="L120" s="4">
        <f t="shared" si="6"/>
        <v>1896.7003160000002</v>
      </c>
    </row>
    <row r="121" spans="1:12" x14ac:dyDescent="0.3">
      <c r="A121" s="1">
        <v>1119</v>
      </c>
      <c r="B121" s="2">
        <v>45818</v>
      </c>
      <c r="C121" s="1" t="s">
        <v>35</v>
      </c>
      <c r="D121" s="1" t="s">
        <v>11</v>
      </c>
      <c r="E121" s="1" t="s">
        <v>12</v>
      </c>
      <c r="F121" s="1">
        <v>3346.64</v>
      </c>
      <c r="G121" s="1" t="s">
        <v>142</v>
      </c>
      <c r="H121" s="2">
        <v>29541</v>
      </c>
      <c r="I121" s="2">
        <v>45821</v>
      </c>
      <c r="J121" s="1">
        <v>33.65</v>
      </c>
      <c r="K121" s="4">
        <f t="shared" si="5"/>
        <v>1126.1443599999998</v>
      </c>
      <c r="L121" s="4">
        <f t="shared" si="6"/>
        <v>2220.4956400000001</v>
      </c>
    </row>
    <row r="122" spans="1:12" x14ac:dyDescent="0.3">
      <c r="A122" s="1">
        <v>1120</v>
      </c>
      <c r="B122" s="2">
        <v>45547</v>
      </c>
      <c r="C122" s="1" t="s">
        <v>26</v>
      </c>
      <c r="D122" s="1" t="s">
        <v>47</v>
      </c>
      <c r="E122" s="1" t="s">
        <v>12</v>
      </c>
      <c r="F122" s="1">
        <v>962.15</v>
      </c>
      <c r="G122" s="1" t="s">
        <v>143</v>
      </c>
      <c r="H122" s="2">
        <v>37490</v>
      </c>
      <c r="I122" s="2">
        <v>45560</v>
      </c>
      <c r="J122" s="1">
        <v>12.14</v>
      </c>
      <c r="K122" s="4">
        <f t="shared" si="5"/>
        <v>116.80501000000001</v>
      </c>
      <c r="L122" s="4">
        <f t="shared" si="6"/>
        <v>845.34498999999994</v>
      </c>
    </row>
    <row r="123" spans="1:12" x14ac:dyDescent="0.3">
      <c r="A123" s="1">
        <v>1121</v>
      </c>
      <c r="B123" s="2">
        <v>45534</v>
      </c>
      <c r="C123" s="1" t="s">
        <v>26</v>
      </c>
      <c r="D123" s="1" t="s">
        <v>73</v>
      </c>
      <c r="E123" s="1" t="s">
        <v>28</v>
      </c>
      <c r="F123" s="1">
        <v>3263.31</v>
      </c>
      <c r="G123" s="1" t="s">
        <v>144</v>
      </c>
      <c r="H123" s="2">
        <v>34571</v>
      </c>
      <c r="I123" s="2">
        <v>45537</v>
      </c>
      <c r="J123" s="1">
        <v>42.11</v>
      </c>
      <c r="K123" s="4">
        <f t="shared" si="5"/>
        <v>1374.1798409999999</v>
      </c>
      <c r="L123" s="4">
        <f t="shared" si="6"/>
        <v>1889.130159</v>
      </c>
    </row>
    <row r="124" spans="1:12" x14ac:dyDescent="0.3">
      <c r="A124" s="1">
        <v>1122</v>
      </c>
      <c r="B124" s="2">
        <v>44929</v>
      </c>
      <c r="C124" s="1" t="s">
        <v>35</v>
      </c>
      <c r="D124" s="1" t="s">
        <v>36</v>
      </c>
      <c r="E124" s="1" t="s">
        <v>28</v>
      </c>
      <c r="F124" s="1">
        <v>2326.17</v>
      </c>
      <c r="G124" s="1" t="s">
        <v>145</v>
      </c>
      <c r="H124" s="2">
        <v>23470</v>
      </c>
      <c r="I124" s="2">
        <v>44938</v>
      </c>
      <c r="J124" s="1">
        <v>8.98</v>
      </c>
      <c r="K124" s="4">
        <f t="shared" si="5"/>
        <v>208.89006600000002</v>
      </c>
      <c r="L124" s="4">
        <f t="shared" si="6"/>
        <v>2117.2799340000001</v>
      </c>
    </row>
    <row r="125" spans="1:12" x14ac:dyDescent="0.3">
      <c r="A125" s="1">
        <v>1123</v>
      </c>
      <c r="B125" s="2">
        <v>45807</v>
      </c>
      <c r="C125" s="1" t="s">
        <v>21</v>
      </c>
      <c r="D125" s="1" t="s">
        <v>58</v>
      </c>
      <c r="E125" s="1" t="s">
        <v>31</v>
      </c>
      <c r="F125" s="1">
        <v>4103.01</v>
      </c>
      <c r="G125" s="1" t="s">
        <v>146</v>
      </c>
      <c r="H125" s="2">
        <v>24961</v>
      </c>
      <c r="I125" s="2">
        <v>45812</v>
      </c>
      <c r="J125" s="1">
        <v>0.87</v>
      </c>
      <c r="K125" s="4">
        <f t="shared" si="5"/>
        <v>35.696187000000002</v>
      </c>
      <c r="L125" s="4">
        <f t="shared" si="6"/>
        <v>4067.3138130000002</v>
      </c>
    </row>
    <row r="126" spans="1:12" x14ac:dyDescent="0.3">
      <c r="A126" s="1">
        <v>1124</v>
      </c>
      <c r="B126" s="2">
        <v>45207</v>
      </c>
      <c r="C126" s="1" t="s">
        <v>10</v>
      </c>
      <c r="D126" s="1" t="s">
        <v>30</v>
      </c>
      <c r="E126" s="1" t="s">
        <v>31</v>
      </c>
      <c r="F126" s="1">
        <v>3578.78</v>
      </c>
      <c r="G126" s="1" t="s">
        <v>147</v>
      </c>
      <c r="H126" s="2">
        <v>34343</v>
      </c>
      <c r="I126" s="2">
        <v>45216</v>
      </c>
      <c r="J126" s="1">
        <v>9.4600000000000009</v>
      </c>
      <c r="K126" s="4">
        <f t="shared" si="5"/>
        <v>338.55258800000001</v>
      </c>
      <c r="L126" s="4">
        <f t="shared" si="6"/>
        <v>3240.2274120000002</v>
      </c>
    </row>
    <row r="127" spans="1:12" x14ac:dyDescent="0.3">
      <c r="A127" s="1">
        <v>1125</v>
      </c>
      <c r="B127" s="2">
        <v>44559</v>
      </c>
      <c r="C127" s="1" t="s">
        <v>21</v>
      </c>
      <c r="D127" s="1" t="s">
        <v>22</v>
      </c>
      <c r="E127" s="1" t="s">
        <v>19</v>
      </c>
      <c r="F127" s="1">
        <v>3102.24</v>
      </c>
      <c r="G127" s="1" t="s">
        <v>75</v>
      </c>
      <c r="H127" s="2">
        <v>25853</v>
      </c>
      <c r="I127" s="2">
        <v>44570</v>
      </c>
      <c r="J127" s="1">
        <v>13.12</v>
      </c>
      <c r="K127" s="4">
        <f t="shared" si="5"/>
        <v>407.01388799999989</v>
      </c>
      <c r="L127" s="4">
        <f t="shared" si="6"/>
        <v>2695.2261119999998</v>
      </c>
    </row>
    <row r="128" spans="1:12" x14ac:dyDescent="0.3">
      <c r="A128" s="1">
        <v>1126</v>
      </c>
      <c r="B128" s="2">
        <v>44298</v>
      </c>
      <c r="C128" s="1" t="s">
        <v>10</v>
      </c>
      <c r="D128" s="1" t="s">
        <v>27</v>
      </c>
      <c r="E128" s="1" t="s">
        <v>28</v>
      </c>
      <c r="F128" s="1">
        <v>2539.35</v>
      </c>
      <c r="G128" s="1" t="s">
        <v>62</v>
      </c>
      <c r="H128" s="2">
        <v>22870</v>
      </c>
      <c r="I128" s="2">
        <v>44302</v>
      </c>
      <c r="J128" s="1">
        <v>18.09</v>
      </c>
      <c r="K128" s="4">
        <f t="shared" si="5"/>
        <v>459.36841499999997</v>
      </c>
      <c r="L128" s="4">
        <f t="shared" si="6"/>
        <v>2079.981585</v>
      </c>
    </row>
    <row r="129" spans="1:12" x14ac:dyDescent="0.3">
      <c r="A129" s="1">
        <v>1127</v>
      </c>
      <c r="B129" s="2">
        <v>45488</v>
      </c>
      <c r="C129" s="1" t="s">
        <v>10</v>
      </c>
      <c r="D129" s="1" t="s">
        <v>30</v>
      </c>
      <c r="E129" s="1" t="s">
        <v>31</v>
      </c>
      <c r="F129" s="1">
        <v>1990.67</v>
      </c>
      <c r="G129" s="1" t="s">
        <v>148</v>
      </c>
      <c r="H129" s="2">
        <v>22007</v>
      </c>
      <c r="I129" s="2">
        <v>45495</v>
      </c>
      <c r="J129" s="1">
        <v>1.56</v>
      </c>
      <c r="K129" s="4">
        <f t="shared" si="5"/>
        <v>31.054452000000005</v>
      </c>
      <c r="L129" s="4">
        <f t="shared" si="6"/>
        <v>1959.615548</v>
      </c>
    </row>
    <row r="130" spans="1:12" x14ac:dyDescent="0.3">
      <c r="A130" s="1">
        <v>1128</v>
      </c>
      <c r="B130" s="2">
        <v>45105</v>
      </c>
      <c r="C130" s="1" t="s">
        <v>21</v>
      </c>
      <c r="D130" s="1" t="s">
        <v>55</v>
      </c>
      <c r="E130" s="1" t="s">
        <v>31</v>
      </c>
      <c r="F130" s="1">
        <v>1239.3399999999999</v>
      </c>
      <c r="G130" s="1" t="s">
        <v>149</v>
      </c>
      <c r="H130" s="2">
        <v>26155</v>
      </c>
      <c r="I130" s="2">
        <v>45115</v>
      </c>
      <c r="J130" s="1">
        <v>5.3</v>
      </c>
      <c r="K130" s="4">
        <f t="shared" si="5"/>
        <v>65.685019999999994</v>
      </c>
      <c r="L130" s="4">
        <f t="shared" si="6"/>
        <v>1173.65498</v>
      </c>
    </row>
    <row r="131" spans="1:12" x14ac:dyDescent="0.3">
      <c r="A131" s="1">
        <v>1129</v>
      </c>
      <c r="B131" s="2">
        <v>45034</v>
      </c>
      <c r="C131" s="1" t="s">
        <v>14</v>
      </c>
      <c r="D131" s="1" t="s">
        <v>69</v>
      </c>
      <c r="E131" s="1" t="s">
        <v>31</v>
      </c>
      <c r="F131" s="1">
        <v>585.54999999999995</v>
      </c>
      <c r="G131" s="1" t="s">
        <v>54</v>
      </c>
      <c r="H131" s="2">
        <v>31082</v>
      </c>
      <c r="I131" s="2">
        <v>45038</v>
      </c>
      <c r="J131" s="1">
        <v>49.91</v>
      </c>
      <c r="K131" s="4">
        <f t="shared" ref="K131:K194" si="7">F131*J131%</f>
        <v>292.24800499999998</v>
      </c>
      <c r="L131" s="4">
        <f t="shared" ref="L131:L194" si="8">F131-K131</f>
        <v>293.30199499999998</v>
      </c>
    </row>
    <row r="132" spans="1:12" x14ac:dyDescent="0.3">
      <c r="A132" s="1">
        <v>1130</v>
      </c>
      <c r="B132" s="2">
        <v>45860</v>
      </c>
      <c r="C132" s="1" t="s">
        <v>21</v>
      </c>
      <c r="D132" s="1" t="s">
        <v>24</v>
      </c>
      <c r="E132" s="1" t="s">
        <v>19</v>
      </c>
      <c r="F132" s="1">
        <v>2422.41</v>
      </c>
      <c r="G132" s="1" t="s">
        <v>112</v>
      </c>
      <c r="H132" s="2">
        <v>38171</v>
      </c>
      <c r="I132" s="2">
        <v>45862</v>
      </c>
      <c r="J132" s="1">
        <v>43.13</v>
      </c>
      <c r="K132" s="4">
        <f t="shared" si="7"/>
        <v>1044.785433</v>
      </c>
      <c r="L132" s="4">
        <f t="shared" si="8"/>
        <v>1377.6245669999998</v>
      </c>
    </row>
    <row r="133" spans="1:12" x14ac:dyDescent="0.3">
      <c r="A133" s="1">
        <v>1131</v>
      </c>
      <c r="B133" s="2">
        <v>44404</v>
      </c>
      <c r="C133" s="1" t="s">
        <v>14</v>
      </c>
      <c r="D133" s="1" t="s">
        <v>102</v>
      </c>
      <c r="E133" s="1" t="s">
        <v>12</v>
      </c>
      <c r="F133" s="1">
        <v>1177.53</v>
      </c>
      <c r="G133" s="1" t="s">
        <v>150</v>
      </c>
      <c r="H133" s="2">
        <v>31231</v>
      </c>
      <c r="I133" s="2">
        <v>44418</v>
      </c>
      <c r="J133" s="1">
        <v>25.34</v>
      </c>
      <c r="K133" s="4">
        <f t="shared" si="7"/>
        <v>298.38610199999999</v>
      </c>
      <c r="L133" s="4">
        <f t="shared" si="8"/>
        <v>879.14389800000004</v>
      </c>
    </row>
    <row r="134" spans="1:12" x14ac:dyDescent="0.3">
      <c r="A134" s="1">
        <v>1132</v>
      </c>
      <c r="B134" s="2">
        <v>45011</v>
      </c>
      <c r="C134" s="1" t="s">
        <v>35</v>
      </c>
      <c r="D134" s="1" t="s">
        <v>65</v>
      </c>
      <c r="E134" s="1" t="s">
        <v>19</v>
      </c>
      <c r="F134" s="1">
        <v>141.16999999999999</v>
      </c>
      <c r="G134" s="1" t="s">
        <v>151</v>
      </c>
      <c r="H134" s="2">
        <v>34427</v>
      </c>
      <c r="I134" s="2">
        <v>45015</v>
      </c>
      <c r="J134" s="1">
        <v>22.75</v>
      </c>
      <c r="K134" s="4">
        <f t="shared" si="7"/>
        <v>32.116174999999998</v>
      </c>
      <c r="L134" s="4">
        <f t="shared" si="8"/>
        <v>109.05382499999999</v>
      </c>
    </row>
    <row r="135" spans="1:12" x14ac:dyDescent="0.3">
      <c r="A135" s="1">
        <v>1133</v>
      </c>
      <c r="B135" s="2">
        <v>44704</v>
      </c>
      <c r="C135" s="1" t="s">
        <v>26</v>
      </c>
      <c r="D135" s="1" t="s">
        <v>53</v>
      </c>
      <c r="E135" s="1" t="s">
        <v>28</v>
      </c>
      <c r="F135" s="1">
        <v>309.52</v>
      </c>
      <c r="G135" s="1" t="s">
        <v>152</v>
      </c>
      <c r="H135" s="2">
        <v>24792</v>
      </c>
      <c r="I135" s="2">
        <v>44718</v>
      </c>
      <c r="J135" s="1">
        <v>38.33</v>
      </c>
      <c r="K135" s="4">
        <f t="shared" si="7"/>
        <v>118.63901599999998</v>
      </c>
      <c r="L135" s="4">
        <f t="shared" si="8"/>
        <v>190.88098400000001</v>
      </c>
    </row>
    <row r="136" spans="1:12" x14ac:dyDescent="0.3">
      <c r="A136" s="1">
        <v>1134</v>
      </c>
      <c r="B136" s="2">
        <v>44910</v>
      </c>
      <c r="C136" s="1" t="s">
        <v>21</v>
      </c>
      <c r="D136" s="1" t="s">
        <v>88</v>
      </c>
      <c r="E136" s="1" t="s">
        <v>16</v>
      </c>
      <c r="F136" s="1">
        <v>3482.39</v>
      </c>
      <c r="G136" s="1" t="s">
        <v>153</v>
      </c>
      <c r="H136" s="2">
        <v>36216</v>
      </c>
      <c r="I136" s="2">
        <v>44912</v>
      </c>
      <c r="J136" s="1">
        <v>34.479999999999997</v>
      </c>
      <c r="K136" s="4">
        <f t="shared" si="7"/>
        <v>1200.7280719999999</v>
      </c>
      <c r="L136" s="4">
        <f t="shared" si="8"/>
        <v>2281.661928</v>
      </c>
    </row>
    <row r="137" spans="1:12" x14ac:dyDescent="0.3">
      <c r="A137" s="1">
        <v>1135</v>
      </c>
      <c r="B137" s="2">
        <v>45173</v>
      </c>
      <c r="C137" s="1" t="s">
        <v>14</v>
      </c>
      <c r="D137" s="1" t="s">
        <v>40</v>
      </c>
      <c r="E137" s="1" t="s">
        <v>16</v>
      </c>
      <c r="F137" s="1">
        <v>186.59</v>
      </c>
      <c r="G137" s="1" t="s">
        <v>154</v>
      </c>
      <c r="H137" s="2">
        <v>32146</v>
      </c>
      <c r="I137" s="2">
        <v>45186</v>
      </c>
      <c r="J137" s="1">
        <v>43.06</v>
      </c>
      <c r="K137" s="4">
        <f t="shared" si="7"/>
        <v>80.34565400000001</v>
      </c>
      <c r="L137" s="4">
        <f t="shared" si="8"/>
        <v>106.24434599999999</v>
      </c>
    </row>
    <row r="138" spans="1:12" x14ac:dyDescent="0.3">
      <c r="A138" s="1">
        <v>1136</v>
      </c>
      <c r="B138" s="2">
        <v>44784</v>
      </c>
      <c r="C138" s="1" t="s">
        <v>35</v>
      </c>
      <c r="D138" s="1" t="s">
        <v>55</v>
      </c>
      <c r="E138" s="1" t="s">
        <v>31</v>
      </c>
      <c r="F138" s="1">
        <v>2204.64</v>
      </c>
      <c r="G138" s="1" t="s">
        <v>132</v>
      </c>
      <c r="H138" s="2">
        <v>34364</v>
      </c>
      <c r="I138" s="2">
        <v>44785</v>
      </c>
      <c r="J138" s="1">
        <v>1.55</v>
      </c>
      <c r="K138" s="4">
        <f t="shared" si="7"/>
        <v>34.17192</v>
      </c>
      <c r="L138" s="4">
        <f t="shared" si="8"/>
        <v>2170.4680799999996</v>
      </c>
    </row>
    <row r="139" spans="1:12" x14ac:dyDescent="0.3">
      <c r="A139" s="1">
        <v>1137</v>
      </c>
      <c r="B139" s="2">
        <v>44556</v>
      </c>
      <c r="C139" s="1" t="s">
        <v>35</v>
      </c>
      <c r="D139" s="1" t="s">
        <v>69</v>
      </c>
      <c r="E139" s="1" t="s">
        <v>31</v>
      </c>
      <c r="F139" s="1">
        <v>472.14</v>
      </c>
      <c r="G139" s="1" t="s">
        <v>155</v>
      </c>
      <c r="H139" s="2">
        <v>27688</v>
      </c>
      <c r="I139" s="2">
        <v>44558</v>
      </c>
      <c r="J139" s="1">
        <v>6.01</v>
      </c>
      <c r="K139" s="4">
        <f t="shared" si="7"/>
        <v>28.375613999999999</v>
      </c>
      <c r="L139" s="4">
        <f t="shared" si="8"/>
        <v>443.764386</v>
      </c>
    </row>
    <row r="140" spans="1:12" x14ac:dyDescent="0.3">
      <c r="A140" s="1">
        <v>1138</v>
      </c>
      <c r="B140" s="2">
        <v>44765</v>
      </c>
      <c r="C140" s="1" t="s">
        <v>10</v>
      </c>
      <c r="D140" s="1" t="s">
        <v>27</v>
      </c>
      <c r="E140" s="1" t="s">
        <v>28</v>
      </c>
      <c r="F140" s="1">
        <v>4691.68</v>
      </c>
      <c r="G140" s="1" t="s">
        <v>156</v>
      </c>
      <c r="H140" s="2">
        <v>38693</v>
      </c>
      <c r="I140" s="2">
        <v>44777</v>
      </c>
      <c r="J140" s="1">
        <v>24.19</v>
      </c>
      <c r="K140" s="4">
        <f t="shared" si="7"/>
        <v>1134.9173920000001</v>
      </c>
      <c r="L140" s="4">
        <f t="shared" si="8"/>
        <v>3556.762608</v>
      </c>
    </row>
    <row r="141" spans="1:12" x14ac:dyDescent="0.3">
      <c r="A141" s="1">
        <v>1139</v>
      </c>
      <c r="B141" s="2">
        <v>45699</v>
      </c>
      <c r="C141" s="1" t="s">
        <v>10</v>
      </c>
      <c r="D141" s="1" t="s">
        <v>47</v>
      </c>
      <c r="E141" s="1" t="s">
        <v>12</v>
      </c>
      <c r="F141" s="1">
        <v>1474.93</v>
      </c>
      <c r="G141" s="1" t="s">
        <v>157</v>
      </c>
      <c r="H141" s="2">
        <v>37189</v>
      </c>
      <c r="I141" s="2">
        <v>45710</v>
      </c>
      <c r="J141" s="1">
        <v>13.15</v>
      </c>
      <c r="K141" s="4">
        <f t="shared" si="7"/>
        <v>193.95329500000003</v>
      </c>
      <c r="L141" s="4">
        <f t="shared" si="8"/>
        <v>1280.976705</v>
      </c>
    </row>
    <row r="142" spans="1:12" x14ac:dyDescent="0.3">
      <c r="A142" s="1">
        <v>1140</v>
      </c>
      <c r="B142" s="2">
        <v>45407</v>
      </c>
      <c r="C142" s="1" t="s">
        <v>26</v>
      </c>
      <c r="D142" s="1" t="s">
        <v>36</v>
      </c>
      <c r="E142" s="1" t="s">
        <v>28</v>
      </c>
      <c r="F142" s="1">
        <v>1790.45</v>
      </c>
      <c r="G142" s="1" t="s">
        <v>90</v>
      </c>
      <c r="H142" s="2">
        <v>29348</v>
      </c>
      <c r="I142" s="2">
        <v>45408</v>
      </c>
      <c r="J142" s="1">
        <v>19.11</v>
      </c>
      <c r="K142" s="4">
        <f t="shared" si="7"/>
        <v>342.15499499999999</v>
      </c>
      <c r="L142" s="4">
        <f t="shared" si="8"/>
        <v>1448.2950049999999</v>
      </c>
    </row>
    <row r="143" spans="1:12" x14ac:dyDescent="0.3">
      <c r="A143" s="1">
        <v>1141</v>
      </c>
      <c r="B143" s="2">
        <v>45878</v>
      </c>
      <c r="C143" s="1" t="s">
        <v>35</v>
      </c>
      <c r="D143" s="1" t="s">
        <v>61</v>
      </c>
      <c r="E143" s="1" t="s">
        <v>19</v>
      </c>
      <c r="F143" s="1">
        <v>808</v>
      </c>
      <c r="G143" s="1" t="s">
        <v>78</v>
      </c>
      <c r="H143" s="2">
        <v>25099</v>
      </c>
      <c r="I143" s="2">
        <v>45883</v>
      </c>
      <c r="J143" s="1">
        <v>23.32</v>
      </c>
      <c r="K143" s="4">
        <f t="shared" si="7"/>
        <v>188.4256</v>
      </c>
      <c r="L143" s="4">
        <f t="shared" si="8"/>
        <v>619.57439999999997</v>
      </c>
    </row>
    <row r="144" spans="1:12" x14ac:dyDescent="0.3">
      <c r="A144" s="1">
        <v>1142</v>
      </c>
      <c r="B144" s="2">
        <v>44208</v>
      </c>
      <c r="C144" s="1" t="s">
        <v>14</v>
      </c>
      <c r="D144" s="1" t="s">
        <v>61</v>
      </c>
      <c r="E144" s="1" t="s">
        <v>19</v>
      </c>
      <c r="F144" s="1">
        <v>1853.63</v>
      </c>
      <c r="G144" s="1" t="s">
        <v>158</v>
      </c>
      <c r="H144" s="2">
        <v>34871</v>
      </c>
      <c r="I144" s="2">
        <v>44219</v>
      </c>
      <c r="J144" s="1">
        <v>22.73</v>
      </c>
      <c r="K144" s="4">
        <f t="shared" si="7"/>
        <v>421.33009900000002</v>
      </c>
      <c r="L144" s="4">
        <f t="shared" si="8"/>
        <v>1432.2999010000001</v>
      </c>
    </row>
    <row r="145" spans="1:12" x14ac:dyDescent="0.3">
      <c r="A145" s="1">
        <v>1143</v>
      </c>
      <c r="B145" s="2">
        <v>44282</v>
      </c>
      <c r="C145" s="1" t="s">
        <v>21</v>
      </c>
      <c r="D145" s="1" t="s">
        <v>71</v>
      </c>
      <c r="E145" s="1" t="s">
        <v>31</v>
      </c>
      <c r="F145" s="1">
        <v>3908.26</v>
      </c>
      <c r="G145" s="1" t="s">
        <v>159</v>
      </c>
      <c r="H145" s="2">
        <v>38194</v>
      </c>
      <c r="I145" s="2">
        <v>44285</v>
      </c>
      <c r="J145" s="1">
        <v>5.22</v>
      </c>
      <c r="K145" s="4">
        <f t="shared" si="7"/>
        <v>204.01117199999999</v>
      </c>
      <c r="L145" s="4">
        <f t="shared" si="8"/>
        <v>3704.2488280000002</v>
      </c>
    </row>
    <row r="146" spans="1:12" x14ac:dyDescent="0.3">
      <c r="A146" s="1">
        <v>1144</v>
      </c>
      <c r="B146" s="2">
        <v>45242</v>
      </c>
      <c r="C146" s="1" t="s">
        <v>21</v>
      </c>
      <c r="D146" s="1" t="s">
        <v>30</v>
      </c>
      <c r="E146" s="1" t="s">
        <v>31</v>
      </c>
      <c r="F146" s="1">
        <v>3609.48</v>
      </c>
      <c r="G146" s="1" t="s">
        <v>43</v>
      </c>
      <c r="H146" s="2">
        <v>30054</v>
      </c>
      <c r="I146" s="2">
        <v>45249</v>
      </c>
      <c r="J146" s="1">
        <v>0.27</v>
      </c>
      <c r="K146" s="4">
        <f t="shared" si="7"/>
        <v>9.7455960000000008</v>
      </c>
      <c r="L146" s="4">
        <f t="shared" si="8"/>
        <v>3599.7344039999998</v>
      </c>
    </row>
    <row r="147" spans="1:12" x14ac:dyDescent="0.3">
      <c r="A147" s="1">
        <v>1145</v>
      </c>
      <c r="B147" s="2">
        <v>44771</v>
      </c>
      <c r="C147" s="1" t="s">
        <v>14</v>
      </c>
      <c r="D147" s="1" t="s">
        <v>11</v>
      </c>
      <c r="E147" s="1" t="s">
        <v>12</v>
      </c>
      <c r="F147" s="1">
        <v>527.39</v>
      </c>
      <c r="G147" s="1" t="s">
        <v>59</v>
      </c>
      <c r="H147" s="2">
        <v>25166</v>
      </c>
      <c r="I147" s="2">
        <v>44780</v>
      </c>
      <c r="J147" s="1">
        <v>14.21</v>
      </c>
      <c r="K147" s="4">
        <f t="shared" si="7"/>
        <v>74.942119000000005</v>
      </c>
      <c r="L147" s="4">
        <f t="shared" si="8"/>
        <v>452.447881</v>
      </c>
    </row>
    <row r="148" spans="1:12" x14ac:dyDescent="0.3">
      <c r="A148" s="1">
        <v>1146</v>
      </c>
      <c r="B148" s="2">
        <v>44893</v>
      </c>
      <c r="C148" s="1" t="s">
        <v>35</v>
      </c>
      <c r="D148" s="1" t="s">
        <v>30</v>
      </c>
      <c r="E148" s="1" t="s">
        <v>31</v>
      </c>
      <c r="F148" s="1">
        <v>3221.4</v>
      </c>
      <c r="G148" s="1" t="s">
        <v>160</v>
      </c>
      <c r="H148" s="2">
        <v>35321</v>
      </c>
      <c r="I148" s="2">
        <v>44900</v>
      </c>
      <c r="J148" s="1">
        <v>14.32</v>
      </c>
      <c r="K148" s="4">
        <f t="shared" si="7"/>
        <v>461.30448000000001</v>
      </c>
      <c r="L148" s="4">
        <f t="shared" si="8"/>
        <v>2760.0955199999999</v>
      </c>
    </row>
    <row r="149" spans="1:12" x14ac:dyDescent="0.3">
      <c r="A149" s="1">
        <v>1147</v>
      </c>
      <c r="B149" s="2">
        <v>44609</v>
      </c>
      <c r="C149" s="1" t="s">
        <v>14</v>
      </c>
      <c r="D149" s="1" t="s">
        <v>69</v>
      </c>
      <c r="E149" s="1" t="s">
        <v>31</v>
      </c>
      <c r="F149" s="1">
        <v>2149.13</v>
      </c>
      <c r="G149" s="1" t="s">
        <v>161</v>
      </c>
      <c r="H149" s="2">
        <v>29386</v>
      </c>
      <c r="I149" s="2">
        <v>44612</v>
      </c>
      <c r="J149" s="1">
        <v>39.03</v>
      </c>
      <c r="K149" s="4">
        <f t="shared" si="7"/>
        <v>838.80543900000009</v>
      </c>
      <c r="L149" s="4">
        <f t="shared" si="8"/>
        <v>1310.3245609999999</v>
      </c>
    </row>
    <row r="150" spans="1:12" x14ac:dyDescent="0.3">
      <c r="A150" s="1">
        <v>1148</v>
      </c>
      <c r="B150" s="2">
        <v>44281</v>
      </c>
      <c r="C150" s="1" t="s">
        <v>21</v>
      </c>
      <c r="D150" s="1" t="s">
        <v>24</v>
      </c>
      <c r="E150" s="1" t="s">
        <v>19</v>
      </c>
      <c r="F150" s="1">
        <v>4310.55</v>
      </c>
      <c r="G150" s="1" t="s">
        <v>162</v>
      </c>
      <c r="H150" s="2">
        <v>32712</v>
      </c>
      <c r="I150" s="2">
        <v>44282</v>
      </c>
      <c r="J150" s="1">
        <v>19.37</v>
      </c>
      <c r="K150" s="4">
        <f t="shared" si="7"/>
        <v>834.9535350000001</v>
      </c>
      <c r="L150" s="4">
        <f t="shared" si="8"/>
        <v>3475.5964650000001</v>
      </c>
    </row>
    <row r="151" spans="1:12" x14ac:dyDescent="0.3">
      <c r="A151" s="1">
        <v>1149</v>
      </c>
      <c r="B151" s="2">
        <v>44709</v>
      </c>
      <c r="C151" s="1" t="s">
        <v>10</v>
      </c>
      <c r="D151" s="1" t="s">
        <v>49</v>
      </c>
      <c r="E151" s="1" t="s">
        <v>12</v>
      </c>
      <c r="F151" s="1">
        <v>4335.75</v>
      </c>
      <c r="G151" s="1" t="s">
        <v>163</v>
      </c>
      <c r="H151" s="2">
        <v>30364</v>
      </c>
      <c r="I151" s="2">
        <v>44715</v>
      </c>
      <c r="J151" s="1">
        <v>8.9700000000000006</v>
      </c>
      <c r="K151" s="4">
        <f t="shared" si="7"/>
        <v>388.91677500000003</v>
      </c>
      <c r="L151" s="4">
        <f t="shared" si="8"/>
        <v>3946.8332249999999</v>
      </c>
    </row>
    <row r="152" spans="1:12" x14ac:dyDescent="0.3">
      <c r="A152" s="1">
        <v>1150</v>
      </c>
      <c r="B152" s="2">
        <v>45252</v>
      </c>
      <c r="C152" s="1" t="s">
        <v>35</v>
      </c>
      <c r="D152" s="1" t="s">
        <v>69</v>
      </c>
      <c r="E152" s="1" t="s">
        <v>12</v>
      </c>
      <c r="F152" s="1">
        <v>3821.32</v>
      </c>
      <c r="G152" s="1" t="s">
        <v>164</v>
      </c>
      <c r="H152" s="2">
        <v>28046</v>
      </c>
      <c r="I152" s="2">
        <v>45263</v>
      </c>
      <c r="J152" s="1">
        <v>26.4</v>
      </c>
      <c r="K152" s="4">
        <f t="shared" si="7"/>
        <v>1008.8284800000001</v>
      </c>
      <c r="L152" s="4">
        <f t="shared" si="8"/>
        <v>2812.49152</v>
      </c>
    </row>
    <row r="153" spans="1:12" x14ac:dyDescent="0.3">
      <c r="A153" s="1">
        <v>1151</v>
      </c>
      <c r="B153" s="2">
        <v>44914</v>
      </c>
      <c r="C153" s="1" t="s">
        <v>10</v>
      </c>
      <c r="D153" s="1" t="s">
        <v>65</v>
      </c>
      <c r="E153" s="1" t="s">
        <v>19</v>
      </c>
      <c r="F153" s="1">
        <v>2012.94</v>
      </c>
      <c r="G153" s="1" t="s">
        <v>165</v>
      </c>
      <c r="H153" s="2">
        <v>29887</v>
      </c>
      <c r="I153" s="2">
        <v>44915</v>
      </c>
      <c r="J153" s="1">
        <v>44.45</v>
      </c>
      <c r="K153" s="4">
        <f t="shared" si="7"/>
        <v>894.75183000000004</v>
      </c>
      <c r="L153" s="4">
        <f t="shared" si="8"/>
        <v>1118.1881699999999</v>
      </c>
    </row>
    <row r="154" spans="1:12" x14ac:dyDescent="0.3">
      <c r="A154" s="1">
        <v>1152</v>
      </c>
      <c r="B154" s="2">
        <v>45518</v>
      </c>
      <c r="C154" s="1" t="s">
        <v>14</v>
      </c>
      <c r="D154" s="1" t="s">
        <v>88</v>
      </c>
      <c r="E154" s="1" t="s">
        <v>16</v>
      </c>
      <c r="F154" s="1">
        <v>4403.59</v>
      </c>
      <c r="G154" s="1" t="s">
        <v>166</v>
      </c>
      <c r="H154" s="2">
        <v>27879</v>
      </c>
      <c r="I154" s="2">
        <v>45526</v>
      </c>
      <c r="J154" s="1">
        <v>20.79</v>
      </c>
      <c r="K154" s="4">
        <f t="shared" si="7"/>
        <v>915.50636100000008</v>
      </c>
      <c r="L154" s="4">
        <f t="shared" si="8"/>
        <v>3488.0836389999999</v>
      </c>
    </row>
    <row r="155" spans="1:12" x14ac:dyDescent="0.3">
      <c r="A155" s="1">
        <v>1153</v>
      </c>
      <c r="B155" s="2">
        <v>45326</v>
      </c>
      <c r="C155" s="1" t="s">
        <v>21</v>
      </c>
      <c r="D155" s="1" t="s">
        <v>33</v>
      </c>
      <c r="E155" s="1" t="s">
        <v>16</v>
      </c>
      <c r="F155" s="1">
        <v>3632.86</v>
      </c>
      <c r="G155" s="1" t="s">
        <v>167</v>
      </c>
      <c r="H155" s="2">
        <v>24672</v>
      </c>
      <c r="I155" s="2">
        <v>45334</v>
      </c>
      <c r="J155" s="1">
        <v>42.47</v>
      </c>
      <c r="K155" s="4">
        <f t="shared" si="7"/>
        <v>1542.875642</v>
      </c>
      <c r="L155" s="4">
        <f t="shared" si="8"/>
        <v>2089.9843580000002</v>
      </c>
    </row>
    <row r="156" spans="1:12" x14ac:dyDescent="0.3">
      <c r="A156" s="1">
        <v>1154</v>
      </c>
      <c r="B156" s="2">
        <v>45488</v>
      </c>
      <c r="C156" s="1" t="s">
        <v>21</v>
      </c>
      <c r="D156" s="1" t="s">
        <v>27</v>
      </c>
      <c r="E156" s="1" t="s">
        <v>28</v>
      </c>
      <c r="F156" s="1">
        <v>2638.14</v>
      </c>
      <c r="G156" s="1" t="s">
        <v>168</v>
      </c>
      <c r="H156" s="2">
        <v>37674</v>
      </c>
      <c r="I156" s="2">
        <v>45496</v>
      </c>
      <c r="J156" s="1">
        <v>39.82</v>
      </c>
      <c r="K156" s="4">
        <f t="shared" si="7"/>
        <v>1050.5073479999999</v>
      </c>
      <c r="L156" s="4">
        <f t="shared" si="8"/>
        <v>1587.632652</v>
      </c>
    </row>
    <row r="157" spans="1:12" x14ac:dyDescent="0.3">
      <c r="A157" s="1">
        <v>1155</v>
      </c>
      <c r="B157" s="2">
        <v>44780</v>
      </c>
      <c r="C157" s="1" t="s">
        <v>26</v>
      </c>
      <c r="D157" s="1" t="s">
        <v>53</v>
      </c>
      <c r="E157" s="1" t="s">
        <v>28</v>
      </c>
      <c r="F157" s="1">
        <v>4876.3599999999997</v>
      </c>
      <c r="G157" s="1" t="s">
        <v>169</v>
      </c>
      <c r="H157" s="2">
        <v>37894</v>
      </c>
      <c r="I157" s="2">
        <v>44794</v>
      </c>
      <c r="J157" s="1">
        <v>48.53</v>
      </c>
      <c r="K157" s="4">
        <f t="shared" si="7"/>
        <v>2366.4975079999999</v>
      </c>
      <c r="L157" s="4">
        <f t="shared" si="8"/>
        <v>2509.8624919999997</v>
      </c>
    </row>
    <row r="158" spans="1:12" x14ac:dyDescent="0.3">
      <c r="A158" s="1">
        <v>1156</v>
      </c>
      <c r="B158" s="2">
        <v>45019</v>
      </c>
      <c r="C158" s="1" t="s">
        <v>10</v>
      </c>
      <c r="D158" s="1" t="s">
        <v>11</v>
      </c>
      <c r="E158" s="1" t="s">
        <v>12</v>
      </c>
      <c r="F158" s="1">
        <v>222.74</v>
      </c>
      <c r="G158" s="1" t="s">
        <v>68</v>
      </c>
      <c r="H158" s="2">
        <v>22079</v>
      </c>
      <c r="I158" s="2">
        <v>45031</v>
      </c>
      <c r="J158" s="1">
        <v>25.77</v>
      </c>
      <c r="K158" s="4">
        <f t="shared" si="7"/>
        <v>57.400098</v>
      </c>
      <c r="L158" s="4">
        <f t="shared" si="8"/>
        <v>165.339902</v>
      </c>
    </row>
    <row r="159" spans="1:12" x14ac:dyDescent="0.3">
      <c r="A159" s="1">
        <v>1157</v>
      </c>
      <c r="B159" s="2">
        <v>44954</v>
      </c>
      <c r="C159" s="1" t="s">
        <v>26</v>
      </c>
      <c r="D159" s="1" t="s">
        <v>24</v>
      </c>
      <c r="E159" s="1" t="s">
        <v>19</v>
      </c>
      <c r="F159" s="1">
        <v>1279.19</v>
      </c>
      <c r="G159" s="1" t="s">
        <v>170</v>
      </c>
      <c r="H159" s="2">
        <v>34205</v>
      </c>
      <c r="I159" s="2">
        <v>44960</v>
      </c>
      <c r="J159" s="1">
        <v>43.33</v>
      </c>
      <c r="K159" s="4">
        <f t="shared" si="7"/>
        <v>554.27302699999996</v>
      </c>
      <c r="L159" s="4">
        <f t="shared" si="8"/>
        <v>724.9169730000001</v>
      </c>
    </row>
    <row r="160" spans="1:12" x14ac:dyDescent="0.3">
      <c r="A160" s="1">
        <v>1158</v>
      </c>
      <c r="B160" s="2">
        <v>44956</v>
      </c>
      <c r="C160" s="1" t="s">
        <v>35</v>
      </c>
      <c r="D160" s="1" t="s">
        <v>88</v>
      </c>
      <c r="E160" s="1" t="s">
        <v>16</v>
      </c>
      <c r="F160" s="1">
        <v>355.11</v>
      </c>
      <c r="G160" s="1" t="s">
        <v>79</v>
      </c>
      <c r="H160" s="2">
        <v>28675</v>
      </c>
      <c r="I160" s="2">
        <v>44969</v>
      </c>
      <c r="J160" s="1">
        <v>40.58</v>
      </c>
      <c r="K160" s="4">
        <f t="shared" si="7"/>
        <v>144.10363799999999</v>
      </c>
      <c r="L160" s="4">
        <f t="shared" si="8"/>
        <v>211.00636200000002</v>
      </c>
    </row>
    <row r="161" spans="1:12" x14ac:dyDescent="0.3">
      <c r="A161" s="1">
        <v>1159</v>
      </c>
      <c r="B161" s="2">
        <v>45880</v>
      </c>
      <c r="C161" s="1" t="s">
        <v>26</v>
      </c>
      <c r="D161" s="1" t="s">
        <v>53</v>
      </c>
      <c r="E161" s="1" t="s">
        <v>28</v>
      </c>
      <c r="F161" s="1">
        <v>4313.16</v>
      </c>
      <c r="G161" s="1" t="s">
        <v>171</v>
      </c>
      <c r="H161" s="2">
        <v>31261</v>
      </c>
      <c r="I161" s="2">
        <v>45884</v>
      </c>
      <c r="J161" s="1">
        <v>46.82</v>
      </c>
      <c r="K161" s="4">
        <f t="shared" si="7"/>
        <v>2019.4215119999999</v>
      </c>
      <c r="L161" s="4">
        <f t="shared" si="8"/>
        <v>2293.738488</v>
      </c>
    </row>
    <row r="162" spans="1:12" x14ac:dyDescent="0.3">
      <c r="A162" s="1">
        <v>1160</v>
      </c>
      <c r="B162" s="2">
        <v>45804</v>
      </c>
      <c r="C162" s="1" t="s">
        <v>21</v>
      </c>
      <c r="D162" s="1" t="s">
        <v>44</v>
      </c>
      <c r="E162" s="1" t="s">
        <v>16</v>
      </c>
      <c r="F162" s="1">
        <v>492.96</v>
      </c>
      <c r="G162" s="1" t="s">
        <v>172</v>
      </c>
      <c r="H162" s="2">
        <v>36571</v>
      </c>
      <c r="I162" s="2">
        <v>45814</v>
      </c>
      <c r="J162" s="1">
        <v>21.92</v>
      </c>
      <c r="K162" s="4">
        <f t="shared" si="7"/>
        <v>108.056832</v>
      </c>
      <c r="L162" s="4">
        <f t="shared" si="8"/>
        <v>384.90316799999999</v>
      </c>
    </row>
    <row r="163" spans="1:12" x14ac:dyDescent="0.3">
      <c r="A163" s="1">
        <v>1161</v>
      </c>
      <c r="B163" s="2">
        <v>45796</v>
      </c>
      <c r="C163" s="1" t="s">
        <v>26</v>
      </c>
      <c r="D163" s="1" t="s">
        <v>44</v>
      </c>
      <c r="E163" s="1" t="s">
        <v>16</v>
      </c>
      <c r="F163" s="1">
        <v>1635.84</v>
      </c>
      <c r="G163" s="1" t="s">
        <v>160</v>
      </c>
      <c r="H163" s="2">
        <v>35321</v>
      </c>
      <c r="I163" s="2">
        <v>45804</v>
      </c>
      <c r="J163" s="1">
        <v>5.75</v>
      </c>
      <c r="K163" s="4">
        <f t="shared" si="7"/>
        <v>94.0608</v>
      </c>
      <c r="L163" s="4">
        <f t="shared" si="8"/>
        <v>1541.7791999999999</v>
      </c>
    </row>
    <row r="164" spans="1:12" x14ac:dyDescent="0.3">
      <c r="A164" s="1">
        <v>1162</v>
      </c>
      <c r="B164" s="2">
        <v>45352</v>
      </c>
      <c r="C164" s="1" t="s">
        <v>21</v>
      </c>
      <c r="D164" s="1" t="s">
        <v>49</v>
      </c>
      <c r="E164" s="1" t="s">
        <v>12</v>
      </c>
      <c r="F164" s="1">
        <v>4145.6899999999996</v>
      </c>
      <c r="G164" s="1" t="s">
        <v>96</v>
      </c>
      <c r="H164" s="2">
        <v>36236</v>
      </c>
      <c r="I164" s="2">
        <v>45365</v>
      </c>
      <c r="J164" s="1">
        <v>14.43</v>
      </c>
      <c r="K164" s="4">
        <f t="shared" si="7"/>
        <v>598.2230669999999</v>
      </c>
      <c r="L164" s="4">
        <f t="shared" si="8"/>
        <v>3547.4669329999997</v>
      </c>
    </row>
    <row r="165" spans="1:12" x14ac:dyDescent="0.3">
      <c r="A165" s="1">
        <v>1163</v>
      </c>
      <c r="B165" s="2">
        <v>45008</v>
      </c>
      <c r="C165" s="1" t="s">
        <v>26</v>
      </c>
      <c r="D165" s="1" t="s">
        <v>53</v>
      </c>
      <c r="E165" s="1" t="s">
        <v>28</v>
      </c>
      <c r="F165" s="1">
        <v>4581.34</v>
      </c>
      <c r="G165" s="1" t="s">
        <v>78</v>
      </c>
      <c r="H165" s="2">
        <v>25099</v>
      </c>
      <c r="I165" s="2">
        <v>45010</v>
      </c>
      <c r="J165" s="1">
        <v>32.869999999999997</v>
      </c>
      <c r="K165" s="4">
        <f t="shared" si="7"/>
        <v>1505.8864579999999</v>
      </c>
      <c r="L165" s="4">
        <f t="shared" si="8"/>
        <v>3075.4535420000002</v>
      </c>
    </row>
    <row r="166" spans="1:12" x14ac:dyDescent="0.3">
      <c r="A166" s="1">
        <v>1164</v>
      </c>
      <c r="B166" s="2">
        <v>44551</v>
      </c>
      <c r="C166" s="1" t="s">
        <v>10</v>
      </c>
      <c r="D166" s="1" t="s">
        <v>47</v>
      </c>
      <c r="E166" s="1" t="s">
        <v>12</v>
      </c>
      <c r="F166" s="1">
        <v>1339.01</v>
      </c>
      <c r="G166" s="1" t="s">
        <v>173</v>
      </c>
      <c r="H166" s="2">
        <v>22016</v>
      </c>
      <c r="I166" s="2">
        <v>44553</v>
      </c>
      <c r="J166" s="1">
        <v>22.21</v>
      </c>
      <c r="K166" s="4">
        <f t="shared" si="7"/>
        <v>297.39412100000004</v>
      </c>
      <c r="L166" s="4">
        <f t="shared" si="8"/>
        <v>1041.6158789999999</v>
      </c>
    </row>
    <row r="167" spans="1:12" x14ac:dyDescent="0.3">
      <c r="A167" s="1">
        <v>1165</v>
      </c>
      <c r="B167" s="2">
        <v>45742</v>
      </c>
      <c r="C167" s="1" t="s">
        <v>14</v>
      </c>
      <c r="D167" s="1" t="s">
        <v>15</v>
      </c>
      <c r="E167" s="1" t="s">
        <v>16</v>
      </c>
      <c r="F167" s="1">
        <v>2790.45</v>
      </c>
      <c r="G167" s="1" t="s">
        <v>157</v>
      </c>
      <c r="H167" s="2">
        <v>37189</v>
      </c>
      <c r="I167" s="2">
        <v>45752</v>
      </c>
      <c r="J167" s="1">
        <v>6.5</v>
      </c>
      <c r="K167" s="4">
        <f t="shared" si="7"/>
        <v>181.37924999999998</v>
      </c>
      <c r="L167" s="4">
        <f t="shared" si="8"/>
        <v>2609.0707499999999</v>
      </c>
    </row>
    <row r="168" spans="1:12" x14ac:dyDescent="0.3">
      <c r="A168" s="1">
        <v>1166</v>
      </c>
      <c r="B168" s="2">
        <v>44783</v>
      </c>
      <c r="C168" s="1" t="s">
        <v>10</v>
      </c>
      <c r="D168" s="1" t="s">
        <v>24</v>
      </c>
      <c r="E168" s="1" t="s">
        <v>19</v>
      </c>
      <c r="F168" s="1">
        <v>720.87</v>
      </c>
      <c r="G168" s="1" t="s">
        <v>174</v>
      </c>
      <c r="H168" s="2">
        <v>38118</v>
      </c>
      <c r="I168" s="2">
        <v>44791</v>
      </c>
      <c r="J168" s="1">
        <v>21.76</v>
      </c>
      <c r="K168" s="4">
        <f t="shared" si="7"/>
        <v>156.861312</v>
      </c>
      <c r="L168" s="4">
        <f t="shared" si="8"/>
        <v>564.00868800000001</v>
      </c>
    </row>
    <row r="169" spans="1:12" x14ac:dyDescent="0.3">
      <c r="A169" s="1">
        <v>1167</v>
      </c>
      <c r="B169" s="2">
        <v>45151</v>
      </c>
      <c r="C169" s="1" t="s">
        <v>21</v>
      </c>
      <c r="D169" s="1" t="s">
        <v>58</v>
      </c>
      <c r="E169" s="1" t="s">
        <v>31</v>
      </c>
      <c r="F169" s="1">
        <v>1782.75</v>
      </c>
      <c r="G169" s="1" t="s">
        <v>175</v>
      </c>
      <c r="H169" s="2">
        <v>36623</v>
      </c>
      <c r="I169" s="2">
        <v>45156</v>
      </c>
      <c r="J169" s="1">
        <v>9.26</v>
      </c>
      <c r="K169" s="4">
        <f t="shared" si="7"/>
        <v>165.08265</v>
      </c>
      <c r="L169" s="4">
        <f t="shared" si="8"/>
        <v>1617.6673499999999</v>
      </c>
    </row>
    <row r="170" spans="1:12" x14ac:dyDescent="0.3">
      <c r="A170" s="1">
        <v>1168</v>
      </c>
      <c r="B170" s="2">
        <v>45093</v>
      </c>
      <c r="C170" s="1" t="s">
        <v>14</v>
      </c>
      <c r="D170" s="1" t="s">
        <v>44</v>
      </c>
      <c r="E170" s="1" t="s">
        <v>16</v>
      </c>
      <c r="F170" s="1">
        <v>2529.54</v>
      </c>
      <c r="G170" s="1" t="s">
        <v>72</v>
      </c>
      <c r="H170" s="2">
        <v>32992</v>
      </c>
      <c r="I170" s="2">
        <v>45094</v>
      </c>
      <c r="J170" s="1">
        <v>35.01</v>
      </c>
      <c r="K170" s="4">
        <f t="shared" si="7"/>
        <v>885.59195399999987</v>
      </c>
      <c r="L170" s="4">
        <f t="shared" si="8"/>
        <v>1643.948046</v>
      </c>
    </row>
    <row r="171" spans="1:12" x14ac:dyDescent="0.3">
      <c r="A171" s="1">
        <v>1169</v>
      </c>
      <c r="B171" s="2">
        <v>44225</v>
      </c>
      <c r="C171" s="1" t="s">
        <v>14</v>
      </c>
      <c r="D171" s="1" t="s">
        <v>24</v>
      </c>
      <c r="E171" s="1" t="s">
        <v>19</v>
      </c>
      <c r="F171" s="1">
        <v>456.09</v>
      </c>
      <c r="G171" s="1" t="s">
        <v>143</v>
      </c>
      <c r="H171" s="2">
        <v>37490</v>
      </c>
      <c r="I171" s="2">
        <v>44233</v>
      </c>
      <c r="J171" s="1">
        <v>45.07</v>
      </c>
      <c r="K171" s="4">
        <f t="shared" si="7"/>
        <v>205.55976299999998</v>
      </c>
      <c r="L171" s="4">
        <f t="shared" si="8"/>
        <v>250.530237</v>
      </c>
    </row>
    <row r="172" spans="1:12" x14ac:dyDescent="0.3">
      <c r="A172" s="1">
        <v>1170</v>
      </c>
      <c r="B172" s="2">
        <v>44998</v>
      </c>
      <c r="C172" s="1" t="s">
        <v>26</v>
      </c>
      <c r="D172" s="1" t="s">
        <v>69</v>
      </c>
      <c r="E172" s="1" t="s">
        <v>31</v>
      </c>
      <c r="F172" s="1">
        <v>1253.77</v>
      </c>
      <c r="G172" s="1" t="s">
        <v>132</v>
      </c>
      <c r="H172" s="2">
        <v>34364</v>
      </c>
      <c r="I172" s="2">
        <v>45011</v>
      </c>
      <c r="J172" s="1">
        <v>10.24</v>
      </c>
      <c r="K172" s="4">
        <f t="shared" si="7"/>
        <v>128.38604800000002</v>
      </c>
      <c r="L172" s="4">
        <f t="shared" si="8"/>
        <v>1125.3839519999999</v>
      </c>
    </row>
    <row r="173" spans="1:12" x14ac:dyDescent="0.3">
      <c r="A173" s="1">
        <v>1171</v>
      </c>
      <c r="B173" s="2">
        <v>45820</v>
      </c>
      <c r="C173" s="1" t="s">
        <v>35</v>
      </c>
      <c r="D173" s="1" t="s">
        <v>24</v>
      </c>
      <c r="E173" s="1" t="s">
        <v>19</v>
      </c>
      <c r="F173" s="1">
        <v>271.82</v>
      </c>
      <c r="G173" s="1" t="s">
        <v>163</v>
      </c>
      <c r="H173" s="2">
        <v>30364</v>
      </c>
      <c r="I173" s="2">
        <v>45824</v>
      </c>
      <c r="J173" s="1">
        <v>42.03</v>
      </c>
      <c r="K173" s="4">
        <f t="shared" si="7"/>
        <v>114.245946</v>
      </c>
      <c r="L173" s="4">
        <f t="shared" si="8"/>
        <v>157.57405399999999</v>
      </c>
    </row>
    <row r="174" spans="1:12" x14ac:dyDescent="0.3">
      <c r="A174" s="1">
        <v>1172</v>
      </c>
      <c r="B174" s="2">
        <v>44617</v>
      </c>
      <c r="C174" s="1" t="s">
        <v>14</v>
      </c>
      <c r="D174" s="1" t="s">
        <v>55</v>
      </c>
      <c r="E174" s="1" t="s">
        <v>31</v>
      </c>
      <c r="F174" s="1">
        <v>3804.2</v>
      </c>
      <c r="G174" s="1" t="s">
        <v>167</v>
      </c>
      <c r="H174" s="2">
        <v>24672</v>
      </c>
      <c r="I174" s="2">
        <v>44620</v>
      </c>
      <c r="J174" s="1">
        <v>27.88</v>
      </c>
      <c r="K174" s="4">
        <f t="shared" si="7"/>
        <v>1060.61096</v>
      </c>
      <c r="L174" s="4">
        <f t="shared" si="8"/>
        <v>2743.5890399999998</v>
      </c>
    </row>
    <row r="175" spans="1:12" x14ac:dyDescent="0.3">
      <c r="A175" s="1">
        <v>1173</v>
      </c>
      <c r="B175" s="2">
        <v>44561</v>
      </c>
      <c r="C175" s="1" t="s">
        <v>26</v>
      </c>
      <c r="D175" s="1" t="s">
        <v>55</v>
      </c>
      <c r="E175" s="1" t="s">
        <v>31</v>
      </c>
      <c r="F175" s="1">
        <v>3327.36</v>
      </c>
      <c r="G175" s="1" t="s">
        <v>126</v>
      </c>
      <c r="H175" s="2">
        <v>28644</v>
      </c>
      <c r="I175" s="2">
        <v>44567</v>
      </c>
      <c r="J175" s="1">
        <v>43.29</v>
      </c>
      <c r="K175" s="4">
        <f t="shared" si="7"/>
        <v>1440.4141440000001</v>
      </c>
      <c r="L175" s="4">
        <f t="shared" si="8"/>
        <v>1886.945856</v>
      </c>
    </row>
    <row r="176" spans="1:12" x14ac:dyDescent="0.3">
      <c r="A176" s="1">
        <v>1174</v>
      </c>
      <c r="B176" s="2">
        <v>44498</v>
      </c>
      <c r="C176" s="1" t="s">
        <v>35</v>
      </c>
      <c r="D176" s="1" t="s">
        <v>30</v>
      </c>
      <c r="E176" s="1" t="s">
        <v>31</v>
      </c>
      <c r="F176" s="1">
        <v>4323.72</v>
      </c>
      <c r="G176" s="1" t="s">
        <v>29</v>
      </c>
      <c r="H176" s="2">
        <v>24033</v>
      </c>
      <c r="I176" s="2">
        <v>44501</v>
      </c>
      <c r="J176" s="1">
        <v>40.82</v>
      </c>
      <c r="K176" s="4">
        <f t="shared" si="7"/>
        <v>1764.9425040000001</v>
      </c>
      <c r="L176" s="4">
        <f t="shared" si="8"/>
        <v>2558.7774960000002</v>
      </c>
    </row>
    <row r="177" spans="1:12" x14ac:dyDescent="0.3">
      <c r="A177" s="1">
        <v>1175</v>
      </c>
      <c r="B177" s="2">
        <v>44844</v>
      </c>
      <c r="C177" s="1" t="s">
        <v>14</v>
      </c>
      <c r="D177" s="1" t="s">
        <v>49</v>
      </c>
      <c r="E177" s="1" t="s">
        <v>12</v>
      </c>
      <c r="F177" s="1">
        <v>4240.53</v>
      </c>
      <c r="G177" s="1" t="s">
        <v>176</v>
      </c>
      <c r="H177" s="2">
        <v>33282</v>
      </c>
      <c r="I177" s="2">
        <v>44856</v>
      </c>
      <c r="J177" s="1">
        <v>1.84</v>
      </c>
      <c r="K177" s="4">
        <f t="shared" si="7"/>
        <v>78.025751999999997</v>
      </c>
      <c r="L177" s="4">
        <f t="shared" si="8"/>
        <v>4162.5042480000002</v>
      </c>
    </row>
    <row r="178" spans="1:12" x14ac:dyDescent="0.3">
      <c r="A178" s="1">
        <v>1176</v>
      </c>
      <c r="B178" s="2">
        <v>44490</v>
      </c>
      <c r="C178" s="1" t="s">
        <v>10</v>
      </c>
      <c r="D178" s="1" t="s">
        <v>11</v>
      </c>
      <c r="E178" s="1" t="s">
        <v>12</v>
      </c>
      <c r="F178" s="1">
        <v>365.08</v>
      </c>
      <c r="G178" s="1" t="s">
        <v>177</v>
      </c>
      <c r="H178" s="2">
        <v>22927</v>
      </c>
      <c r="I178" s="2">
        <v>44493</v>
      </c>
      <c r="J178" s="1">
        <v>19.37</v>
      </c>
      <c r="K178" s="4">
        <f t="shared" si="7"/>
        <v>70.715996000000004</v>
      </c>
      <c r="L178" s="4">
        <f t="shared" si="8"/>
        <v>294.36400399999997</v>
      </c>
    </row>
    <row r="179" spans="1:12" x14ac:dyDescent="0.3">
      <c r="A179" s="1">
        <v>1177</v>
      </c>
      <c r="B179" s="2">
        <v>44469</v>
      </c>
      <c r="C179" s="1" t="s">
        <v>14</v>
      </c>
      <c r="D179" s="1" t="s">
        <v>30</v>
      </c>
      <c r="E179" s="1" t="s">
        <v>31</v>
      </c>
      <c r="F179" s="1">
        <v>2760.09</v>
      </c>
      <c r="G179" s="1" t="s">
        <v>178</v>
      </c>
      <c r="H179" s="2">
        <v>23890</v>
      </c>
      <c r="I179" s="2">
        <v>44481</v>
      </c>
      <c r="J179" s="1">
        <v>45.94</v>
      </c>
      <c r="K179" s="4">
        <f t="shared" si="7"/>
        <v>1267.9853459999999</v>
      </c>
      <c r="L179" s="4">
        <f t="shared" si="8"/>
        <v>1492.1046540000002</v>
      </c>
    </row>
    <row r="180" spans="1:12" x14ac:dyDescent="0.3">
      <c r="A180" s="1">
        <v>1178</v>
      </c>
      <c r="B180" s="2">
        <v>44255</v>
      </c>
      <c r="C180" s="1" t="s">
        <v>35</v>
      </c>
      <c r="D180" s="1" t="s">
        <v>61</v>
      </c>
      <c r="E180" s="1" t="s">
        <v>19</v>
      </c>
      <c r="F180" s="1">
        <v>3846</v>
      </c>
      <c r="G180" s="1" t="s">
        <v>179</v>
      </c>
      <c r="H180" s="2">
        <v>30356</v>
      </c>
      <c r="I180" s="2">
        <v>44256</v>
      </c>
      <c r="J180" s="1">
        <v>1.22</v>
      </c>
      <c r="K180" s="4">
        <f t="shared" si="7"/>
        <v>46.921199999999999</v>
      </c>
      <c r="L180" s="4">
        <f t="shared" si="8"/>
        <v>3799.0788000000002</v>
      </c>
    </row>
    <row r="181" spans="1:12" x14ac:dyDescent="0.3">
      <c r="A181" s="1">
        <v>1179</v>
      </c>
      <c r="B181" s="2">
        <v>44307</v>
      </c>
      <c r="C181" s="1" t="s">
        <v>26</v>
      </c>
      <c r="D181" s="1" t="s">
        <v>47</v>
      </c>
      <c r="E181" s="1" t="s">
        <v>12</v>
      </c>
      <c r="F181" s="1">
        <v>319.27999999999997</v>
      </c>
      <c r="G181" s="1" t="s">
        <v>180</v>
      </c>
      <c r="H181" s="2">
        <v>25163</v>
      </c>
      <c r="I181" s="2">
        <v>44319</v>
      </c>
      <c r="J181" s="1">
        <v>34.58</v>
      </c>
      <c r="K181" s="4">
        <f t="shared" si="7"/>
        <v>110.40702399999999</v>
      </c>
      <c r="L181" s="4">
        <f t="shared" si="8"/>
        <v>208.87297599999999</v>
      </c>
    </row>
    <row r="182" spans="1:12" x14ac:dyDescent="0.3">
      <c r="A182" s="1">
        <v>1180</v>
      </c>
      <c r="B182" s="2">
        <v>44632</v>
      </c>
      <c r="C182" s="1" t="s">
        <v>14</v>
      </c>
      <c r="D182" s="1" t="s">
        <v>11</v>
      </c>
      <c r="E182" s="1" t="s">
        <v>12</v>
      </c>
      <c r="F182" s="1">
        <v>4801.1000000000004</v>
      </c>
      <c r="G182" s="1" t="s">
        <v>85</v>
      </c>
      <c r="H182" s="2">
        <v>37236</v>
      </c>
      <c r="I182" s="2">
        <v>44645</v>
      </c>
      <c r="J182" s="1">
        <v>46.21</v>
      </c>
      <c r="K182" s="4">
        <f t="shared" si="7"/>
        <v>2218.5883100000001</v>
      </c>
      <c r="L182" s="4">
        <f t="shared" si="8"/>
        <v>2582.5116900000003</v>
      </c>
    </row>
    <row r="183" spans="1:12" x14ac:dyDescent="0.3">
      <c r="A183" s="1">
        <v>1181</v>
      </c>
      <c r="B183" s="2">
        <v>44779</v>
      </c>
      <c r="C183" s="1" t="s">
        <v>14</v>
      </c>
      <c r="D183" s="1" t="s">
        <v>47</v>
      </c>
      <c r="E183" s="1" t="s">
        <v>12</v>
      </c>
      <c r="F183" s="1">
        <v>2518.65</v>
      </c>
      <c r="G183" s="1" t="s">
        <v>181</v>
      </c>
      <c r="H183" s="2">
        <v>25222</v>
      </c>
      <c r="I183" s="2">
        <v>44782</v>
      </c>
      <c r="J183" s="1">
        <v>18.14</v>
      </c>
      <c r="K183" s="4">
        <f t="shared" si="7"/>
        <v>456.88311000000004</v>
      </c>
      <c r="L183" s="4">
        <f t="shared" si="8"/>
        <v>2061.7668899999999</v>
      </c>
    </row>
    <row r="184" spans="1:12" x14ac:dyDescent="0.3">
      <c r="A184" s="1">
        <v>1182</v>
      </c>
      <c r="B184" s="2">
        <v>44255</v>
      </c>
      <c r="C184" s="1" t="s">
        <v>14</v>
      </c>
      <c r="D184" s="1" t="s">
        <v>73</v>
      </c>
      <c r="E184" s="1" t="s">
        <v>28</v>
      </c>
      <c r="F184" s="1">
        <v>842.21</v>
      </c>
      <c r="G184" s="1" t="s">
        <v>182</v>
      </c>
      <c r="H184" s="2">
        <v>24719</v>
      </c>
      <c r="I184" s="2">
        <v>44258</v>
      </c>
      <c r="J184" s="1">
        <v>32.22</v>
      </c>
      <c r="K184" s="4">
        <f t="shared" si="7"/>
        <v>271.36006200000003</v>
      </c>
      <c r="L184" s="4">
        <f t="shared" si="8"/>
        <v>570.84993800000007</v>
      </c>
    </row>
    <row r="185" spans="1:12" x14ac:dyDescent="0.3">
      <c r="A185" s="1">
        <v>1183</v>
      </c>
      <c r="B185" s="2">
        <v>44414</v>
      </c>
      <c r="C185" s="1" t="s">
        <v>14</v>
      </c>
      <c r="D185" s="1" t="s">
        <v>33</v>
      </c>
      <c r="E185" s="1" t="s">
        <v>16</v>
      </c>
      <c r="F185" s="1">
        <v>1084.71</v>
      </c>
      <c r="G185" s="1" t="s">
        <v>121</v>
      </c>
      <c r="H185" s="2">
        <v>24580</v>
      </c>
      <c r="I185" s="2">
        <v>44424</v>
      </c>
      <c r="J185" s="1">
        <v>36.89</v>
      </c>
      <c r="K185" s="4">
        <f t="shared" si="7"/>
        <v>400.149519</v>
      </c>
      <c r="L185" s="4">
        <f t="shared" si="8"/>
        <v>684.56048099999998</v>
      </c>
    </row>
    <row r="186" spans="1:12" x14ac:dyDescent="0.3">
      <c r="A186" s="1">
        <v>1184</v>
      </c>
      <c r="B186" s="2">
        <v>44227</v>
      </c>
      <c r="C186" s="1" t="s">
        <v>21</v>
      </c>
      <c r="D186" s="1" t="s">
        <v>38</v>
      </c>
      <c r="E186" s="1" t="s">
        <v>28</v>
      </c>
      <c r="F186" s="1">
        <v>2092.31</v>
      </c>
      <c r="G186" s="1" t="s">
        <v>183</v>
      </c>
      <c r="H186" s="2">
        <v>32359</v>
      </c>
      <c r="I186" s="2">
        <v>44234</v>
      </c>
      <c r="J186" s="1">
        <v>41.77</v>
      </c>
      <c r="K186" s="4">
        <f t="shared" si="7"/>
        <v>873.95788700000003</v>
      </c>
      <c r="L186" s="4">
        <f t="shared" si="8"/>
        <v>1218.3521129999999</v>
      </c>
    </row>
    <row r="187" spans="1:12" x14ac:dyDescent="0.3">
      <c r="A187" s="1">
        <v>1185</v>
      </c>
      <c r="B187" s="2">
        <v>44174</v>
      </c>
      <c r="C187" s="1" t="s">
        <v>14</v>
      </c>
      <c r="D187" s="1" t="s">
        <v>33</v>
      </c>
      <c r="E187" s="1" t="s">
        <v>16</v>
      </c>
      <c r="F187" s="1">
        <v>3301.51</v>
      </c>
      <c r="G187" s="1" t="s">
        <v>184</v>
      </c>
      <c r="H187" s="2">
        <v>29547</v>
      </c>
      <c r="I187" s="2">
        <v>44180</v>
      </c>
      <c r="J187" s="1">
        <v>14.54</v>
      </c>
      <c r="K187" s="4">
        <f t="shared" si="7"/>
        <v>480.03955400000001</v>
      </c>
      <c r="L187" s="4">
        <f t="shared" si="8"/>
        <v>2821.4704460000003</v>
      </c>
    </row>
    <row r="188" spans="1:12" x14ac:dyDescent="0.3">
      <c r="A188" s="1">
        <v>1186</v>
      </c>
      <c r="B188" s="2">
        <v>45520</v>
      </c>
      <c r="C188" s="1" t="s">
        <v>26</v>
      </c>
      <c r="D188" s="1" t="s">
        <v>49</v>
      </c>
      <c r="E188" s="1" t="s">
        <v>12</v>
      </c>
      <c r="F188" s="1">
        <v>4889.82</v>
      </c>
      <c r="G188" s="1" t="s">
        <v>185</v>
      </c>
      <c r="H188" s="2">
        <v>36384</v>
      </c>
      <c r="I188" s="2">
        <v>45534</v>
      </c>
      <c r="J188" s="1">
        <v>26.73</v>
      </c>
      <c r="K188" s="4">
        <f t="shared" si="7"/>
        <v>1307.0488859999998</v>
      </c>
      <c r="L188" s="4">
        <f t="shared" si="8"/>
        <v>3582.7711140000001</v>
      </c>
    </row>
    <row r="189" spans="1:12" x14ac:dyDescent="0.3">
      <c r="A189" s="1">
        <v>1187</v>
      </c>
      <c r="B189" s="2">
        <v>45444</v>
      </c>
      <c r="C189" s="1" t="s">
        <v>35</v>
      </c>
      <c r="D189" s="1" t="s">
        <v>71</v>
      </c>
      <c r="E189" s="1" t="s">
        <v>31</v>
      </c>
      <c r="F189" s="1">
        <v>1596.91</v>
      </c>
      <c r="G189" s="1" t="s">
        <v>122</v>
      </c>
      <c r="H189" s="2">
        <v>29720</v>
      </c>
      <c r="I189" s="2">
        <v>45453</v>
      </c>
      <c r="J189" s="1">
        <v>23.65</v>
      </c>
      <c r="K189" s="4">
        <f t="shared" si="7"/>
        <v>377.66921500000001</v>
      </c>
      <c r="L189" s="4">
        <f t="shared" si="8"/>
        <v>1219.240785</v>
      </c>
    </row>
    <row r="190" spans="1:12" x14ac:dyDescent="0.3">
      <c r="A190" s="1">
        <v>1188</v>
      </c>
      <c r="B190" s="2">
        <v>45667</v>
      </c>
      <c r="C190" s="1" t="s">
        <v>35</v>
      </c>
      <c r="D190" s="1" t="s">
        <v>88</v>
      </c>
      <c r="E190" s="1" t="s">
        <v>16</v>
      </c>
      <c r="F190" s="1">
        <v>746.87</v>
      </c>
      <c r="G190" s="1" t="s">
        <v>186</v>
      </c>
      <c r="H190" s="2">
        <v>39193</v>
      </c>
      <c r="I190" s="2">
        <v>45670</v>
      </c>
      <c r="J190" s="1">
        <v>42.9</v>
      </c>
      <c r="K190" s="4">
        <f t="shared" si="7"/>
        <v>320.40722999999997</v>
      </c>
      <c r="L190" s="4">
        <f t="shared" si="8"/>
        <v>426.46277000000003</v>
      </c>
    </row>
    <row r="191" spans="1:12" x14ac:dyDescent="0.3">
      <c r="A191" s="1">
        <v>1189</v>
      </c>
      <c r="B191" s="2">
        <v>45333</v>
      </c>
      <c r="C191" s="1" t="s">
        <v>35</v>
      </c>
      <c r="D191" s="1" t="s">
        <v>65</v>
      </c>
      <c r="E191" s="1" t="s">
        <v>19</v>
      </c>
      <c r="F191" s="1">
        <v>2712.97</v>
      </c>
      <c r="G191" s="1" t="s">
        <v>187</v>
      </c>
      <c r="H191" s="2">
        <v>30778</v>
      </c>
      <c r="I191" s="2">
        <v>45344</v>
      </c>
      <c r="J191" s="1">
        <v>6.89</v>
      </c>
      <c r="K191" s="4">
        <f t="shared" si="7"/>
        <v>186.923633</v>
      </c>
      <c r="L191" s="4">
        <f t="shared" si="8"/>
        <v>2526.0463669999999</v>
      </c>
    </row>
    <row r="192" spans="1:12" x14ac:dyDescent="0.3">
      <c r="A192" s="1">
        <v>1190</v>
      </c>
      <c r="B192" s="2">
        <v>44120</v>
      </c>
      <c r="C192" s="1" t="s">
        <v>10</v>
      </c>
      <c r="D192" s="1" t="s">
        <v>15</v>
      </c>
      <c r="E192" s="1" t="s">
        <v>16</v>
      </c>
      <c r="F192" s="1">
        <v>4441.87</v>
      </c>
      <c r="G192" s="1" t="s">
        <v>184</v>
      </c>
      <c r="H192" s="2">
        <v>29547</v>
      </c>
      <c r="I192" s="2">
        <v>44123</v>
      </c>
      <c r="J192" s="1">
        <v>1.02</v>
      </c>
      <c r="K192" s="4">
        <f t="shared" si="7"/>
        <v>45.307074</v>
      </c>
      <c r="L192" s="4">
        <f t="shared" si="8"/>
        <v>4396.5629259999996</v>
      </c>
    </row>
    <row r="193" spans="1:12" x14ac:dyDescent="0.3">
      <c r="A193" s="1">
        <v>1191</v>
      </c>
      <c r="B193" s="2">
        <v>45266</v>
      </c>
      <c r="C193" s="1" t="s">
        <v>14</v>
      </c>
      <c r="D193" s="1" t="s">
        <v>55</v>
      </c>
      <c r="E193" s="1" t="s">
        <v>31</v>
      </c>
      <c r="F193" s="1">
        <v>4864.68</v>
      </c>
      <c r="G193" s="1" t="s">
        <v>188</v>
      </c>
      <c r="H193" s="2">
        <v>31467</v>
      </c>
      <c r="I193" s="2">
        <v>45277</v>
      </c>
      <c r="J193" s="1">
        <v>35.32</v>
      </c>
      <c r="K193" s="4">
        <f t="shared" si="7"/>
        <v>1718.2049760000002</v>
      </c>
      <c r="L193" s="4">
        <f t="shared" si="8"/>
        <v>3146.4750240000003</v>
      </c>
    </row>
    <row r="194" spans="1:12" x14ac:dyDescent="0.3">
      <c r="A194" s="1">
        <v>1192</v>
      </c>
      <c r="B194" s="2">
        <v>44285</v>
      </c>
      <c r="C194" s="1" t="s">
        <v>35</v>
      </c>
      <c r="D194" s="1" t="s">
        <v>27</v>
      </c>
      <c r="E194" s="1" t="s">
        <v>28</v>
      </c>
      <c r="F194" s="1">
        <v>4013.62</v>
      </c>
      <c r="G194" s="1" t="s">
        <v>189</v>
      </c>
      <c r="H194" s="2">
        <v>34164</v>
      </c>
      <c r="I194" s="2">
        <v>44292</v>
      </c>
      <c r="J194" s="1">
        <v>45.04</v>
      </c>
      <c r="K194" s="4">
        <f t="shared" si="7"/>
        <v>1807.7344479999999</v>
      </c>
      <c r="L194" s="4">
        <f t="shared" si="8"/>
        <v>2205.8855519999997</v>
      </c>
    </row>
    <row r="195" spans="1:12" x14ac:dyDescent="0.3">
      <c r="A195" s="1">
        <v>1193</v>
      </c>
      <c r="B195" s="2">
        <v>45437</v>
      </c>
      <c r="C195" s="1" t="s">
        <v>14</v>
      </c>
      <c r="D195" s="1" t="s">
        <v>36</v>
      </c>
      <c r="E195" s="1" t="s">
        <v>28</v>
      </c>
      <c r="F195" s="1">
        <v>3465.02</v>
      </c>
      <c r="G195" s="1" t="s">
        <v>190</v>
      </c>
      <c r="H195" s="2">
        <v>33354</v>
      </c>
      <c r="I195" s="2">
        <v>45449</v>
      </c>
      <c r="J195" s="1">
        <v>18.989999999999998</v>
      </c>
      <c r="K195" s="4">
        <f t="shared" ref="K195:K258" si="9">F195*J195%</f>
        <v>658.00729799999999</v>
      </c>
      <c r="L195" s="4">
        <f t="shared" ref="L195:L258" si="10">F195-K195</f>
        <v>2807.012702</v>
      </c>
    </row>
    <row r="196" spans="1:12" x14ac:dyDescent="0.3">
      <c r="A196" s="1">
        <v>1194</v>
      </c>
      <c r="B196" s="2">
        <v>45746</v>
      </c>
      <c r="C196" s="1" t="s">
        <v>14</v>
      </c>
      <c r="D196" s="1" t="s">
        <v>65</v>
      </c>
      <c r="E196" s="1" t="s">
        <v>19</v>
      </c>
      <c r="F196" s="1">
        <v>4434.63</v>
      </c>
      <c r="G196" s="1" t="s">
        <v>191</v>
      </c>
      <c r="H196" s="2">
        <v>37495</v>
      </c>
      <c r="I196" s="2">
        <v>45750</v>
      </c>
      <c r="J196" s="1">
        <v>35.770000000000003</v>
      </c>
      <c r="K196" s="4">
        <f t="shared" si="9"/>
        <v>1586.267151</v>
      </c>
      <c r="L196" s="4">
        <f t="shared" si="10"/>
        <v>2848.3628490000001</v>
      </c>
    </row>
    <row r="197" spans="1:12" x14ac:dyDescent="0.3">
      <c r="A197" s="1">
        <v>1195</v>
      </c>
      <c r="B197" s="2">
        <v>45831</v>
      </c>
      <c r="C197" s="1" t="s">
        <v>21</v>
      </c>
      <c r="D197" s="1" t="s">
        <v>53</v>
      </c>
      <c r="E197" s="1" t="s">
        <v>28</v>
      </c>
      <c r="F197" s="1">
        <v>440.11</v>
      </c>
      <c r="G197" s="1" t="s">
        <v>191</v>
      </c>
      <c r="H197" s="2">
        <v>37495</v>
      </c>
      <c r="I197" s="2">
        <v>45836</v>
      </c>
      <c r="J197" s="1">
        <v>15.2</v>
      </c>
      <c r="K197" s="4">
        <f t="shared" si="9"/>
        <v>66.896720000000002</v>
      </c>
      <c r="L197" s="4">
        <f t="shared" si="10"/>
        <v>373.21328</v>
      </c>
    </row>
    <row r="198" spans="1:12" x14ac:dyDescent="0.3">
      <c r="A198" s="1">
        <v>1196</v>
      </c>
      <c r="B198" s="2">
        <v>45182</v>
      </c>
      <c r="C198" s="1" t="s">
        <v>10</v>
      </c>
      <c r="D198" s="1" t="s">
        <v>102</v>
      </c>
      <c r="E198" s="1" t="s">
        <v>12</v>
      </c>
      <c r="F198" s="1">
        <v>505.23</v>
      </c>
      <c r="G198" s="1" t="s">
        <v>192</v>
      </c>
      <c r="H198" s="2">
        <v>33626</v>
      </c>
      <c r="I198" s="2">
        <v>45186</v>
      </c>
      <c r="J198" s="1">
        <v>32.119999999999997</v>
      </c>
      <c r="K198" s="4">
        <f t="shared" si="9"/>
        <v>162.279876</v>
      </c>
      <c r="L198" s="4">
        <f t="shared" si="10"/>
        <v>342.95012400000002</v>
      </c>
    </row>
    <row r="199" spans="1:12" x14ac:dyDescent="0.3">
      <c r="A199" s="1">
        <v>1197</v>
      </c>
      <c r="B199" s="2">
        <v>45554</v>
      </c>
      <c r="C199" s="1" t="s">
        <v>35</v>
      </c>
      <c r="D199" s="1" t="s">
        <v>33</v>
      </c>
      <c r="E199" s="1" t="s">
        <v>16</v>
      </c>
      <c r="F199" s="1">
        <v>4798.92</v>
      </c>
      <c r="G199" s="1" t="s">
        <v>123</v>
      </c>
      <c r="H199" s="2">
        <v>36120</v>
      </c>
      <c r="I199" s="2">
        <v>45561</v>
      </c>
      <c r="J199" s="1">
        <v>34.590000000000003</v>
      </c>
      <c r="K199" s="4">
        <f t="shared" si="9"/>
        <v>1659.9464280000002</v>
      </c>
      <c r="L199" s="4">
        <f t="shared" si="10"/>
        <v>3138.9735719999999</v>
      </c>
    </row>
    <row r="200" spans="1:12" x14ac:dyDescent="0.3">
      <c r="A200" s="1">
        <v>1198</v>
      </c>
      <c r="B200" s="2">
        <v>44503</v>
      </c>
      <c r="C200" s="1" t="s">
        <v>14</v>
      </c>
      <c r="D200" s="1" t="s">
        <v>33</v>
      </c>
      <c r="E200" s="1" t="s">
        <v>16</v>
      </c>
      <c r="F200" s="1">
        <v>484.34</v>
      </c>
      <c r="G200" s="1" t="s">
        <v>193</v>
      </c>
      <c r="H200" s="2">
        <v>26082</v>
      </c>
      <c r="I200" s="2">
        <v>44510</v>
      </c>
      <c r="J200" s="1">
        <v>18.260000000000002</v>
      </c>
      <c r="K200" s="4">
        <f t="shared" si="9"/>
        <v>88.440483999999998</v>
      </c>
      <c r="L200" s="4">
        <f t="shared" si="10"/>
        <v>395.89951599999995</v>
      </c>
    </row>
    <row r="201" spans="1:12" x14ac:dyDescent="0.3">
      <c r="A201" s="1">
        <v>1199</v>
      </c>
      <c r="B201" s="2">
        <v>44435</v>
      </c>
      <c r="C201" s="1" t="s">
        <v>14</v>
      </c>
      <c r="D201" s="1" t="s">
        <v>49</v>
      </c>
      <c r="E201" s="1" t="s">
        <v>12</v>
      </c>
      <c r="F201" s="1">
        <v>4449.97</v>
      </c>
      <c r="G201" s="1" t="s">
        <v>118</v>
      </c>
      <c r="H201" s="2">
        <v>22599</v>
      </c>
      <c r="I201" s="2">
        <v>44448</v>
      </c>
      <c r="J201" s="1">
        <v>4.2699999999999996</v>
      </c>
      <c r="K201" s="4">
        <f t="shared" si="9"/>
        <v>190.01371899999998</v>
      </c>
      <c r="L201" s="4">
        <f t="shared" si="10"/>
        <v>4259.9562810000007</v>
      </c>
    </row>
    <row r="202" spans="1:12" x14ac:dyDescent="0.3">
      <c r="A202" s="1">
        <v>1200</v>
      </c>
      <c r="B202" s="2">
        <v>45089</v>
      </c>
      <c r="C202" s="1" t="s">
        <v>26</v>
      </c>
      <c r="D202" s="1" t="s">
        <v>11</v>
      </c>
      <c r="E202" s="1" t="s">
        <v>12</v>
      </c>
      <c r="F202" s="1">
        <v>3878.91</v>
      </c>
      <c r="G202" s="1" t="s">
        <v>83</v>
      </c>
      <c r="H202" s="2">
        <v>24673</v>
      </c>
      <c r="I202" s="2">
        <v>45096</v>
      </c>
      <c r="J202" s="1">
        <v>39.96</v>
      </c>
      <c r="K202" s="4">
        <f t="shared" si="9"/>
        <v>1550.012436</v>
      </c>
      <c r="L202" s="4">
        <f t="shared" si="10"/>
        <v>2328.8975639999999</v>
      </c>
    </row>
    <row r="203" spans="1:12" x14ac:dyDescent="0.3">
      <c r="A203" s="1">
        <v>1201</v>
      </c>
      <c r="B203" s="2">
        <v>44968</v>
      </c>
      <c r="C203" s="1" t="s">
        <v>21</v>
      </c>
      <c r="D203" s="1" t="s">
        <v>38</v>
      </c>
      <c r="E203" s="1" t="s">
        <v>28</v>
      </c>
      <c r="F203" s="1">
        <v>3955.84</v>
      </c>
      <c r="G203" s="1" t="s">
        <v>194</v>
      </c>
      <c r="H203" s="2">
        <v>22210</v>
      </c>
      <c r="I203" s="2">
        <v>44969</v>
      </c>
      <c r="J203" s="1">
        <v>18.329999999999998</v>
      </c>
      <c r="K203" s="4">
        <f t="shared" si="9"/>
        <v>725.10547199999996</v>
      </c>
      <c r="L203" s="4">
        <f t="shared" si="10"/>
        <v>3230.734528</v>
      </c>
    </row>
    <row r="204" spans="1:12" x14ac:dyDescent="0.3">
      <c r="A204" s="1">
        <v>1202</v>
      </c>
      <c r="B204" s="2">
        <v>44175</v>
      </c>
      <c r="C204" s="1" t="s">
        <v>26</v>
      </c>
      <c r="D204" s="1" t="s">
        <v>69</v>
      </c>
      <c r="E204" s="1" t="s">
        <v>31</v>
      </c>
      <c r="F204" s="1">
        <v>1511.72</v>
      </c>
      <c r="G204" s="1" t="s">
        <v>195</v>
      </c>
      <c r="H204" s="2">
        <v>28065</v>
      </c>
      <c r="I204" s="2">
        <v>44187</v>
      </c>
      <c r="J204" s="1">
        <v>39.659999999999997</v>
      </c>
      <c r="K204" s="4">
        <f t="shared" si="9"/>
        <v>599.54815199999996</v>
      </c>
      <c r="L204" s="4">
        <f t="shared" si="10"/>
        <v>912.17184800000007</v>
      </c>
    </row>
    <row r="205" spans="1:12" x14ac:dyDescent="0.3">
      <c r="A205" s="1">
        <v>1203</v>
      </c>
      <c r="B205" s="2">
        <v>45345</v>
      </c>
      <c r="C205" s="1" t="s">
        <v>35</v>
      </c>
      <c r="D205" s="1" t="s">
        <v>44</v>
      </c>
      <c r="E205" s="1" t="s">
        <v>16</v>
      </c>
      <c r="F205" s="1">
        <v>2358</v>
      </c>
      <c r="G205" s="1" t="s">
        <v>122</v>
      </c>
      <c r="H205" s="2">
        <v>29720</v>
      </c>
      <c r="I205" s="2">
        <v>45346</v>
      </c>
      <c r="J205" s="1">
        <v>47.61</v>
      </c>
      <c r="K205" s="4">
        <f t="shared" si="9"/>
        <v>1122.6437999999998</v>
      </c>
      <c r="L205" s="4">
        <f t="shared" si="10"/>
        <v>1235.3562000000002</v>
      </c>
    </row>
    <row r="206" spans="1:12" x14ac:dyDescent="0.3">
      <c r="A206" s="1">
        <v>1204</v>
      </c>
      <c r="B206" s="2">
        <v>44468</v>
      </c>
      <c r="C206" s="1" t="s">
        <v>26</v>
      </c>
      <c r="D206" s="1" t="s">
        <v>65</v>
      </c>
      <c r="E206" s="1" t="s">
        <v>19</v>
      </c>
      <c r="F206" s="1">
        <v>4910.2700000000004</v>
      </c>
      <c r="G206" s="1" t="s">
        <v>173</v>
      </c>
      <c r="H206" s="2">
        <v>22016</v>
      </c>
      <c r="I206" s="2">
        <v>44481</v>
      </c>
      <c r="J206" s="1">
        <v>0.52</v>
      </c>
      <c r="K206" s="4">
        <f t="shared" si="9"/>
        <v>25.533404000000001</v>
      </c>
      <c r="L206" s="4">
        <f t="shared" si="10"/>
        <v>4884.7365960000006</v>
      </c>
    </row>
    <row r="207" spans="1:12" x14ac:dyDescent="0.3">
      <c r="A207" s="1">
        <v>1205</v>
      </c>
      <c r="B207" s="2">
        <v>44575</v>
      </c>
      <c r="C207" s="1" t="s">
        <v>21</v>
      </c>
      <c r="D207" s="1" t="s">
        <v>69</v>
      </c>
      <c r="E207" s="1" t="s">
        <v>31</v>
      </c>
      <c r="F207" s="1">
        <v>654.83000000000004</v>
      </c>
      <c r="G207" s="1" t="s">
        <v>196</v>
      </c>
      <c r="H207" s="2">
        <v>26300</v>
      </c>
      <c r="I207" s="2">
        <v>44588</v>
      </c>
      <c r="J207" s="1">
        <v>27.19</v>
      </c>
      <c r="K207" s="4">
        <f t="shared" si="9"/>
        <v>178.04827700000004</v>
      </c>
      <c r="L207" s="4">
        <f t="shared" si="10"/>
        <v>476.781723</v>
      </c>
    </row>
    <row r="208" spans="1:12" x14ac:dyDescent="0.3">
      <c r="A208" s="1">
        <v>1206</v>
      </c>
      <c r="B208" s="2">
        <v>45665</v>
      </c>
      <c r="C208" s="1" t="s">
        <v>14</v>
      </c>
      <c r="D208" s="1" t="s">
        <v>47</v>
      </c>
      <c r="E208" s="1" t="s">
        <v>12</v>
      </c>
      <c r="F208" s="1">
        <v>871.1</v>
      </c>
      <c r="G208" s="1" t="s">
        <v>197</v>
      </c>
      <c r="H208" s="2">
        <v>26001</v>
      </c>
      <c r="I208" s="2">
        <v>45667</v>
      </c>
      <c r="J208" s="1">
        <v>42.4</v>
      </c>
      <c r="K208" s="4">
        <f t="shared" si="9"/>
        <v>369.34640000000002</v>
      </c>
      <c r="L208" s="4">
        <f t="shared" si="10"/>
        <v>501.75360000000001</v>
      </c>
    </row>
    <row r="209" spans="1:12" x14ac:dyDescent="0.3">
      <c r="A209" s="1">
        <v>1207</v>
      </c>
      <c r="B209" s="2">
        <v>44585</v>
      </c>
      <c r="C209" s="1" t="s">
        <v>10</v>
      </c>
      <c r="D209" s="1" t="s">
        <v>30</v>
      </c>
      <c r="E209" s="1" t="s">
        <v>31</v>
      </c>
      <c r="F209" s="1">
        <v>2724.62</v>
      </c>
      <c r="G209" s="1" t="s">
        <v>198</v>
      </c>
      <c r="H209" s="2">
        <v>31598</v>
      </c>
      <c r="I209" s="2">
        <v>44599</v>
      </c>
      <c r="J209" s="1">
        <v>39.33</v>
      </c>
      <c r="K209" s="4">
        <f t="shared" si="9"/>
        <v>1071.593046</v>
      </c>
      <c r="L209" s="4">
        <f t="shared" si="10"/>
        <v>1653.0269539999999</v>
      </c>
    </row>
    <row r="210" spans="1:12" x14ac:dyDescent="0.3">
      <c r="A210" s="1">
        <v>1208</v>
      </c>
      <c r="B210" s="2">
        <v>45028</v>
      </c>
      <c r="C210" s="1" t="s">
        <v>14</v>
      </c>
      <c r="D210" s="1" t="s">
        <v>36</v>
      </c>
      <c r="E210" s="1" t="s">
        <v>28</v>
      </c>
      <c r="F210" s="1">
        <v>1636.83</v>
      </c>
      <c r="G210" s="1" t="s">
        <v>199</v>
      </c>
      <c r="H210" s="2">
        <v>25341</v>
      </c>
      <c r="I210" s="2">
        <v>45040</v>
      </c>
      <c r="J210" s="1">
        <v>11.01</v>
      </c>
      <c r="K210" s="4">
        <f t="shared" si="9"/>
        <v>180.21498299999999</v>
      </c>
      <c r="L210" s="4">
        <f t="shared" si="10"/>
        <v>1456.6150169999999</v>
      </c>
    </row>
    <row r="211" spans="1:12" x14ac:dyDescent="0.3">
      <c r="A211" s="1">
        <v>1209</v>
      </c>
      <c r="B211" s="2">
        <v>44543</v>
      </c>
      <c r="C211" s="1" t="s">
        <v>10</v>
      </c>
      <c r="D211" s="1" t="s">
        <v>65</v>
      </c>
      <c r="E211" s="1" t="s">
        <v>19</v>
      </c>
      <c r="F211" s="1">
        <v>173.02</v>
      </c>
      <c r="G211" s="1" t="s">
        <v>200</v>
      </c>
      <c r="H211" s="2">
        <v>30222</v>
      </c>
      <c r="I211" s="2">
        <v>44553</v>
      </c>
      <c r="J211" s="1">
        <v>15.94</v>
      </c>
      <c r="K211" s="4">
        <f t="shared" si="9"/>
        <v>27.579387999999998</v>
      </c>
      <c r="L211" s="4">
        <f t="shared" si="10"/>
        <v>145.44061200000002</v>
      </c>
    </row>
    <row r="212" spans="1:12" x14ac:dyDescent="0.3">
      <c r="A212" s="1">
        <v>1210</v>
      </c>
      <c r="B212" s="2">
        <v>44387</v>
      </c>
      <c r="C212" s="1" t="s">
        <v>35</v>
      </c>
      <c r="D212" s="1" t="s">
        <v>61</v>
      </c>
      <c r="E212" s="1" t="s">
        <v>19</v>
      </c>
      <c r="F212" s="1">
        <v>3390.55</v>
      </c>
      <c r="G212" s="1" t="s">
        <v>201</v>
      </c>
      <c r="H212" s="2">
        <v>23469</v>
      </c>
      <c r="I212" s="2">
        <v>44389</v>
      </c>
      <c r="J212" s="1">
        <v>16.8</v>
      </c>
      <c r="K212" s="4">
        <f t="shared" si="9"/>
        <v>569.61240000000009</v>
      </c>
      <c r="L212" s="4">
        <f t="shared" si="10"/>
        <v>2820.9376000000002</v>
      </c>
    </row>
    <row r="213" spans="1:12" x14ac:dyDescent="0.3">
      <c r="A213" s="1">
        <v>1211</v>
      </c>
      <c r="B213" s="2">
        <v>44412</v>
      </c>
      <c r="C213" s="1" t="s">
        <v>14</v>
      </c>
      <c r="D213" s="1" t="s">
        <v>53</v>
      </c>
      <c r="E213" s="1" t="s">
        <v>28</v>
      </c>
      <c r="F213" s="1">
        <v>2135.7600000000002</v>
      </c>
      <c r="G213" s="1" t="s">
        <v>202</v>
      </c>
      <c r="H213" s="2">
        <v>24802</v>
      </c>
      <c r="I213" s="2">
        <v>44426</v>
      </c>
      <c r="J213" s="1">
        <v>38.24</v>
      </c>
      <c r="K213" s="4">
        <f t="shared" si="9"/>
        <v>816.71462400000007</v>
      </c>
      <c r="L213" s="4">
        <f t="shared" si="10"/>
        <v>1319.045376</v>
      </c>
    </row>
    <row r="214" spans="1:12" x14ac:dyDescent="0.3">
      <c r="A214" s="1">
        <v>1212</v>
      </c>
      <c r="B214" s="2">
        <v>45875</v>
      </c>
      <c r="C214" s="1" t="s">
        <v>35</v>
      </c>
      <c r="D214" s="1" t="s">
        <v>58</v>
      </c>
      <c r="E214" s="1" t="s">
        <v>31</v>
      </c>
      <c r="F214" s="1">
        <v>4735.45</v>
      </c>
      <c r="G214" s="1" t="s">
        <v>165</v>
      </c>
      <c r="H214" s="2">
        <v>29887</v>
      </c>
      <c r="I214" s="2">
        <v>45888</v>
      </c>
      <c r="J214" s="1">
        <v>31.17</v>
      </c>
      <c r="K214" s="4">
        <f t="shared" si="9"/>
        <v>1476.039765</v>
      </c>
      <c r="L214" s="4">
        <f t="shared" si="10"/>
        <v>3259.4102349999998</v>
      </c>
    </row>
    <row r="215" spans="1:12" x14ac:dyDescent="0.3">
      <c r="A215" s="1">
        <v>1213</v>
      </c>
      <c r="B215" s="2">
        <v>44481</v>
      </c>
      <c r="C215" s="1" t="s">
        <v>10</v>
      </c>
      <c r="D215" s="1" t="s">
        <v>69</v>
      </c>
      <c r="E215" s="1" t="s">
        <v>31</v>
      </c>
      <c r="F215" s="1">
        <v>2889.24</v>
      </c>
      <c r="G215" s="1" t="s">
        <v>13</v>
      </c>
      <c r="H215" s="2">
        <v>24348</v>
      </c>
      <c r="I215" s="2">
        <v>44488</v>
      </c>
      <c r="J215" s="1">
        <v>28.37</v>
      </c>
      <c r="K215" s="4">
        <f t="shared" si="9"/>
        <v>819.67738799999995</v>
      </c>
      <c r="L215" s="4">
        <f t="shared" si="10"/>
        <v>2069.5626119999997</v>
      </c>
    </row>
    <row r="216" spans="1:12" x14ac:dyDescent="0.3">
      <c r="A216" s="1">
        <v>1214</v>
      </c>
      <c r="B216" s="2">
        <v>45507</v>
      </c>
      <c r="C216" s="1" t="s">
        <v>21</v>
      </c>
      <c r="D216" s="1" t="s">
        <v>22</v>
      </c>
      <c r="E216" s="1" t="s">
        <v>19</v>
      </c>
      <c r="F216" s="1">
        <v>3022.9</v>
      </c>
      <c r="G216" s="1" t="s">
        <v>170</v>
      </c>
      <c r="H216" s="2">
        <v>34205</v>
      </c>
      <c r="I216" s="2">
        <v>45521</v>
      </c>
      <c r="J216" s="1">
        <v>47.72</v>
      </c>
      <c r="K216" s="4">
        <f t="shared" si="9"/>
        <v>1442.5278800000001</v>
      </c>
      <c r="L216" s="4">
        <f t="shared" si="10"/>
        <v>1580.37212</v>
      </c>
    </row>
    <row r="217" spans="1:12" x14ac:dyDescent="0.3">
      <c r="A217" s="1">
        <v>1215</v>
      </c>
      <c r="B217" s="2">
        <v>45473</v>
      </c>
      <c r="C217" s="1" t="s">
        <v>35</v>
      </c>
      <c r="D217" s="1" t="s">
        <v>11</v>
      </c>
      <c r="E217" s="1" t="s">
        <v>12</v>
      </c>
      <c r="F217" s="1">
        <v>4188.75</v>
      </c>
      <c r="G217" s="1" t="s">
        <v>203</v>
      </c>
      <c r="H217" s="2">
        <v>34357</v>
      </c>
      <c r="I217" s="2">
        <v>45475</v>
      </c>
      <c r="J217" s="1">
        <v>38.21</v>
      </c>
      <c r="K217" s="4">
        <f t="shared" si="9"/>
        <v>1600.521375</v>
      </c>
      <c r="L217" s="4">
        <f t="shared" si="10"/>
        <v>2588.2286249999997</v>
      </c>
    </row>
    <row r="218" spans="1:12" x14ac:dyDescent="0.3">
      <c r="A218" s="1">
        <v>1216</v>
      </c>
      <c r="B218" s="2">
        <v>44675</v>
      </c>
      <c r="C218" s="1" t="s">
        <v>26</v>
      </c>
      <c r="D218" s="1" t="s">
        <v>49</v>
      </c>
      <c r="E218" s="1" t="s">
        <v>12</v>
      </c>
      <c r="F218" s="1">
        <v>2073.79</v>
      </c>
      <c r="G218" s="1" t="s">
        <v>77</v>
      </c>
      <c r="H218" s="2">
        <v>38696</v>
      </c>
      <c r="I218" s="2">
        <v>44682</v>
      </c>
      <c r="J218" s="1">
        <v>25.62</v>
      </c>
      <c r="K218" s="4">
        <f t="shared" si="9"/>
        <v>531.30499799999996</v>
      </c>
      <c r="L218" s="4">
        <f t="shared" si="10"/>
        <v>1542.4850019999999</v>
      </c>
    </row>
    <row r="219" spans="1:12" x14ac:dyDescent="0.3">
      <c r="A219" s="1">
        <v>1217</v>
      </c>
      <c r="B219" s="2">
        <v>44521</v>
      </c>
      <c r="C219" s="1" t="s">
        <v>14</v>
      </c>
      <c r="D219" s="1" t="s">
        <v>73</v>
      </c>
      <c r="E219" s="1" t="s">
        <v>28</v>
      </c>
      <c r="F219" s="1">
        <v>2237.83</v>
      </c>
      <c r="G219" s="1" t="s">
        <v>137</v>
      </c>
      <c r="H219" s="2">
        <v>36905</v>
      </c>
      <c r="I219" s="2">
        <v>44524</v>
      </c>
      <c r="J219" s="1">
        <v>4.8600000000000003</v>
      </c>
      <c r="K219" s="4">
        <f t="shared" si="9"/>
        <v>108.758538</v>
      </c>
      <c r="L219" s="4">
        <f t="shared" si="10"/>
        <v>2129.0714619999999</v>
      </c>
    </row>
    <row r="220" spans="1:12" x14ac:dyDescent="0.3">
      <c r="A220" s="1">
        <v>1218</v>
      </c>
      <c r="B220" s="2">
        <v>44470</v>
      </c>
      <c r="C220" s="1" t="s">
        <v>26</v>
      </c>
      <c r="D220" s="1" t="s">
        <v>24</v>
      </c>
      <c r="E220" s="1" t="s">
        <v>19</v>
      </c>
      <c r="F220" s="1">
        <v>3830.75</v>
      </c>
      <c r="G220" s="1" t="s">
        <v>204</v>
      </c>
      <c r="H220" s="2">
        <v>23718</v>
      </c>
      <c r="I220" s="2">
        <v>44475</v>
      </c>
      <c r="J220" s="1">
        <v>39.33</v>
      </c>
      <c r="K220" s="4">
        <f t="shared" si="9"/>
        <v>1506.633975</v>
      </c>
      <c r="L220" s="4">
        <f t="shared" si="10"/>
        <v>2324.1160250000003</v>
      </c>
    </row>
    <row r="221" spans="1:12" x14ac:dyDescent="0.3">
      <c r="A221" s="1">
        <v>1219</v>
      </c>
      <c r="B221" s="2">
        <v>45412</v>
      </c>
      <c r="C221" s="1" t="s">
        <v>35</v>
      </c>
      <c r="D221" s="1" t="s">
        <v>53</v>
      </c>
      <c r="E221" s="1" t="s">
        <v>28</v>
      </c>
      <c r="F221" s="1">
        <v>808.73</v>
      </c>
      <c r="G221" s="1" t="s">
        <v>205</v>
      </c>
      <c r="H221" s="2">
        <v>27526</v>
      </c>
      <c r="I221" s="2">
        <v>45419</v>
      </c>
      <c r="J221" s="1">
        <v>8.61</v>
      </c>
      <c r="K221" s="4">
        <f t="shared" si="9"/>
        <v>69.631653</v>
      </c>
      <c r="L221" s="4">
        <f t="shared" si="10"/>
        <v>739.09834699999999</v>
      </c>
    </row>
    <row r="222" spans="1:12" x14ac:dyDescent="0.3">
      <c r="A222" s="1">
        <v>1220</v>
      </c>
      <c r="B222" s="2">
        <v>45194</v>
      </c>
      <c r="C222" s="1" t="s">
        <v>14</v>
      </c>
      <c r="D222" s="1" t="s">
        <v>65</v>
      </c>
      <c r="E222" s="1" t="s">
        <v>19</v>
      </c>
      <c r="F222" s="1">
        <v>3956.75</v>
      </c>
      <c r="G222" s="1" t="s">
        <v>206</v>
      </c>
      <c r="H222" s="2">
        <v>34011</v>
      </c>
      <c r="I222" s="2">
        <v>45205</v>
      </c>
      <c r="J222" s="1">
        <v>1.67</v>
      </c>
      <c r="K222" s="4">
        <f t="shared" si="9"/>
        <v>66.077725000000001</v>
      </c>
      <c r="L222" s="4">
        <f t="shared" si="10"/>
        <v>3890.6722749999999</v>
      </c>
    </row>
    <row r="223" spans="1:12" x14ac:dyDescent="0.3">
      <c r="A223" s="1">
        <v>1221</v>
      </c>
      <c r="B223" s="2">
        <v>45465</v>
      </c>
      <c r="C223" s="1" t="s">
        <v>14</v>
      </c>
      <c r="D223" s="1" t="s">
        <v>53</v>
      </c>
      <c r="E223" s="1" t="s">
        <v>28</v>
      </c>
      <c r="F223" s="1">
        <v>3130.27</v>
      </c>
      <c r="G223" s="1" t="s">
        <v>139</v>
      </c>
      <c r="H223" s="2">
        <v>29381</v>
      </c>
      <c r="I223" s="2">
        <v>45478</v>
      </c>
      <c r="J223" s="1">
        <v>44.53</v>
      </c>
      <c r="K223" s="4">
        <f t="shared" si="9"/>
        <v>1393.9092310000001</v>
      </c>
      <c r="L223" s="4">
        <f t="shared" si="10"/>
        <v>1736.3607689999999</v>
      </c>
    </row>
    <row r="224" spans="1:12" x14ac:dyDescent="0.3">
      <c r="A224" s="1">
        <v>1222</v>
      </c>
      <c r="B224" s="2">
        <v>44808</v>
      </c>
      <c r="C224" s="1" t="s">
        <v>35</v>
      </c>
      <c r="D224" s="1" t="s">
        <v>53</v>
      </c>
      <c r="E224" s="1" t="s">
        <v>28</v>
      </c>
      <c r="F224" s="1">
        <v>3446.37</v>
      </c>
      <c r="G224" s="1" t="s">
        <v>207</v>
      </c>
      <c r="H224" s="2">
        <v>23988</v>
      </c>
      <c r="I224" s="2">
        <v>44814</v>
      </c>
      <c r="J224" s="1">
        <v>5.56</v>
      </c>
      <c r="K224" s="4">
        <f t="shared" si="9"/>
        <v>191.61817199999999</v>
      </c>
      <c r="L224" s="4">
        <f t="shared" si="10"/>
        <v>3254.7518279999999</v>
      </c>
    </row>
    <row r="225" spans="1:12" x14ac:dyDescent="0.3">
      <c r="A225" s="1">
        <v>1223</v>
      </c>
      <c r="B225" s="2">
        <v>45167</v>
      </c>
      <c r="C225" s="1" t="s">
        <v>35</v>
      </c>
      <c r="D225" s="1" t="s">
        <v>36</v>
      </c>
      <c r="E225" s="1" t="s">
        <v>28</v>
      </c>
      <c r="F225" s="1">
        <v>2497.2600000000002</v>
      </c>
      <c r="G225" s="1" t="s">
        <v>130</v>
      </c>
      <c r="H225" s="2">
        <v>38750</v>
      </c>
      <c r="I225" s="2">
        <v>45174</v>
      </c>
      <c r="J225" s="1">
        <v>1.29</v>
      </c>
      <c r="K225" s="4">
        <f t="shared" si="9"/>
        <v>32.214654000000003</v>
      </c>
      <c r="L225" s="4">
        <f t="shared" si="10"/>
        <v>2465.0453460000003</v>
      </c>
    </row>
    <row r="226" spans="1:12" x14ac:dyDescent="0.3">
      <c r="A226" s="1">
        <v>1224</v>
      </c>
      <c r="B226" s="2">
        <v>44083</v>
      </c>
      <c r="C226" s="1" t="s">
        <v>14</v>
      </c>
      <c r="D226" s="1" t="s">
        <v>11</v>
      </c>
      <c r="E226" s="1" t="s">
        <v>12</v>
      </c>
      <c r="F226" s="1">
        <v>851.57</v>
      </c>
      <c r="G226" s="1" t="s">
        <v>181</v>
      </c>
      <c r="H226" s="2">
        <v>25222</v>
      </c>
      <c r="I226" s="2">
        <v>44092</v>
      </c>
      <c r="J226" s="1">
        <v>7.79</v>
      </c>
      <c r="K226" s="4">
        <f t="shared" si="9"/>
        <v>66.337303000000006</v>
      </c>
      <c r="L226" s="4">
        <f t="shared" si="10"/>
        <v>785.23269700000003</v>
      </c>
    </row>
    <row r="227" spans="1:12" x14ac:dyDescent="0.3">
      <c r="A227" s="1">
        <v>1225</v>
      </c>
      <c r="B227" s="2">
        <v>44858</v>
      </c>
      <c r="C227" s="1" t="s">
        <v>26</v>
      </c>
      <c r="D227" s="1" t="s">
        <v>33</v>
      </c>
      <c r="E227" s="1" t="s">
        <v>16</v>
      </c>
      <c r="F227" s="1">
        <v>2904.95</v>
      </c>
      <c r="G227" s="1" t="s">
        <v>124</v>
      </c>
      <c r="H227" s="2">
        <v>30786</v>
      </c>
      <c r="I227" s="2">
        <v>44860</v>
      </c>
      <c r="J227" s="1">
        <v>6.47</v>
      </c>
      <c r="K227" s="4">
        <f t="shared" si="9"/>
        <v>187.95026499999997</v>
      </c>
      <c r="L227" s="4">
        <f t="shared" si="10"/>
        <v>2716.9997349999999</v>
      </c>
    </row>
    <row r="228" spans="1:12" x14ac:dyDescent="0.3">
      <c r="A228" s="1">
        <v>1226</v>
      </c>
      <c r="B228" s="2">
        <v>45203</v>
      </c>
      <c r="C228" s="1" t="s">
        <v>26</v>
      </c>
      <c r="D228" s="1" t="s">
        <v>47</v>
      </c>
      <c r="E228" s="1" t="s">
        <v>12</v>
      </c>
      <c r="F228" s="1">
        <v>513.84</v>
      </c>
      <c r="G228" s="1" t="s">
        <v>113</v>
      </c>
      <c r="H228" s="2">
        <v>25579</v>
      </c>
      <c r="I228" s="2">
        <v>45214</v>
      </c>
      <c r="J228" s="1">
        <v>49.58</v>
      </c>
      <c r="K228" s="4">
        <f t="shared" si="9"/>
        <v>254.76187199999998</v>
      </c>
      <c r="L228" s="4">
        <f t="shared" si="10"/>
        <v>259.07812800000005</v>
      </c>
    </row>
    <row r="229" spans="1:12" x14ac:dyDescent="0.3">
      <c r="A229" s="1">
        <v>1227</v>
      </c>
      <c r="B229" s="2">
        <v>45737</v>
      </c>
      <c r="C229" s="1" t="s">
        <v>35</v>
      </c>
      <c r="D229" s="1" t="s">
        <v>47</v>
      </c>
      <c r="E229" s="1" t="s">
        <v>12</v>
      </c>
      <c r="F229" s="1">
        <v>4335.8</v>
      </c>
      <c r="G229" s="1" t="s">
        <v>208</v>
      </c>
      <c r="H229" s="2">
        <v>32188</v>
      </c>
      <c r="I229" s="2">
        <v>45750</v>
      </c>
      <c r="J229" s="1">
        <v>9.0299999999999994</v>
      </c>
      <c r="K229" s="4">
        <f t="shared" si="9"/>
        <v>391.52274</v>
      </c>
      <c r="L229" s="4">
        <f t="shared" si="10"/>
        <v>3944.2772600000003</v>
      </c>
    </row>
    <row r="230" spans="1:12" x14ac:dyDescent="0.3">
      <c r="A230" s="1">
        <v>1228</v>
      </c>
      <c r="B230" s="2">
        <v>45107</v>
      </c>
      <c r="C230" s="1" t="s">
        <v>14</v>
      </c>
      <c r="D230" s="1" t="s">
        <v>44</v>
      </c>
      <c r="E230" s="1" t="s">
        <v>16</v>
      </c>
      <c r="F230" s="1">
        <v>2971.52</v>
      </c>
      <c r="G230" s="1" t="s">
        <v>209</v>
      </c>
      <c r="H230" s="2">
        <v>28522</v>
      </c>
      <c r="I230" s="2">
        <v>45119</v>
      </c>
      <c r="J230" s="1">
        <v>24.69</v>
      </c>
      <c r="K230" s="4">
        <f t="shared" si="9"/>
        <v>733.66828800000008</v>
      </c>
      <c r="L230" s="4">
        <f t="shared" si="10"/>
        <v>2237.8517119999997</v>
      </c>
    </row>
    <row r="231" spans="1:12" x14ac:dyDescent="0.3">
      <c r="A231" s="1">
        <v>1229</v>
      </c>
      <c r="B231" s="2">
        <v>44494</v>
      </c>
      <c r="C231" s="1" t="s">
        <v>35</v>
      </c>
      <c r="D231" s="1" t="s">
        <v>88</v>
      </c>
      <c r="E231" s="1" t="s">
        <v>16</v>
      </c>
      <c r="F231" s="1">
        <v>4761.95</v>
      </c>
      <c r="G231" s="1" t="s">
        <v>210</v>
      </c>
      <c r="H231" s="2">
        <v>27550</v>
      </c>
      <c r="I231" s="2">
        <v>44501</v>
      </c>
      <c r="J231" s="1">
        <v>43.51</v>
      </c>
      <c r="K231" s="4">
        <f t="shared" si="9"/>
        <v>2071.9244449999997</v>
      </c>
      <c r="L231" s="4">
        <f t="shared" si="10"/>
        <v>2690.0255550000002</v>
      </c>
    </row>
    <row r="232" spans="1:12" x14ac:dyDescent="0.3">
      <c r="A232" s="1">
        <v>1230</v>
      </c>
      <c r="B232" s="2">
        <v>44269</v>
      </c>
      <c r="C232" s="1" t="s">
        <v>26</v>
      </c>
      <c r="D232" s="1" t="s">
        <v>33</v>
      </c>
      <c r="E232" s="1" t="s">
        <v>16</v>
      </c>
      <c r="F232" s="1">
        <v>1146.72</v>
      </c>
      <c r="G232" s="1" t="s">
        <v>158</v>
      </c>
      <c r="H232" s="2">
        <v>34871</v>
      </c>
      <c r="I232" s="2">
        <v>44274</v>
      </c>
      <c r="J232" s="1">
        <v>32.44</v>
      </c>
      <c r="K232" s="4">
        <f t="shared" si="9"/>
        <v>371.99596799999995</v>
      </c>
      <c r="L232" s="4">
        <f t="shared" si="10"/>
        <v>774.72403200000008</v>
      </c>
    </row>
    <row r="233" spans="1:12" x14ac:dyDescent="0.3">
      <c r="A233" s="1">
        <v>1231</v>
      </c>
      <c r="B233" s="2">
        <v>44857</v>
      </c>
      <c r="C233" s="1" t="s">
        <v>26</v>
      </c>
      <c r="D233" s="1" t="s">
        <v>47</v>
      </c>
      <c r="E233" s="1" t="s">
        <v>12</v>
      </c>
      <c r="F233" s="1">
        <v>2995.97</v>
      </c>
      <c r="G233" s="1" t="s">
        <v>153</v>
      </c>
      <c r="H233" s="2">
        <v>36216</v>
      </c>
      <c r="I233" s="2">
        <v>44868</v>
      </c>
      <c r="J233" s="1">
        <v>3.74</v>
      </c>
      <c r="K233" s="4">
        <f t="shared" si="9"/>
        <v>112.049278</v>
      </c>
      <c r="L233" s="4">
        <f t="shared" si="10"/>
        <v>2883.9207219999998</v>
      </c>
    </row>
    <row r="234" spans="1:12" x14ac:dyDescent="0.3">
      <c r="A234" s="1">
        <v>1232</v>
      </c>
      <c r="B234" s="2">
        <v>44732</v>
      </c>
      <c r="C234" s="1" t="s">
        <v>14</v>
      </c>
      <c r="D234" s="1" t="s">
        <v>73</v>
      </c>
      <c r="E234" s="1" t="s">
        <v>28</v>
      </c>
      <c r="F234" s="1">
        <v>1461.44</v>
      </c>
      <c r="G234" s="1" t="s">
        <v>211</v>
      </c>
      <c r="H234" s="2">
        <v>35702</v>
      </c>
      <c r="I234" s="2">
        <v>44741</v>
      </c>
      <c r="J234" s="1">
        <v>1.64</v>
      </c>
      <c r="K234" s="4">
        <f t="shared" si="9"/>
        <v>23.967616</v>
      </c>
      <c r="L234" s="4">
        <f t="shared" si="10"/>
        <v>1437.4723840000001</v>
      </c>
    </row>
    <row r="235" spans="1:12" x14ac:dyDescent="0.3">
      <c r="A235" s="1">
        <v>1233</v>
      </c>
      <c r="B235" s="2">
        <v>44730</v>
      </c>
      <c r="C235" s="1" t="s">
        <v>21</v>
      </c>
      <c r="D235" s="1" t="s">
        <v>69</v>
      </c>
      <c r="E235" s="1" t="s">
        <v>12</v>
      </c>
      <c r="F235" s="1">
        <v>325.3</v>
      </c>
      <c r="G235" s="1" t="s">
        <v>152</v>
      </c>
      <c r="H235" s="2">
        <v>24792</v>
      </c>
      <c r="I235" s="2">
        <v>44736</v>
      </c>
      <c r="J235" s="1">
        <v>9.27</v>
      </c>
      <c r="K235" s="4">
        <f t="shared" si="9"/>
        <v>30.155309999999997</v>
      </c>
      <c r="L235" s="4">
        <f t="shared" si="10"/>
        <v>295.14469000000003</v>
      </c>
    </row>
    <row r="236" spans="1:12" x14ac:dyDescent="0.3">
      <c r="A236" s="1">
        <v>1234</v>
      </c>
      <c r="B236" s="2">
        <v>44339</v>
      </c>
      <c r="C236" s="1" t="s">
        <v>21</v>
      </c>
      <c r="D236" s="1" t="s">
        <v>49</v>
      </c>
      <c r="E236" s="1" t="s">
        <v>12</v>
      </c>
      <c r="F236" s="1">
        <v>4453.8100000000004</v>
      </c>
      <c r="G236" s="1" t="s">
        <v>212</v>
      </c>
      <c r="H236" s="2">
        <v>23674</v>
      </c>
      <c r="I236" s="2">
        <v>44348</v>
      </c>
      <c r="J236" s="1">
        <v>42.29</v>
      </c>
      <c r="K236" s="4">
        <f t="shared" si="9"/>
        <v>1883.5162490000002</v>
      </c>
      <c r="L236" s="4">
        <f t="shared" si="10"/>
        <v>2570.2937510000002</v>
      </c>
    </row>
    <row r="237" spans="1:12" x14ac:dyDescent="0.3">
      <c r="A237" s="1">
        <v>1235</v>
      </c>
      <c r="B237" s="2">
        <v>44284</v>
      </c>
      <c r="C237" s="1" t="s">
        <v>35</v>
      </c>
      <c r="D237" s="1" t="s">
        <v>18</v>
      </c>
      <c r="E237" s="1" t="s">
        <v>19</v>
      </c>
      <c r="F237" s="1">
        <v>4999.79</v>
      </c>
      <c r="G237" s="1" t="s">
        <v>213</v>
      </c>
      <c r="H237" s="2">
        <v>34345</v>
      </c>
      <c r="I237" s="2">
        <v>44285</v>
      </c>
      <c r="J237" s="1">
        <v>42.92</v>
      </c>
      <c r="K237" s="4">
        <f t="shared" si="9"/>
        <v>2145.9098680000002</v>
      </c>
      <c r="L237" s="4">
        <f t="shared" si="10"/>
        <v>2853.8801319999998</v>
      </c>
    </row>
    <row r="238" spans="1:12" x14ac:dyDescent="0.3">
      <c r="A238" s="1">
        <v>1236</v>
      </c>
      <c r="B238" s="2">
        <v>45408</v>
      </c>
      <c r="C238" s="1" t="s">
        <v>10</v>
      </c>
      <c r="D238" s="1" t="s">
        <v>40</v>
      </c>
      <c r="E238" s="1" t="s">
        <v>16</v>
      </c>
      <c r="F238" s="1">
        <v>4464.05</v>
      </c>
      <c r="G238" s="1" t="s">
        <v>116</v>
      </c>
      <c r="H238" s="2">
        <v>39294</v>
      </c>
      <c r="I238" s="2">
        <v>45415</v>
      </c>
      <c r="J238" s="1">
        <v>27.44</v>
      </c>
      <c r="K238" s="4">
        <f t="shared" si="9"/>
        <v>1224.9353200000003</v>
      </c>
      <c r="L238" s="4">
        <f t="shared" si="10"/>
        <v>3239.1146799999997</v>
      </c>
    </row>
    <row r="239" spans="1:12" x14ac:dyDescent="0.3">
      <c r="A239" s="1">
        <v>1237</v>
      </c>
      <c r="B239" s="2">
        <v>44398</v>
      </c>
      <c r="C239" s="1" t="s">
        <v>21</v>
      </c>
      <c r="D239" s="1" t="s">
        <v>102</v>
      </c>
      <c r="E239" s="1" t="s">
        <v>12</v>
      </c>
      <c r="F239" s="1">
        <v>3581.56</v>
      </c>
      <c r="G239" s="1" t="s">
        <v>86</v>
      </c>
      <c r="H239" s="2">
        <v>37858</v>
      </c>
      <c r="I239" s="2">
        <v>44405</v>
      </c>
      <c r="J239" s="1">
        <v>41.87</v>
      </c>
      <c r="K239" s="4">
        <f t="shared" si="9"/>
        <v>1499.5991719999997</v>
      </c>
      <c r="L239" s="4">
        <f t="shared" si="10"/>
        <v>2081.9608280000002</v>
      </c>
    </row>
    <row r="240" spans="1:12" x14ac:dyDescent="0.3">
      <c r="A240" s="1">
        <v>1238</v>
      </c>
      <c r="B240" s="2">
        <v>44940</v>
      </c>
      <c r="C240" s="1" t="s">
        <v>26</v>
      </c>
      <c r="D240" s="1" t="s">
        <v>71</v>
      </c>
      <c r="E240" s="1" t="s">
        <v>31</v>
      </c>
      <c r="F240" s="1">
        <v>1509.92</v>
      </c>
      <c r="G240" s="1" t="s">
        <v>214</v>
      </c>
      <c r="H240" s="2">
        <v>29540</v>
      </c>
      <c r="I240" s="2">
        <v>44943</v>
      </c>
      <c r="J240" s="1">
        <v>20.399999999999999</v>
      </c>
      <c r="K240" s="4">
        <f t="shared" si="9"/>
        <v>308.02368000000001</v>
      </c>
      <c r="L240" s="4">
        <f t="shared" si="10"/>
        <v>1201.8963200000001</v>
      </c>
    </row>
    <row r="241" spans="1:12" x14ac:dyDescent="0.3">
      <c r="A241" s="1">
        <v>1239</v>
      </c>
      <c r="B241" s="2">
        <v>45792</v>
      </c>
      <c r="C241" s="1" t="s">
        <v>35</v>
      </c>
      <c r="D241" s="1" t="s">
        <v>27</v>
      </c>
      <c r="E241" s="1" t="s">
        <v>28</v>
      </c>
      <c r="F241" s="1">
        <v>2305.0300000000002</v>
      </c>
      <c r="G241" s="1" t="s">
        <v>215</v>
      </c>
      <c r="H241" s="2">
        <v>31386</v>
      </c>
      <c r="I241" s="2">
        <v>45803</v>
      </c>
      <c r="J241" s="1">
        <v>39.799999999999997</v>
      </c>
      <c r="K241" s="4">
        <f t="shared" si="9"/>
        <v>917.40193999999997</v>
      </c>
      <c r="L241" s="4">
        <f t="shared" si="10"/>
        <v>1387.6280600000002</v>
      </c>
    </row>
    <row r="242" spans="1:12" x14ac:dyDescent="0.3">
      <c r="A242" s="1">
        <v>1240</v>
      </c>
      <c r="B242" s="2">
        <v>45013</v>
      </c>
      <c r="C242" s="1" t="s">
        <v>35</v>
      </c>
      <c r="D242" s="1" t="s">
        <v>88</v>
      </c>
      <c r="E242" s="1" t="s">
        <v>16</v>
      </c>
      <c r="F242" s="1">
        <v>4272.7299999999996</v>
      </c>
      <c r="G242" s="1" t="s">
        <v>91</v>
      </c>
      <c r="H242" s="2">
        <v>34220</v>
      </c>
      <c r="I242" s="2">
        <v>45020</v>
      </c>
      <c r="J242" s="1">
        <v>37.74</v>
      </c>
      <c r="K242" s="4">
        <f t="shared" si="9"/>
        <v>1612.5283019999999</v>
      </c>
      <c r="L242" s="4">
        <f t="shared" si="10"/>
        <v>2660.2016979999999</v>
      </c>
    </row>
    <row r="243" spans="1:12" x14ac:dyDescent="0.3">
      <c r="A243" s="1">
        <v>1241</v>
      </c>
      <c r="B243" s="2">
        <v>45234</v>
      </c>
      <c r="C243" s="1" t="s">
        <v>21</v>
      </c>
      <c r="D243" s="1" t="s">
        <v>69</v>
      </c>
      <c r="E243" s="1" t="s">
        <v>31</v>
      </c>
      <c r="F243" s="1">
        <v>1756.15</v>
      </c>
      <c r="G243" s="1" t="s">
        <v>216</v>
      </c>
      <c r="H243" s="2">
        <v>31419</v>
      </c>
      <c r="I243" s="2">
        <v>45239</v>
      </c>
      <c r="J243" s="1">
        <v>33.44</v>
      </c>
      <c r="K243" s="4">
        <f t="shared" si="9"/>
        <v>587.25656000000004</v>
      </c>
      <c r="L243" s="4">
        <f t="shared" si="10"/>
        <v>1168.8934400000001</v>
      </c>
    </row>
    <row r="244" spans="1:12" x14ac:dyDescent="0.3">
      <c r="A244" s="1">
        <v>1242</v>
      </c>
      <c r="B244" s="2">
        <v>44800</v>
      </c>
      <c r="C244" s="1" t="s">
        <v>14</v>
      </c>
      <c r="D244" s="1" t="s">
        <v>40</v>
      </c>
      <c r="E244" s="1" t="s">
        <v>16</v>
      </c>
      <c r="F244" s="1">
        <v>2727.83</v>
      </c>
      <c r="G244" s="1" t="s">
        <v>103</v>
      </c>
      <c r="H244" s="2">
        <v>30923</v>
      </c>
      <c r="I244" s="2">
        <v>44805</v>
      </c>
      <c r="J244" s="1">
        <v>11.22</v>
      </c>
      <c r="K244" s="4">
        <f t="shared" si="9"/>
        <v>306.06252599999999</v>
      </c>
      <c r="L244" s="4">
        <f t="shared" si="10"/>
        <v>2421.7674739999998</v>
      </c>
    </row>
    <row r="245" spans="1:12" x14ac:dyDescent="0.3">
      <c r="A245" s="1">
        <v>1243</v>
      </c>
      <c r="B245" s="2">
        <v>44438</v>
      </c>
      <c r="C245" s="1" t="s">
        <v>26</v>
      </c>
      <c r="D245" s="1" t="s">
        <v>53</v>
      </c>
      <c r="E245" s="1" t="s">
        <v>28</v>
      </c>
      <c r="F245" s="1">
        <v>993.29</v>
      </c>
      <c r="G245" s="1" t="s">
        <v>80</v>
      </c>
      <c r="H245" s="2">
        <v>31578</v>
      </c>
      <c r="I245" s="2">
        <v>44442</v>
      </c>
      <c r="J245" s="1">
        <v>9.93</v>
      </c>
      <c r="K245" s="4">
        <f t="shared" si="9"/>
        <v>98.633696999999998</v>
      </c>
      <c r="L245" s="4">
        <f t="shared" si="10"/>
        <v>894.65630299999998</v>
      </c>
    </row>
    <row r="246" spans="1:12" x14ac:dyDescent="0.3">
      <c r="A246" s="1">
        <v>1244</v>
      </c>
      <c r="B246" s="2">
        <v>45408</v>
      </c>
      <c r="C246" s="1" t="s">
        <v>14</v>
      </c>
      <c r="D246" s="1" t="s">
        <v>47</v>
      </c>
      <c r="E246" s="1" t="s">
        <v>12</v>
      </c>
      <c r="F246" s="1">
        <v>1187.1099999999999</v>
      </c>
      <c r="G246" s="1" t="s">
        <v>170</v>
      </c>
      <c r="H246" s="2">
        <v>34205</v>
      </c>
      <c r="I246" s="2">
        <v>45420</v>
      </c>
      <c r="J246" s="1">
        <v>33.229999999999997</v>
      </c>
      <c r="K246" s="4">
        <f t="shared" si="9"/>
        <v>394.47665299999994</v>
      </c>
      <c r="L246" s="4">
        <f t="shared" si="10"/>
        <v>792.63334699999996</v>
      </c>
    </row>
    <row r="247" spans="1:12" x14ac:dyDescent="0.3">
      <c r="A247" s="1">
        <v>1245</v>
      </c>
      <c r="B247" s="2">
        <v>44488</v>
      </c>
      <c r="C247" s="1" t="s">
        <v>21</v>
      </c>
      <c r="D247" s="1" t="s">
        <v>15</v>
      </c>
      <c r="E247" s="1" t="s">
        <v>16</v>
      </c>
      <c r="F247" s="1">
        <v>2517.8000000000002</v>
      </c>
      <c r="G247" s="1" t="s">
        <v>107</v>
      </c>
      <c r="H247" s="2">
        <v>26671</v>
      </c>
      <c r="I247" s="2">
        <v>44495</v>
      </c>
      <c r="J247" s="1">
        <v>38.24</v>
      </c>
      <c r="K247" s="4">
        <f t="shared" si="9"/>
        <v>962.80672000000015</v>
      </c>
      <c r="L247" s="4">
        <f t="shared" si="10"/>
        <v>1554.9932800000001</v>
      </c>
    </row>
    <row r="248" spans="1:12" x14ac:dyDescent="0.3">
      <c r="A248" s="1">
        <v>1246</v>
      </c>
      <c r="B248" s="2">
        <v>44489</v>
      </c>
      <c r="C248" s="1" t="s">
        <v>10</v>
      </c>
      <c r="D248" s="1" t="s">
        <v>88</v>
      </c>
      <c r="E248" s="1" t="s">
        <v>16</v>
      </c>
      <c r="F248" s="1">
        <v>4390.6000000000004</v>
      </c>
      <c r="G248" s="1" t="s">
        <v>144</v>
      </c>
      <c r="H248" s="2">
        <v>34571</v>
      </c>
      <c r="I248" s="2">
        <v>44491</v>
      </c>
      <c r="J248" s="1">
        <v>15.44</v>
      </c>
      <c r="K248" s="4">
        <f t="shared" si="9"/>
        <v>677.90863999999999</v>
      </c>
      <c r="L248" s="4">
        <f t="shared" si="10"/>
        <v>3712.6913600000003</v>
      </c>
    </row>
    <row r="249" spans="1:12" x14ac:dyDescent="0.3">
      <c r="A249" s="1">
        <v>1247</v>
      </c>
      <c r="B249" s="2">
        <v>44653</v>
      </c>
      <c r="C249" s="1" t="s">
        <v>35</v>
      </c>
      <c r="D249" s="1" t="s">
        <v>38</v>
      </c>
      <c r="E249" s="1" t="s">
        <v>28</v>
      </c>
      <c r="F249" s="1">
        <v>4464.93</v>
      </c>
      <c r="G249" s="1" t="s">
        <v>194</v>
      </c>
      <c r="H249" s="2">
        <v>22210</v>
      </c>
      <c r="I249" s="2">
        <v>44658</v>
      </c>
      <c r="J249" s="1">
        <v>42.78</v>
      </c>
      <c r="K249" s="4">
        <f t="shared" si="9"/>
        <v>1910.0970540000003</v>
      </c>
      <c r="L249" s="4">
        <f t="shared" si="10"/>
        <v>2554.832946</v>
      </c>
    </row>
    <row r="250" spans="1:12" x14ac:dyDescent="0.3">
      <c r="A250" s="1">
        <v>1248</v>
      </c>
      <c r="B250" s="2">
        <v>45583</v>
      </c>
      <c r="C250" s="1" t="s">
        <v>10</v>
      </c>
      <c r="D250" s="1" t="s">
        <v>55</v>
      </c>
      <c r="E250" s="1" t="s">
        <v>31</v>
      </c>
      <c r="F250" s="1">
        <v>834.79</v>
      </c>
      <c r="G250" s="1" t="s">
        <v>62</v>
      </c>
      <c r="H250" s="2">
        <v>22870</v>
      </c>
      <c r="I250" s="2">
        <v>45587</v>
      </c>
      <c r="J250" s="1">
        <v>43.88</v>
      </c>
      <c r="K250" s="4">
        <f t="shared" si="9"/>
        <v>366.30585200000002</v>
      </c>
      <c r="L250" s="4">
        <f t="shared" si="10"/>
        <v>468.48414799999995</v>
      </c>
    </row>
    <row r="251" spans="1:12" x14ac:dyDescent="0.3">
      <c r="A251" s="1">
        <v>1249</v>
      </c>
      <c r="B251" s="2">
        <v>45218</v>
      </c>
      <c r="C251" s="1" t="s">
        <v>14</v>
      </c>
      <c r="D251" s="1" t="s">
        <v>73</v>
      </c>
      <c r="E251" s="1" t="s">
        <v>28</v>
      </c>
      <c r="F251" s="1">
        <v>1780.78</v>
      </c>
      <c r="G251" s="1" t="s">
        <v>217</v>
      </c>
      <c r="H251" s="2">
        <v>36951</v>
      </c>
      <c r="I251" s="2">
        <v>45232</v>
      </c>
      <c r="J251" s="1">
        <v>43.61</v>
      </c>
      <c r="K251" s="4">
        <f t="shared" si="9"/>
        <v>776.59815800000001</v>
      </c>
      <c r="L251" s="4">
        <f t="shared" si="10"/>
        <v>1004.181842</v>
      </c>
    </row>
    <row r="252" spans="1:12" x14ac:dyDescent="0.3">
      <c r="A252" s="1">
        <v>1250</v>
      </c>
      <c r="B252" s="2">
        <v>44458</v>
      </c>
      <c r="C252" s="1" t="s">
        <v>35</v>
      </c>
      <c r="D252" s="1" t="s">
        <v>49</v>
      </c>
      <c r="E252" s="1" t="s">
        <v>12</v>
      </c>
      <c r="F252" s="1">
        <v>2340.94</v>
      </c>
      <c r="G252" s="1" t="s">
        <v>218</v>
      </c>
      <c r="H252" s="2">
        <v>29792</v>
      </c>
      <c r="I252" s="2">
        <v>44460</v>
      </c>
      <c r="J252" s="1">
        <v>22.07</v>
      </c>
      <c r="K252" s="4">
        <f t="shared" si="9"/>
        <v>516.64545800000008</v>
      </c>
      <c r="L252" s="4">
        <f t="shared" si="10"/>
        <v>1824.2945420000001</v>
      </c>
    </row>
    <row r="253" spans="1:12" x14ac:dyDescent="0.3">
      <c r="A253" s="1">
        <v>1251</v>
      </c>
      <c r="B253" s="2">
        <v>45121</v>
      </c>
      <c r="C253" s="1" t="s">
        <v>21</v>
      </c>
      <c r="D253" s="1" t="s">
        <v>38</v>
      </c>
      <c r="E253" s="1" t="s">
        <v>28</v>
      </c>
      <c r="F253" s="1">
        <v>898.44</v>
      </c>
      <c r="G253" s="1" t="s">
        <v>152</v>
      </c>
      <c r="H253" s="2">
        <v>24792</v>
      </c>
      <c r="I253" s="2">
        <v>45128</v>
      </c>
      <c r="J253" s="1">
        <v>19.48</v>
      </c>
      <c r="K253" s="4">
        <f t="shared" si="9"/>
        <v>175.01611200000002</v>
      </c>
      <c r="L253" s="4">
        <f t="shared" si="10"/>
        <v>723.42388800000003</v>
      </c>
    </row>
    <row r="254" spans="1:12" x14ac:dyDescent="0.3">
      <c r="A254" s="1">
        <v>1252</v>
      </c>
      <c r="B254" s="2">
        <v>45116</v>
      </c>
      <c r="C254" s="1" t="s">
        <v>21</v>
      </c>
      <c r="D254" s="1" t="s">
        <v>38</v>
      </c>
      <c r="E254" s="1" t="s">
        <v>28</v>
      </c>
      <c r="F254" s="1">
        <v>2705.86</v>
      </c>
      <c r="G254" s="1" t="s">
        <v>219</v>
      </c>
      <c r="H254" s="2">
        <v>25321</v>
      </c>
      <c r="I254" s="2">
        <v>45121</v>
      </c>
      <c r="J254" s="1">
        <v>48.33</v>
      </c>
      <c r="K254" s="4">
        <f t="shared" si="9"/>
        <v>1307.7421380000001</v>
      </c>
      <c r="L254" s="4">
        <f t="shared" si="10"/>
        <v>1398.1178620000001</v>
      </c>
    </row>
    <row r="255" spans="1:12" x14ac:dyDescent="0.3">
      <c r="A255" s="1">
        <v>1253</v>
      </c>
      <c r="B255" s="2">
        <v>44995</v>
      </c>
      <c r="C255" s="1" t="s">
        <v>10</v>
      </c>
      <c r="D255" s="1" t="s">
        <v>24</v>
      </c>
      <c r="E255" s="1" t="s">
        <v>19</v>
      </c>
      <c r="F255" s="1">
        <v>4945.4399999999996</v>
      </c>
      <c r="G255" s="1" t="s">
        <v>118</v>
      </c>
      <c r="H255" s="2">
        <v>22599</v>
      </c>
      <c r="I255" s="2">
        <v>44999</v>
      </c>
      <c r="J255" s="1">
        <v>23.04</v>
      </c>
      <c r="K255" s="4">
        <f t="shared" si="9"/>
        <v>1139.4293759999998</v>
      </c>
      <c r="L255" s="4">
        <f t="shared" si="10"/>
        <v>3806.0106239999996</v>
      </c>
    </row>
    <row r="256" spans="1:12" x14ac:dyDescent="0.3">
      <c r="A256" s="1">
        <v>1254</v>
      </c>
      <c r="B256" s="2">
        <v>45777</v>
      </c>
      <c r="C256" s="1" t="s">
        <v>21</v>
      </c>
      <c r="D256" s="1" t="s">
        <v>58</v>
      </c>
      <c r="E256" s="1" t="s">
        <v>31</v>
      </c>
      <c r="F256" s="1">
        <v>1796.08</v>
      </c>
      <c r="G256" s="1" t="s">
        <v>176</v>
      </c>
      <c r="H256" s="2">
        <v>33282</v>
      </c>
      <c r="I256" s="2">
        <v>45788</v>
      </c>
      <c r="J256" s="1">
        <v>3.3</v>
      </c>
      <c r="K256" s="4">
        <f t="shared" si="9"/>
        <v>59.27064</v>
      </c>
      <c r="L256" s="4">
        <f t="shared" si="10"/>
        <v>1736.80936</v>
      </c>
    </row>
    <row r="257" spans="1:12" x14ac:dyDescent="0.3">
      <c r="A257" s="1">
        <v>1255</v>
      </c>
      <c r="B257" s="2">
        <v>44791</v>
      </c>
      <c r="C257" s="1" t="s">
        <v>35</v>
      </c>
      <c r="D257" s="1" t="s">
        <v>69</v>
      </c>
      <c r="E257" s="1" t="s">
        <v>31</v>
      </c>
      <c r="F257" s="1">
        <v>1032.53</v>
      </c>
      <c r="G257" s="1" t="s">
        <v>157</v>
      </c>
      <c r="H257" s="2">
        <v>37189</v>
      </c>
      <c r="I257" s="2">
        <v>44793</v>
      </c>
      <c r="J257" s="1">
        <v>47.26</v>
      </c>
      <c r="K257" s="4">
        <f t="shared" si="9"/>
        <v>487.97367799999995</v>
      </c>
      <c r="L257" s="4">
        <f t="shared" si="10"/>
        <v>544.55632200000002</v>
      </c>
    </row>
    <row r="258" spans="1:12" x14ac:dyDescent="0.3">
      <c r="A258" s="1">
        <v>1256</v>
      </c>
      <c r="B258" s="2">
        <v>44829</v>
      </c>
      <c r="C258" s="1" t="s">
        <v>10</v>
      </c>
      <c r="D258" s="1" t="s">
        <v>22</v>
      </c>
      <c r="E258" s="1" t="s">
        <v>19</v>
      </c>
      <c r="F258" s="1">
        <v>1161.73</v>
      </c>
      <c r="G258" s="1" t="s">
        <v>220</v>
      </c>
      <c r="H258" s="2">
        <v>30755</v>
      </c>
      <c r="I258" s="2">
        <v>44838</v>
      </c>
      <c r="J258" s="1">
        <v>8.2799999999999994</v>
      </c>
      <c r="K258" s="4">
        <f t="shared" si="9"/>
        <v>96.191243999999998</v>
      </c>
      <c r="L258" s="4">
        <f t="shared" si="10"/>
        <v>1065.5387559999999</v>
      </c>
    </row>
    <row r="259" spans="1:12" x14ac:dyDescent="0.3">
      <c r="A259" s="1">
        <v>1257</v>
      </c>
      <c r="B259" s="2">
        <v>45205</v>
      </c>
      <c r="C259" s="1" t="s">
        <v>35</v>
      </c>
      <c r="D259" s="1" t="s">
        <v>24</v>
      </c>
      <c r="E259" s="1" t="s">
        <v>19</v>
      </c>
      <c r="F259" s="1">
        <v>544.44000000000005</v>
      </c>
      <c r="G259" s="1" t="s">
        <v>221</v>
      </c>
      <c r="H259" s="2">
        <v>35658</v>
      </c>
      <c r="I259" s="2">
        <v>45214</v>
      </c>
      <c r="J259" s="1">
        <v>38.49</v>
      </c>
      <c r="K259" s="4">
        <f t="shared" ref="K259:K322" si="11">F259*J259%</f>
        <v>209.55495600000003</v>
      </c>
      <c r="L259" s="4">
        <f t="shared" ref="L259:L322" si="12">F259-K259</f>
        <v>334.88504399999999</v>
      </c>
    </row>
    <row r="260" spans="1:12" x14ac:dyDescent="0.3">
      <c r="A260" s="1">
        <v>1258</v>
      </c>
      <c r="B260" s="2">
        <v>44533</v>
      </c>
      <c r="C260" s="1" t="s">
        <v>26</v>
      </c>
      <c r="D260" s="1" t="s">
        <v>49</v>
      </c>
      <c r="E260" s="1" t="s">
        <v>12</v>
      </c>
      <c r="F260" s="1">
        <v>4156.28</v>
      </c>
      <c r="G260" s="1" t="s">
        <v>110</v>
      </c>
      <c r="H260" s="2">
        <v>32064</v>
      </c>
      <c r="I260" s="2">
        <v>44535</v>
      </c>
      <c r="J260" s="1">
        <v>11.58</v>
      </c>
      <c r="K260" s="4">
        <f t="shared" si="11"/>
        <v>481.29722399999997</v>
      </c>
      <c r="L260" s="4">
        <f t="shared" si="12"/>
        <v>3674.9827759999998</v>
      </c>
    </row>
    <row r="261" spans="1:12" x14ac:dyDescent="0.3">
      <c r="A261" s="1">
        <v>1259</v>
      </c>
      <c r="B261" s="2">
        <v>44840</v>
      </c>
      <c r="C261" s="1" t="s">
        <v>21</v>
      </c>
      <c r="D261" s="1" t="s">
        <v>11</v>
      </c>
      <c r="E261" s="1" t="s">
        <v>12</v>
      </c>
      <c r="F261" s="1">
        <v>1970.21</v>
      </c>
      <c r="G261" s="1" t="s">
        <v>222</v>
      </c>
      <c r="H261" s="2">
        <v>28619</v>
      </c>
      <c r="I261" s="2">
        <v>44850</v>
      </c>
      <c r="J261" s="1">
        <v>11.03</v>
      </c>
      <c r="K261" s="4">
        <f t="shared" si="11"/>
        <v>217.31416300000001</v>
      </c>
      <c r="L261" s="4">
        <f t="shared" si="12"/>
        <v>1752.895837</v>
      </c>
    </row>
    <row r="262" spans="1:12" x14ac:dyDescent="0.3">
      <c r="A262" s="1">
        <v>1260</v>
      </c>
      <c r="B262" s="2">
        <v>44890</v>
      </c>
      <c r="C262" s="1" t="s">
        <v>35</v>
      </c>
      <c r="D262" s="1" t="s">
        <v>73</v>
      </c>
      <c r="E262" s="1" t="s">
        <v>28</v>
      </c>
      <c r="F262" s="1">
        <v>4251.99</v>
      </c>
      <c r="G262" s="1" t="s">
        <v>186</v>
      </c>
      <c r="H262" s="2">
        <v>39193</v>
      </c>
      <c r="I262" s="2">
        <v>44903</v>
      </c>
      <c r="J262" s="1">
        <v>34.770000000000003</v>
      </c>
      <c r="K262" s="4">
        <f t="shared" si="11"/>
        <v>1478.416923</v>
      </c>
      <c r="L262" s="4">
        <f t="shared" si="12"/>
        <v>2773.573077</v>
      </c>
    </row>
    <row r="263" spans="1:12" x14ac:dyDescent="0.3">
      <c r="A263" s="1">
        <v>1261</v>
      </c>
      <c r="B263" s="2">
        <v>44437</v>
      </c>
      <c r="C263" s="1" t="s">
        <v>21</v>
      </c>
      <c r="D263" s="1" t="s">
        <v>61</v>
      </c>
      <c r="E263" s="1" t="s">
        <v>19</v>
      </c>
      <c r="F263" s="1">
        <v>2814.81</v>
      </c>
      <c r="G263" s="1" t="s">
        <v>119</v>
      </c>
      <c r="H263" s="2">
        <v>34954</v>
      </c>
      <c r="I263" s="2">
        <v>44444</v>
      </c>
      <c r="J263" s="1">
        <v>36.85</v>
      </c>
      <c r="K263" s="4">
        <f t="shared" si="11"/>
        <v>1037.2574849999999</v>
      </c>
      <c r="L263" s="4">
        <f t="shared" si="12"/>
        <v>1777.5525150000001</v>
      </c>
    </row>
    <row r="264" spans="1:12" x14ac:dyDescent="0.3">
      <c r="A264" s="1">
        <v>1262</v>
      </c>
      <c r="B264" s="2">
        <v>45103</v>
      </c>
      <c r="C264" s="1" t="s">
        <v>10</v>
      </c>
      <c r="D264" s="1" t="s">
        <v>73</v>
      </c>
      <c r="E264" s="1" t="s">
        <v>28</v>
      </c>
      <c r="F264" s="1">
        <v>2491.4899999999998</v>
      </c>
      <c r="G264" s="1" t="s">
        <v>221</v>
      </c>
      <c r="H264" s="2">
        <v>35658</v>
      </c>
      <c r="I264" s="2">
        <v>45113</v>
      </c>
      <c r="J264" s="1">
        <v>21.1</v>
      </c>
      <c r="K264" s="4">
        <f t="shared" si="11"/>
        <v>525.70438999999999</v>
      </c>
      <c r="L264" s="4">
        <f t="shared" si="12"/>
        <v>1965.7856099999999</v>
      </c>
    </row>
    <row r="265" spans="1:12" x14ac:dyDescent="0.3">
      <c r="A265" s="1">
        <v>1263</v>
      </c>
      <c r="B265" s="2">
        <v>44413</v>
      </c>
      <c r="C265" s="1" t="s">
        <v>14</v>
      </c>
      <c r="D265" s="1" t="s">
        <v>18</v>
      </c>
      <c r="E265" s="1" t="s">
        <v>19</v>
      </c>
      <c r="F265" s="1">
        <v>3097.86</v>
      </c>
      <c r="G265" s="1" t="s">
        <v>145</v>
      </c>
      <c r="H265" s="2">
        <v>23470</v>
      </c>
      <c r="I265" s="2">
        <v>44419</v>
      </c>
      <c r="J265" s="1">
        <v>41.73</v>
      </c>
      <c r="K265" s="4">
        <f t="shared" si="11"/>
        <v>1292.7369779999999</v>
      </c>
      <c r="L265" s="4">
        <f t="shared" si="12"/>
        <v>1805.1230220000002</v>
      </c>
    </row>
    <row r="266" spans="1:12" x14ac:dyDescent="0.3">
      <c r="A266" s="1">
        <v>1264</v>
      </c>
      <c r="B266" s="2">
        <v>45805</v>
      </c>
      <c r="C266" s="1" t="s">
        <v>10</v>
      </c>
      <c r="D266" s="1" t="s">
        <v>38</v>
      </c>
      <c r="E266" s="1" t="s">
        <v>28</v>
      </c>
      <c r="F266" s="1">
        <v>762.49</v>
      </c>
      <c r="G266" s="1" t="s">
        <v>32</v>
      </c>
      <c r="H266" s="2">
        <v>27166</v>
      </c>
      <c r="I266" s="2">
        <v>45807</v>
      </c>
      <c r="J266" s="1">
        <v>16.559999999999999</v>
      </c>
      <c r="K266" s="4">
        <f t="shared" si="11"/>
        <v>126.268344</v>
      </c>
      <c r="L266" s="4">
        <f t="shared" si="12"/>
        <v>636.22165600000005</v>
      </c>
    </row>
    <row r="267" spans="1:12" x14ac:dyDescent="0.3">
      <c r="A267" s="1">
        <v>1265</v>
      </c>
      <c r="B267" s="2">
        <v>45103</v>
      </c>
      <c r="C267" s="1" t="s">
        <v>35</v>
      </c>
      <c r="D267" s="1" t="s">
        <v>61</v>
      </c>
      <c r="E267" s="1" t="s">
        <v>19</v>
      </c>
      <c r="F267" s="1">
        <v>3658.32</v>
      </c>
      <c r="G267" s="1" t="s">
        <v>63</v>
      </c>
      <c r="H267" s="2">
        <v>25430</v>
      </c>
      <c r="I267" s="2">
        <v>45116</v>
      </c>
      <c r="J267" s="1">
        <v>27.9</v>
      </c>
      <c r="K267" s="4">
        <f t="shared" si="11"/>
        <v>1020.6712799999999</v>
      </c>
      <c r="L267" s="4">
        <f t="shared" si="12"/>
        <v>2637.6487200000001</v>
      </c>
    </row>
    <row r="268" spans="1:12" x14ac:dyDescent="0.3">
      <c r="A268" s="1">
        <v>1266</v>
      </c>
      <c r="B268" s="2">
        <v>45878</v>
      </c>
      <c r="C268" s="1" t="s">
        <v>35</v>
      </c>
      <c r="D268" s="1" t="s">
        <v>33</v>
      </c>
      <c r="E268" s="1" t="s">
        <v>16</v>
      </c>
      <c r="F268" s="1">
        <v>4570.67</v>
      </c>
      <c r="G268" s="1" t="s">
        <v>223</v>
      </c>
      <c r="H268" s="2">
        <v>35407</v>
      </c>
      <c r="I268" s="2">
        <v>45880</v>
      </c>
      <c r="J268" s="1">
        <v>40.4</v>
      </c>
      <c r="K268" s="4">
        <f t="shared" si="11"/>
        <v>1846.5506799999998</v>
      </c>
      <c r="L268" s="4">
        <f t="shared" si="12"/>
        <v>2724.1193200000002</v>
      </c>
    </row>
    <row r="269" spans="1:12" x14ac:dyDescent="0.3">
      <c r="A269" s="1">
        <v>1267</v>
      </c>
      <c r="B269" s="2">
        <v>44454</v>
      </c>
      <c r="C269" s="1" t="s">
        <v>26</v>
      </c>
      <c r="D269" s="1" t="s">
        <v>36</v>
      </c>
      <c r="E269" s="1" t="s">
        <v>28</v>
      </c>
      <c r="F269" s="1">
        <v>175.11</v>
      </c>
      <c r="G269" s="1" t="s">
        <v>224</v>
      </c>
      <c r="H269" s="2">
        <v>35405</v>
      </c>
      <c r="I269" s="2">
        <v>44461</v>
      </c>
      <c r="J269" s="1">
        <v>23.84</v>
      </c>
      <c r="K269" s="4">
        <f t="shared" si="11"/>
        <v>41.746224000000005</v>
      </c>
      <c r="L269" s="4">
        <f t="shared" si="12"/>
        <v>133.363776</v>
      </c>
    </row>
    <row r="270" spans="1:12" x14ac:dyDescent="0.3">
      <c r="A270" s="1">
        <v>1268</v>
      </c>
      <c r="B270" s="2">
        <v>44776</v>
      </c>
      <c r="C270" s="1" t="s">
        <v>10</v>
      </c>
      <c r="D270" s="1" t="s">
        <v>69</v>
      </c>
      <c r="E270" s="1" t="s">
        <v>12</v>
      </c>
      <c r="F270" s="1">
        <v>1206.06</v>
      </c>
      <c r="G270" s="1" t="s">
        <v>32</v>
      </c>
      <c r="H270" s="2">
        <v>27166</v>
      </c>
      <c r="I270" s="2">
        <v>44782</v>
      </c>
      <c r="J270" s="1">
        <v>10.39</v>
      </c>
      <c r="K270" s="4">
        <f t="shared" si="11"/>
        <v>125.309634</v>
      </c>
      <c r="L270" s="4">
        <f t="shared" si="12"/>
        <v>1080.750366</v>
      </c>
    </row>
    <row r="271" spans="1:12" x14ac:dyDescent="0.3">
      <c r="A271" s="1">
        <v>1269</v>
      </c>
      <c r="B271" s="2">
        <v>44135</v>
      </c>
      <c r="C271" s="1" t="s">
        <v>26</v>
      </c>
      <c r="D271" s="1" t="s">
        <v>65</v>
      </c>
      <c r="E271" s="1" t="s">
        <v>19</v>
      </c>
      <c r="F271" s="1">
        <v>800.68</v>
      </c>
      <c r="G271" s="1" t="s">
        <v>129</v>
      </c>
      <c r="H271" s="2">
        <v>26668</v>
      </c>
      <c r="I271" s="2">
        <v>44142</v>
      </c>
      <c r="J271" s="1">
        <v>13.26</v>
      </c>
      <c r="K271" s="4">
        <f t="shared" si="11"/>
        <v>106.17016799999999</v>
      </c>
      <c r="L271" s="4">
        <f t="shared" si="12"/>
        <v>694.50983199999996</v>
      </c>
    </row>
    <row r="272" spans="1:12" x14ac:dyDescent="0.3">
      <c r="A272" s="1">
        <v>1270</v>
      </c>
      <c r="B272" s="2">
        <v>44757</v>
      </c>
      <c r="C272" s="1" t="s">
        <v>35</v>
      </c>
      <c r="D272" s="1" t="s">
        <v>36</v>
      </c>
      <c r="E272" s="1" t="s">
        <v>28</v>
      </c>
      <c r="F272" s="1">
        <v>1878.78</v>
      </c>
      <c r="G272" s="1" t="s">
        <v>46</v>
      </c>
      <c r="H272" s="2">
        <v>24670</v>
      </c>
      <c r="I272" s="2">
        <v>44766</v>
      </c>
      <c r="J272" s="1">
        <v>1.81</v>
      </c>
      <c r="K272" s="4">
        <f t="shared" si="11"/>
        <v>34.005918000000001</v>
      </c>
      <c r="L272" s="4">
        <f t="shared" si="12"/>
        <v>1844.7740819999999</v>
      </c>
    </row>
    <row r="273" spans="1:12" x14ac:dyDescent="0.3">
      <c r="A273" s="1">
        <v>1271</v>
      </c>
      <c r="B273" s="2">
        <v>45831</v>
      </c>
      <c r="C273" s="1" t="s">
        <v>14</v>
      </c>
      <c r="D273" s="1" t="s">
        <v>30</v>
      </c>
      <c r="E273" s="1" t="s">
        <v>31</v>
      </c>
      <c r="F273" s="1">
        <v>854.3</v>
      </c>
      <c r="G273" s="1" t="s">
        <v>225</v>
      </c>
      <c r="H273" s="2">
        <v>27641</v>
      </c>
      <c r="I273" s="2">
        <v>45844</v>
      </c>
      <c r="J273" s="1">
        <v>34.979999999999997</v>
      </c>
      <c r="K273" s="4">
        <f t="shared" si="11"/>
        <v>298.83413999999993</v>
      </c>
      <c r="L273" s="4">
        <f t="shared" si="12"/>
        <v>555.46586000000002</v>
      </c>
    </row>
    <row r="274" spans="1:12" x14ac:dyDescent="0.3">
      <c r="A274" s="1">
        <v>1272</v>
      </c>
      <c r="B274" s="2">
        <v>45875</v>
      </c>
      <c r="C274" s="1" t="s">
        <v>14</v>
      </c>
      <c r="D274" s="1" t="s">
        <v>47</v>
      </c>
      <c r="E274" s="1" t="s">
        <v>12</v>
      </c>
      <c r="F274" s="1">
        <v>3347.21</v>
      </c>
      <c r="G274" s="1" t="s">
        <v>67</v>
      </c>
      <c r="H274" s="2">
        <v>34016</v>
      </c>
      <c r="I274" s="2">
        <v>45880</v>
      </c>
      <c r="J274" s="1">
        <v>41.7</v>
      </c>
      <c r="K274" s="4">
        <f t="shared" si="11"/>
        <v>1395.7865700000002</v>
      </c>
      <c r="L274" s="4">
        <f t="shared" si="12"/>
        <v>1951.4234299999998</v>
      </c>
    </row>
    <row r="275" spans="1:12" x14ac:dyDescent="0.3">
      <c r="A275" s="1">
        <v>1273</v>
      </c>
      <c r="B275" s="2">
        <v>45857</v>
      </c>
      <c r="C275" s="1" t="s">
        <v>26</v>
      </c>
      <c r="D275" s="1" t="s">
        <v>53</v>
      </c>
      <c r="E275" s="1" t="s">
        <v>28</v>
      </c>
      <c r="F275" s="1">
        <v>2890.65</v>
      </c>
      <c r="G275" s="1" t="s">
        <v>226</v>
      </c>
      <c r="H275" s="2">
        <v>33332</v>
      </c>
      <c r="I275" s="2">
        <v>45868</v>
      </c>
      <c r="J275" s="1">
        <v>27.79</v>
      </c>
      <c r="K275" s="4">
        <f t="shared" si="11"/>
        <v>803.31163500000002</v>
      </c>
      <c r="L275" s="4">
        <f t="shared" si="12"/>
        <v>2087.3383650000001</v>
      </c>
    </row>
    <row r="276" spans="1:12" x14ac:dyDescent="0.3">
      <c r="A276" s="1">
        <v>1274</v>
      </c>
      <c r="B276" s="2">
        <v>45696</v>
      </c>
      <c r="C276" s="1" t="s">
        <v>26</v>
      </c>
      <c r="D276" s="1" t="s">
        <v>49</v>
      </c>
      <c r="E276" s="1" t="s">
        <v>12</v>
      </c>
      <c r="F276" s="1">
        <v>3258.98</v>
      </c>
      <c r="G276" s="1" t="s">
        <v>227</v>
      </c>
      <c r="H276" s="2">
        <v>34932</v>
      </c>
      <c r="I276" s="2">
        <v>45701</v>
      </c>
      <c r="J276" s="1">
        <v>15.98</v>
      </c>
      <c r="K276" s="4">
        <f t="shared" si="11"/>
        <v>520.78500399999996</v>
      </c>
      <c r="L276" s="4">
        <f t="shared" si="12"/>
        <v>2738.1949960000002</v>
      </c>
    </row>
    <row r="277" spans="1:12" x14ac:dyDescent="0.3">
      <c r="A277" s="1">
        <v>1275</v>
      </c>
      <c r="B277" s="2">
        <v>45724</v>
      </c>
      <c r="C277" s="1" t="s">
        <v>10</v>
      </c>
      <c r="D277" s="1" t="s">
        <v>49</v>
      </c>
      <c r="E277" s="1" t="s">
        <v>12</v>
      </c>
      <c r="F277" s="1">
        <v>2674.72</v>
      </c>
      <c r="G277" s="1" t="s">
        <v>90</v>
      </c>
      <c r="H277" s="2">
        <v>29348</v>
      </c>
      <c r="I277" s="2">
        <v>45730</v>
      </c>
      <c r="J277" s="1">
        <v>41</v>
      </c>
      <c r="K277" s="4">
        <f t="shared" si="11"/>
        <v>1096.6351999999999</v>
      </c>
      <c r="L277" s="4">
        <f t="shared" si="12"/>
        <v>1578.0847999999999</v>
      </c>
    </row>
    <row r="278" spans="1:12" x14ac:dyDescent="0.3">
      <c r="A278" s="1">
        <v>1276</v>
      </c>
      <c r="B278" s="2">
        <v>45664</v>
      </c>
      <c r="C278" s="1" t="s">
        <v>35</v>
      </c>
      <c r="D278" s="1" t="s">
        <v>47</v>
      </c>
      <c r="E278" s="1" t="s">
        <v>12</v>
      </c>
      <c r="F278" s="1">
        <v>2605.23</v>
      </c>
      <c r="G278" s="1" t="s">
        <v>228</v>
      </c>
      <c r="H278" s="2">
        <v>25811</v>
      </c>
      <c r="I278" s="2">
        <v>45671</v>
      </c>
      <c r="J278" s="1">
        <v>38.31</v>
      </c>
      <c r="K278" s="4">
        <f t="shared" si="11"/>
        <v>998.06361300000003</v>
      </c>
      <c r="L278" s="4">
        <f t="shared" si="12"/>
        <v>1607.166387</v>
      </c>
    </row>
    <row r="279" spans="1:12" x14ac:dyDescent="0.3">
      <c r="A279" s="1">
        <v>1277</v>
      </c>
      <c r="B279" s="2">
        <v>44414</v>
      </c>
      <c r="C279" s="1" t="s">
        <v>10</v>
      </c>
      <c r="D279" s="1" t="s">
        <v>38</v>
      </c>
      <c r="E279" s="1" t="s">
        <v>28</v>
      </c>
      <c r="F279" s="1">
        <v>1138.02</v>
      </c>
      <c r="G279" s="1" t="s">
        <v>212</v>
      </c>
      <c r="H279" s="2">
        <v>23674</v>
      </c>
      <c r="I279" s="2">
        <v>44426</v>
      </c>
      <c r="J279" s="1">
        <v>44.7</v>
      </c>
      <c r="K279" s="4">
        <f t="shared" si="11"/>
        <v>508.69493999999997</v>
      </c>
      <c r="L279" s="4">
        <f t="shared" si="12"/>
        <v>629.32506000000001</v>
      </c>
    </row>
    <row r="280" spans="1:12" x14ac:dyDescent="0.3">
      <c r="A280" s="1">
        <v>1278</v>
      </c>
      <c r="B280" s="2">
        <v>45112</v>
      </c>
      <c r="C280" s="1" t="s">
        <v>14</v>
      </c>
      <c r="D280" s="1" t="s">
        <v>15</v>
      </c>
      <c r="E280" s="1" t="s">
        <v>16</v>
      </c>
      <c r="F280" s="1">
        <v>1792.81</v>
      </c>
      <c r="G280" s="1" t="s">
        <v>229</v>
      </c>
      <c r="H280" s="2">
        <v>37783</v>
      </c>
      <c r="I280" s="2">
        <v>45114</v>
      </c>
      <c r="J280" s="1">
        <v>0.96</v>
      </c>
      <c r="K280" s="4">
        <f t="shared" si="11"/>
        <v>17.210975999999999</v>
      </c>
      <c r="L280" s="4">
        <f t="shared" si="12"/>
        <v>1775.5990239999999</v>
      </c>
    </row>
    <row r="281" spans="1:12" x14ac:dyDescent="0.3">
      <c r="A281" s="1">
        <v>1279</v>
      </c>
      <c r="B281" s="2">
        <v>45807</v>
      </c>
      <c r="C281" s="1" t="s">
        <v>35</v>
      </c>
      <c r="D281" s="1" t="s">
        <v>24</v>
      </c>
      <c r="E281" s="1" t="s">
        <v>19</v>
      </c>
      <c r="F281" s="1">
        <v>281.86</v>
      </c>
      <c r="G281" s="1" t="s">
        <v>100</v>
      </c>
      <c r="H281" s="2">
        <v>22100</v>
      </c>
      <c r="I281" s="2">
        <v>45815</v>
      </c>
      <c r="J281" s="1">
        <v>40.89</v>
      </c>
      <c r="K281" s="4">
        <f t="shared" si="11"/>
        <v>115.252554</v>
      </c>
      <c r="L281" s="4">
        <f t="shared" si="12"/>
        <v>166.60744600000001</v>
      </c>
    </row>
    <row r="282" spans="1:12" x14ac:dyDescent="0.3">
      <c r="A282" s="1">
        <v>1280</v>
      </c>
      <c r="B282" s="2">
        <v>44353</v>
      </c>
      <c r="C282" s="1" t="s">
        <v>21</v>
      </c>
      <c r="D282" s="1" t="s">
        <v>53</v>
      </c>
      <c r="E282" s="1" t="s">
        <v>28</v>
      </c>
      <c r="F282" s="1">
        <v>926.55</v>
      </c>
      <c r="G282" s="1" t="s">
        <v>192</v>
      </c>
      <c r="H282" s="2">
        <v>33626</v>
      </c>
      <c r="I282" s="2">
        <v>44359</v>
      </c>
      <c r="J282" s="1">
        <v>6.59</v>
      </c>
      <c r="K282" s="4">
        <f t="shared" si="11"/>
        <v>61.059644999999996</v>
      </c>
      <c r="L282" s="4">
        <f t="shared" si="12"/>
        <v>865.49035499999991</v>
      </c>
    </row>
    <row r="283" spans="1:12" x14ac:dyDescent="0.3">
      <c r="A283" s="1">
        <v>1281</v>
      </c>
      <c r="B283" s="2">
        <v>44602</v>
      </c>
      <c r="C283" s="1" t="s">
        <v>35</v>
      </c>
      <c r="D283" s="1" t="s">
        <v>18</v>
      </c>
      <c r="E283" s="1" t="s">
        <v>19</v>
      </c>
      <c r="F283" s="1">
        <v>1739.97</v>
      </c>
      <c r="G283" s="1" t="s">
        <v>132</v>
      </c>
      <c r="H283" s="2">
        <v>34364</v>
      </c>
      <c r="I283" s="2">
        <v>44608</v>
      </c>
      <c r="J283" s="1">
        <v>37.43</v>
      </c>
      <c r="K283" s="4">
        <f t="shared" si="11"/>
        <v>651.27077100000008</v>
      </c>
      <c r="L283" s="4">
        <f t="shared" si="12"/>
        <v>1088.6992289999998</v>
      </c>
    </row>
    <row r="284" spans="1:12" x14ac:dyDescent="0.3">
      <c r="A284" s="1">
        <v>1282</v>
      </c>
      <c r="B284" s="2">
        <v>45045</v>
      </c>
      <c r="C284" s="1" t="s">
        <v>35</v>
      </c>
      <c r="D284" s="1" t="s">
        <v>65</v>
      </c>
      <c r="E284" s="1" t="s">
        <v>19</v>
      </c>
      <c r="F284" s="1">
        <v>1567.53</v>
      </c>
      <c r="G284" s="1" t="s">
        <v>148</v>
      </c>
      <c r="H284" s="2">
        <v>22007</v>
      </c>
      <c r="I284" s="2">
        <v>45049</v>
      </c>
      <c r="J284" s="1">
        <v>49</v>
      </c>
      <c r="K284" s="4">
        <f t="shared" si="11"/>
        <v>768.08969999999999</v>
      </c>
      <c r="L284" s="4">
        <f t="shared" si="12"/>
        <v>799.44029999999998</v>
      </c>
    </row>
    <row r="285" spans="1:12" x14ac:dyDescent="0.3">
      <c r="A285" s="1">
        <v>1283</v>
      </c>
      <c r="B285" s="2">
        <v>45017</v>
      </c>
      <c r="C285" s="1" t="s">
        <v>26</v>
      </c>
      <c r="D285" s="1" t="s">
        <v>33</v>
      </c>
      <c r="E285" s="1" t="s">
        <v>16</v>
      </c>
      <c r="F285" s="1">
        <v>1815.01</v>
      </c>
      <c r="G285" s="1" t="s">
        <v>142</v>
      </c>
      <c r="H285" s="2">
        <v>29541</v>
      </c>
      <c r="I285" s="2">
        <v>45031</v>
      </c>
      <c r="J285" s="1">
        <v>30.87</v>
      </c>
      <c r="K285" s="4">
        <f t="shared" si="11"/>
        <v>560.293587</v>
      </c>
      <c r="L285" s="4">
        <f t="shared" si="12"/>
        <v>1254.7164130000001</v>
      </c>
    </row>
    <row r="286" spans="1:12" x14ac:dyDescent="0.3">
      <c r="A286" s="1">
        <v>1284</v>
      </c>
      <c r="B286" s="2">
        <v>45082</v>
      </c>
      <c r="C286" s="1" t="s">
        <v>10</v>
      </c>
      <c r="D286" s="1" t="s">
        <v>102</v>
      </c>
      <c r="E286" s="1" t="s">
        <v>12</v>
      </c>
      <c r="F286" s="1">
        <v>3756.55</v>
      </c>
      <c r="G286" s="1" t="s">
        <v>120</v>
      </c>
      <c r="H286" s="2">
        <v>30820</v>
      </c>
      <c r="I286" s="2">
        <v>45088</v>
      </c>
      <c r="J286" s="1">
        <v>23.22</v>
      </c>
      <c r="K286" s="4">
        <f t="shared" si="11"/>
        <v>872.27090999999996</v>
      </c>
      <c r="L286" s="4">
        <f t="shared" si="12"/>
        <v>2884.27909</v>
      </c>
    </row>
    <row r="287" spans="1:12" x14ac:dyDescent="0.3">
      <c r="A287" s="1">
        <v>1285</v>
      </c>
      <c r="B287" s="2">
        <v>45807</v>
      </c>
      <c r="C287" s="1" t="s">
        <v>26</v>
      </c>
      <c r="D287" s="1" t="s">
        <v>22</v>
      </c>
      <c r="E287" s="1" t="s">
        <v>19</v>
      </c>
      <c r="F287" s="1">
        <v>1008.01</v>
      </c>
      <c r="G287" s="1" t="s">
        <v>230</v>
      </c>
      <c r="H287" s="2">
        <v>35642</v>
      </c>
      <c r="I287" s="2">
        <v>45812</v>
      </c>
      <c r="J287" s="1">
        <v>47.76</v>
      </c>
      <c r="K287" s="4">
        <f t="shared" si="11"/>
        <v>481.42557599999998</v>
      </c>
      <c r="L287" s="4">
        <f t="shared" si="12"/>
        <v>526.58442400000001</v>
      </c>
    </row>
    <row r="288" spans="1:12" x14ac:dyDescent="0.3">
      <c r="A288" s="1">
        <v>1286</v>
      </c>
      <c r="B288" s="2">
        <v>45456</v>
      </c>
      <c r="C288" s="1" t="s">
        <v>35</v>
      </c>
      <c r="D288" s="1" t="s">
        <v>69</v>
      </c>
      <c r="E288" s="1" t="s">
        <v>31</v>
      </c>
      <c r="F288" s="1">
        <v>2518.66</v>
      </c>
      <c r="G288" s="1" t="s">
        <v>231</v>
      </c>
      <c r="H288" s="2">
        <v>32047</v>
      </c>
      <c r="I288" s="2">
        <v>45468</v>
      </c>
      <c r="J288" s="1">
        <v>37.5</v>
      </c>
      <c r="K288" s="4">
        <f t="shared" si="11"/>
        <v>944.49749999999995</v>
      </c>
      <c r="L288" s="4">
        <f t="shared" si="12"/>
        <v>1574.1624999999999</v>
      </c>
    </row>
    <row r="289" spans="1:12" x14ac:dyDescent="0.3">
      <c r="A289" s="1">
        <v>1287</v>
      </c>
      <c r="B289" s="2">
        <v>44150</v>
      </c>
      <c r="C289" s="1" t="s">
        <v>35</v>
      </c>
      <c r="D289" s="1" t="s">
        <v>15</v>
      </c>
      <c r="E289" s="1" t="s">
        <v>16</v>
      </c>
      <c r="F289" s="1">
        <v>791.54</v>
      </c>
      <c r="G289" s="1" t="s">
        <v>232</v>
      </c>
      <c r="H289" s="2">
        <v>37913</v>
      </c>
      <c r="I289" s="2">
        <v>44160</v>
      </c>
      <c r="J289" s="1">
        <v>1.71</v>
      </c>
      <c r="K289" s="4">
        <f t="shared" si="11"/>
        <v>13.535334000000001</v>
      </c>
      <c r="L289" s="4">
        <f t="shared" si="12"/>
        <v>778.00466599999993</v>
      </c>
    </row>
    <row r="290" spans="1:12" x14ac:dyDescent="0.3">
      <c r="A290" s="1">
        <v>1288</v>
      </c>
      <c r="B290" s="2">
        <v>44486</v>
      </c>
      <c r="C290" s="1" t="s">
        <v>10</v>
      </c>
      <c r="D290" s="1" t="s">
        <v>27</v>
      </c>
      <c r="E290" s="1" t="s">
        <v>28</v>
      </c>
      <c r="F290" s="1">
        <v>2583.3000000000002</v>
      </c>
      <c r="G290" s="1" t="s">
        <v>213</v>
      </c>
      <c r="H290" s="2">
        <v>34345</v>
      </c>
      <c r="I290" s="2">
        <v>44493</v>
      </c>
      <c r="J290" s="1">
        <v>25.43</v>
      </c>
      <c r="K290" s="4">
        <f t="shared" si="11"/>
        <v>656.93318999999997</v>
      </c>
      <c r="L290" s="4">
        <f t="shared" si="12"/>
        <v>1926.3668100000002</v>
      </c>
    </row>
    <row r="291" spans="1:12" x14ac:dyDescent="0.3">
      <c r="A291" s="1">
        <v>1289</v>
      </c>
      <c r="B291" s="2">
        <v>44768</v>
      </c>
      <c r="C291" s="1" t="s">
        <v>21</v>
      </c>
      <c r="D291" s="1" t="s">
        <v>53</v>
      </c>
      <c r="E291" s="1" t="s">
        <v>28</v>
      </c>
      <c r="F291" s="1">
        <v>746.65</v>
      </c>
      <c r="G291" s="1" t="s">
        <v>129</v>
      </c>
      <c r="H291" s="2">
        <v>25933</v>
      </c>
      <c r="I291" s="2">
        <v>44773</v>
      </c>
      <c r="J291" s="1">
        <v>22.2</v>
      </c>
      <c r="K291" s="4">
        <f t="shared" si="11"/>
        <v>165.75630000000001</v>
      </c>
      <c r="L291" s="4">
        <f t="shared" si="12"/>
        <v>580.89369999999997</v>
      </c>
    </row>
    <row r="292" spans="1:12" x14ac:dyDescent="0.3">
      <c r="A292" s="1">
        <v>1290</v>
      </c>
      <c r="B292" s="2">
        <v>44419</v>
      </c>
      <c r="C292" s="1" t="s">
        <v>35</v>
      </c>
      <c r="D292" s="1" t="s">
        <v>58</v>
      </c>
      <c r="E292" s="1" t="s">
        <v>31</v>
      </c>
      <c r="F292" s="1">
        <v>3547.69</v>
      </c>
      <c r="G292" s="1" t="s">
        <v>90</v>
      </c>
      <c r="H292" s="2">
        <v>29348</v>
      </c>
      <c r="I292" s="2">
        <v>44423</v>
      </c>
      <c r="J292" s="1">
        <v>29.29</v>
      </c>
      <c r="K292" s="4">
        <f t="shared" si="11"/>
        <v>1039.1184009999999</v>
      </c>
      <c r="L292" s="4">
        <f t="shared" si="12"/>
        <v>2508.5715989999999</v>
      </c>
    </row>
    <row r="293" spans="1:12" x14ac:dyDescent="0.3">
      <c r="A293" s="1">
        <v>1291</v>
      </c>
      <c r="B293" s="2">
        <v>44229</v>
      </c>
      <c r="C293" s="1" t="s">
        <v>14</v>
      </c>
      <c r="D293" s="1" t="s">
        <v>47</v>
      </c>
      <c r="E293" s="1" t="s">
        <v>12</v>
      </c>
      <c r="F293" s="1">
        <v>3240.37</v>
      </c>
      <c r="G293" s="1" t="s">
        <v>233</v>
      </c>
      <c r="H293" s="2">
        <v>38826</v>
      </c>
      <c r="I293" s="2">
        <v>44235</v>
      </c>
      <c r="J293" s="1">
        <v>27.44</v>
      </c>
      <c r="K293" s="4">
        <f t="shared" si="11"/>
        <v>889.15752800000007</v>
      </c>
      <c r="L293" s="4">
        <f t="shared" si="12"/>
        <v>2351.2124719999997</v>
      </c>
    </row>
    <row r="294" spans="1:12" x14ac:dyDescent="0.3">
      <c r="A294" s="1">
        <v>1292</v>
      </c>
      <c r="B294" s="2">
        <v>45799</v>
      </c>
      <c r="C294" s="1" t="s">
        <v>10</v>
      </c>
      <c r="D294" s="1" t="s">
        <v>69</v>
      </c>
      <c r="E294" s="1" t="s">
        <v>12</v>
      </c>
      <c r="F294" s="1">
        <v>1365.32</v>
      </c>
      <c r="G294" s="1" t="s">
        <v>217</v>
      </c>
      <c r="H294" s="2">
        <v>36951</v>
      </c>
      <c r="I294" s="2">
        <v>45803</v>
      </c>
      <c r="J294" s="1">
        <v>19.55</v>
      </c>
      <c r="K294" s="4">
        <f t="shared" si="11"/>
        <v>266.92005999999998</v>
      </c>
      <c r="L294" s="4">
        <f t="shared" si="12"/>
        <v>1098.39994</v>
      </c>
    </row>
    <row r="295" spans="1:12" x14ac:dyDescent="0.3">
      <c r="A295" s="1">
        <v>1293</v>
      </c>
      <c r="B295" s="2">
        <v>45221</v>
      </c>
      <c r="C295" s="1" t="s">
        <v>14</v>
      </c>
      <c r="D295" s="1" t="s">
        <v>49</v>
      </c>
      <c r="E295" s="1" t="s">
        <v>12</v>
      </c>
      <c r="F295" s="1">
        <v>1475.57</v>
      </c>
      <c r="G295" s="1" t="s">
        <v>178</v>
      </c>
      <c r="H295" s="2">
        <v>23890</v>
      </c>
      <c r="I295" s="2">
        <v>45229</v>
      </c>
      <c r="J295" s="1">
        <v>32.5</v>
      </c>
      <c r="K295" s="4">
        <f t="shared" si="11"/>
        <v>479.56025</v>
      </c>
      <c r="L295" s="4">
        <f t="shared" si="12"/>
        <v>996.00974999999994</v>
      </c>
    </row>
    <row r="296" spans="1:12" x14ac:dyDescent="0.3">
      <c r="A296" s="1">
        <v>1294</v>
      </c>
      <c r="B296" s="2">
        <v>45335</v>
      </c>
      <c r="C296" s="1" t="s">
        <v>14</v>
      </c>
      <c r="D296" s="1" t="s">
        <v>30</v>
      </c>
      <c r="E296" s="1" t="s">
        <v>31</v>
      </c>
      <c r="F296" s="1">
        <v>714.22</v>
      </c>
      <c r="G296" s="1" t="s">
        <v>234</v>
      </c>
      <c r="H296" s="2">
        <v>24368</v>
      </c>
      <c r="I296" s="2">
        <v>45340</v>
      </c>
      <c r="J296" s="1">
        <v>40.56</v>
      </c>
      <c r="K296" s="4">
        <f t="shared" si="11"/>
        <v>289.68763200000001</v>
      </c>
      <c r="L296" s="4">
        <f t="shared" si="12"/>
        <v>424.53236800000002</v>
      </c>
    </row>
    <row r="297" spans="1:12" x14ac:dyDescent="0.3">
      <c r="A297" s="1">
        <v>1295</v>
      </c>
      <c r="B297" s="2">
        <v>45791</v>
      </c>
      <c r="C297" s="1" t="s">
        <v>35</v>
      </c>
      <c r="D297" s="1" t="s">
        <v>11</v>
      </c>
      <c r="E297" s="1" t="s">
        <v>12</v>
      </c>
      <c r="F297" s="1">
        <v>2154.89</v>
      </c>
      <c r="G297" s="1" t="s">
        <v>50</v>
      </c>
      <c r="H297" s="2">
        <v>22594</v>
      </c>
      <c r="I297" s="2">
        <v>45792</v>
      </c>
      <c r="J297" s="1">
        <v>25</v>
      </c>
      <c r="K297" s="4">
        <f t="shared" si="11"/>
        <v>538.72249999999997</v>
      </c>
      <c r="L297" s="4">
        <f t="shared" si="12"/>
        <v>1616.1675</v>
      </c>
    </row>
    <row r="298" spans="1:12" x14ac:dyDescent="0.3">
      <c r="A298" s="1">
        <v>1296</v>
      </c>
      <c r="B298" s="2">
        <v>45625</v>
      </c>
      <c r="C298" s="1" t="s">
        <v>21</v>
      </c>
      <c r="D298" s="1" t="s">
        <v>44</v>
      </c>
      <c r="E298" s="1" t="s">
        <v>16</v>
      </c>
      <c r="F298" s="1">
        <v>4002.12</v>
      </c>
      <c r="G298" s="1" t="s">
        <v>178</v>
      </c>
      <c r="H298" s="2">
        <v>23890</v>
      </c>
      <c r="I298" s="2">
        <v>45633</v>
      </c>
      <c r="J298" s="1">
        <v>46.69</v>
      </c>
      <c r="K298" s="4">
        <f t="shared" si="11"/>
        <v>1868.5898279999999</v>
      </c>
      <c r="L298" s="4">
        <f t="shared" si="12"/>
        <v>2133.5301719999998</v>
      </c>
    </row>
    <row r="299" spans="1:12" x14ac:dyDescent="0.3">
      <c r="A299" s="1">
        <v>1297</v>
      </c>
      <c r="B299" s="2">
        <v>44703</v>
      </c>
      <c r="C299" s="1" t="s">
        <v>26</v>
      </c>
      <c r="D299" s="1" t="s">
        <v>22</v>
      </c>
      <c r="E299" s="1" t="s">
        <v>19</v>
      </c>
      <c r="F299" s="1">
        <v>3838.33</v>
      </c>
      <c r="G299" s="1" t="s">
        <v>210</v>
      </c>
      <c r="H299" s="2">
        <v>27550</v>
      </c>
      <c r="I299" s="2">
        <v>44713</v>
      </c>
      <c r="J299" s="1">
        <v>24.79</v>
      </c>
      <c r="K299" s="4">
        <f t="shared" si="11"/>
        <v>951.52200699999992</v>
      </c>
      <c r="L299" s="4">
        <f t="shared" si="12"/>
        <v>2886.8079929999999</v>
      </c>
    </row>
    <row r="300" spans="1:12" x14ac:dyDescent="0.3">
      <c r="A300" s="1">
        <v>1298</v>
      </c>
      <c r="B300" s="2">
        <v>45461</v>
      </c>
      <c r="C300" s="1" t="s">
        <v>35</v>
      </c>
      <c r="D300" s="1" t="s">
        <v>33</v>
      </c>
      <c r="E300" s="1" t="s">
        <v>16</v>
      </c>
      <c r="F300" s="1">
        <v>828.96</v>
      </c>
      <c r="G300" s="1" t="s">
        <v>235</v>
      </c>
      <c r="H300" s="2">
        <v>36760</v>
      </c>
      <c r="I300" s="2">
        <v>45462</v>
      </c>
      <c r="J300" s="1">
        <v>40.68</v>
      </c>
      <c r="K300" s="4">
        <f t="shared" si="11"/>
        <v>337.22092800000001</v>
      </c>
      <c r="L300" s="4">
        <f t="shared" si="12"/>
        <v>491.73907200000002</v>
      </c>
    </row>
    <row r="301" spans="1:12" x14ac:dyDescent="0.3">
      <c r="A301" s="1">
        <v>1299</v>
      </c>
      <c r="B301" s="2">
        <v>44819</v>
      </c>
      <c r="C301" s="1" t="s">
        <v>10</v>
      </c>
      <c r="D301" s="1" t="s">
        <v>38</v>
      </c>
      <c r="E301" s="1" t="s">
        <v>28</v>
      </c>
      <c r="F301" s="1">
        <v>2757.73</v>
      </c>
      <c r="G301" s="1" t="s">
        <v>152</v>
      </c>
      <c r="H301" s="2">
        <v>24792</v>
      </c>
      <c r="I301" s="2">
        <v>44829</v>
      </c>
      <c r="J301" s="1">
        <v>21.95</v>
      </c>
      <c r="K301" s="4">
        <f t="shared" si="11"/>
        <v>605.32173499999999</v>
      </c>
      <c r="L301" s="4">
        <f t="shared" si="12"/>
        <v>2152.408265</v>
      </c>
    </row>
    <row r="302" spans="1:12" x14ac:dyDescent="0.3">
      <c r="A302" s="1">
        <v>1300</v>
      </c>
      <c r="B302" s="2">
        <v>45780</v>
      </c>
      <c r="C302" s="1" t="s">
        <v>35</v>
      </c>
      <c r="D302" s="1" t="s">
        <v>36</v>
      </c>
      <c r="E302" s="1" t="s">
        <v>28</v>
      </c>
      <c r="F302" s="1">
        <v>4519.3100000000004</v>
      </c>
      <c r="G302" s="1" t="s">
        <v>154</v>
      </c>
      <c r="H302" s="2">
        <v>32146</v>
      </c>
      <c r="I302" s="2">
        <v>45791</v>
      </c>
      <c r="J302" s="1">
        <v>34.9</v>
      </c>
      <c r="K302" s="4">
        <f t="shared" si="11"/>
        <v>1577.23919</v>
      </c>
      <c r="L302" s="4">
        <f t="shared" si="12"/>
        <v>2942.0708100000002</v>
      </c>
    </row>
    <row r="303" spans="1:12" x14ac:dyDescent="0.3">
      <c r="A303" s="1">
        <v>1301</v>
      </c>
      <c r="B303" s="2">
        <v>45060</v>
      </c>
      <c r="C303" s="1" t="s">
        <v>14</v>
      </c>
      <c r="D303" s="1" t="s">
        <v>33</v>
      </c>
      <c r="E303" s="1" t="s">
        <v>16</v>
      </c>
      <c r="F303" s="1">
        <v>2137.69</v>
      </c>
      <c r="G303" s="1" t="s">
        <v>236</v>
      </c>
      <c r="H303" s="2">
        <v>36099</v>
      </c>
      <c r="I303" s="2">
        <v>45074</v>
      </c>
      <c r="J303" s="1">
        <v>25.33</v>
      </c>
      <c r="K303" s="4">
        <f t="shared" si="11"/>
        <v>541.47687699999994</v>
      </c>
      <c r="L303" s="4">
        <f t="shared" si="12"/>
        <v>1596.213123</v>
      </c>
    </row>
    <row r="304" spans="1:12" x14ac:dyDescent="0.3">
      <c r="A304" s="1">
        <v>1302</v>
      </c>
      <c r="B304" s="2">
        <v>44344</v>
      </c>
      <c r="C304" s="1" t="s">
        <v>10</v>
      </c>
      <c r="D304" s="1" t="s">
        <v>73</v>
      </c>
      <c r="E304" s="1" t="s">
        <v>28</v>
      </c>
      <c r="F304" s="1">
        <v>3401.09</v>
      </c>
      <c r="G304" s="1" t="s">
        <v>113</v>
      </c>
      <c r="H304" s="2">
        <v>25579</v>
      </c>
      <c r="I304" s="2">
        <v>44348</v>
      </c>
      <c r="J304" s="1">
        <v>29.35</v>
      </c>
      <c r="K304" s="4">
        <f t="shared" si="11"/>
        <v>998.21991500000013</v>
      </c>
      <c r="L304" s="4">
        <f t="shared" si="12"/>
        <v>2402.870085</v>
      </c>
    </row>
    <row r="305" spans="1:12" x14ac:dyDescent="0.3">
      <c r="A305" s="1">
        <v>1303</v>
      </c>
      <c r="B305" s="2">
        <v>44677</v>
      </c>
      <c r="C305" s="1" t="s">
        <v>26</v>
      </c>
      <c r="D305" s="1" t="s">
        <v>61</v>
      </c>
      <c r="E305" s="1" t="s">
        <v>19</v>
      </c>
      <c r="F305" s="1">
        <v>3673.8</v>
      </c>
      <c r="G305" s="1" t="s">
        <v>25</v>
      </c>
      <c r="H305" s="2">
        <v>33386</v>
      </c>
      <c r="I305" s="2">
        <v>44688</v>
      </c>
      <c r="J305" s="1">
        <v>22.63</v>
      </c>
      <c r="K305" s="4">
        <f t="shared" si="11"/>
        <v>831.38094000000001</v>
      </c>
      <c r="L305" s="4">
        <f t="shared" si="12"/>
        <v>2842.4190600000002</v>
      </c>
    </row>
    <row r="306" spans="1:12" x14ac:dyDescent="0.3">
      <c r="A306" s="1">
        <v>1304</v>
      </c>
      <c r="B306" s="2">
        <v>44833</v>
      </c>
      <c r="C306" s="1" t="s">
        <v>21</v>
      </c>
      <c r="D306" s="1" t="s">
        <v>61</v>
      </c>
      <c r="E306" s="1" t="s">
        <v>19</v>
      </c>
      <c r="F306" s="1">
        <v>3544.31</v>
      </c>
      <c r="G306" s="1" t="s">
        <v>206</v>
      </c>
      <c r="H306" s="2">
        <v>34011</v>
      </c>
      <c r="I306" s="2">
        <v>44844</v>
      </c>
      <c r="J306" s="1">
        <v>26.92</v>
      </c>
      <c r="K306" s="4">
        <f t="shared" si="11"/>
        <v>954.12825199999997</v>
      </c>
      <c r="L306" s="4">
        <f t="shared" si="12"/>
        <v>2590.181748</v>
      </c>
    </row>
    <row r="307" spans="1:12" x14ac:dyDescent="0.3">
      <c r="A307" s="1">
        <v>1305</v>
      </c>
      <c r="B307" s="2">
        <v>45432</v>
      </c>
      <c r="C307" s="1" t="s">
        <v>35</v>
      </c>
      <c r="D307" s="1" t="s">
        <v>58</v>
      </c>
      <c r="E307" s="1" t="s">
        <v>31</v>
      </c>
      <c r="F307" s="1">
        <v>4720.71</v>
      </c>
      <c r="G307" s="1" t="s">
        <v>216</v>
      </c>
      <c r="H307" s="2">
        <v>31419</v>
      </c>
      <c r="I307" s="2">
        <v>45440</v>
      </c>
      <c r="J307" s="1">
        <v>45.5</v>
      </c>
      <c r="K307" s="4">
        <f t="shared" si="11"/>
        <v>2147.9230499999999</v>
      </c>
      <c r="L307" s="4">
        <f t="shared" si="12"/>
        <v>2572.7869500000002</v>
      </c>
    </row>
    <row r="308" spans="1:12" x14ac:dyDescent="0.3">
      <c r="A308" s="1">
        <v>1306</v>
      </c>
      <c r="B308" s="2">
        <v>45432</v>
      </c>
      <c r="C308" s="1" t="s">
        <v>26</v>
      </c>
      <c r="D308" s="1" t="s">
        <v>44</v>
      </c>
      <c r="E308" s="1" t="s">
        <v>16</v>
      </c>
      <c r="F308" s="1">
        <v>680.18</v>
      </c>
      <c r="G308" s="1" t="s">
        <v>124</v>
      </c>
      <c r="H308" s="2">
        <v>30786</v>
      </c>
      <c r="I308" s="2">
        <v>45446</v>
      </c>
      <c r="J308" s="1">
        <v>22.04</v>
      </c>
      <c r="K308" s="4">
        <f t="shared" si="11"/>
        <v>149.91167199999998</v>
      </c>
      <c r="L308" s="4">
        <f t="shared" si="12"/>
        <v>530.268328</v>
      </c>
    </row>
    <row r="309" spans="1:12" x14ac:dyDescent="0.3">
      <c r="A309" s="1">
        <v>1307</v>
      </c>
      <c r="B309" s="2">
        <v>45377</v>
      </c>
      <c r="C309" s="1" t="s">
        <v>26</v>
      </c>
      <c r="D309" s="1" t="s">
        <v>24</v>
      </c>
      <c r="E309" s="1" t="s">
        <v>19</v>
      </c>
      <c r="F309" s="1">
        <v>2670.72</v>
      </c>
      <c r="G309" s="1" t="s">
        <v>234</v>
      </c>
      <c r="H309" s="2">
        <v>24368</v>
      </c>
      <c r="I309" s="2">
        <v>45379</v>
      </c>
      <c r="J309" s="1">
        <v>34.68</v>
      </c>
      <c r="K309" s="4">
        <f t="shared" si="11"/>
        <v>926.20569599999988</v>
      </c>
      <c r="L309" s="4">
        <f t="shared" si="12"/>
        <v>1744.5143039999998</v>
      </c>
    </row>
    <row r="310" spans="1:12" x14ac:dyDescent="0.3">
      <c r="A310" s="1">
        <v>1308</v>
      </c>
      <c r="B310" s="2">
        <v>45111</v>
      </c>
      <c r="C310" s="1" t="s">
        <v>21</v>
      </c>
      <c r="D310" s="1" t="s">
        <v>30</v>
      </c>
      <c r="E310" s="1" t="s">
        <v>31</v>
      </c>
      <c r="F310" s="1">
        <v>4912.82</v>
      </c>
      <c r="G310" s="1" t="s">
        <v>158</v>
      </c>
      <c r="H310" s="2">
        <v>34871</v>
      </c>
      <c r="I310" s="2">
        <v>45123</v>
      </c>
      <c r="J310" s="1">
        <v>43.1</v>
      </c>
      <c r="K310" s="4">
        <f t="shared" si="11"/>
        <v>2117.42542</v>
      </c>
      <c r="L310" s="4">
        <f t="shared" si="12"/>
        <v>2795.3945799999997</v>
      </c>
    </row>
    <row r="311" spans="1:12" x14ac:dyDescent="0.3">
      <c r="A311" s="1">
        <v>1309</v>
      </c>
      <c r="B311" s="2">
        <v>44701</v>
      </c>
      <c r="C311" s="1" t="s">
        <v>10</v>
      </c>
      <c r="D311" s="1" t="s">
        <v>61</v>
      </c>
      <c r="E311" s="1" t="s">
        <v>19</v>
      </c>
      <c r="F311" s="1">
        <v>2214.5700000000002</v>
      </c>
      <c r="G311" s="1" t="s">
        <v>237</v>
      </c>
      <c r="H311" s="2">
        <v>27455</v>
      </c>
      <c r="I311" s="2">
        <v>44713</v>
      </c>
      <c r="J311" s="1">
        <v>13.3</v>
      </c>
      <c r="K311" s="4">
        <f t="shared" si="11"/>
        <v>294.53781000000004</v>
      </c>
      <c r="L311" s="4">
        <f t="shared" si="12"/>
        <v>1920.0321900000001</v>
      </c>
    </row>
    <row r="312" spans="1:12" x14ac:dyDescent="0.3">
      <c r="A312" s="1">
        <v>1310</v>
      </c>
      <c r="B312" s="2">
        <v>44991</v>
      </c>
      <c r="C312" s="1" t="s">
        <v>21</v>
      </c>
      <c r="D312" s="1" t="s">
        <v>88</v>
      </c>
      <c r="E312" s="1" t="s">
        <v>16</v>
      </c>
      <c r="F312" s="1">
        <v>2682.47</v>
      </c>
      <c r="G312" s="1" t="s">
        <v>233</v>
      </c>
      <c r="H312" s="2">
        <v>38826</v>
      </c>
      <c r="I312" s="2">
        <v>45003</v>
      </c>
      <c r="J312" s="1">
        <v>26.43</v>
      </c>
      <c r="K312" s="4">
        <f t="shared" si="11"/>
        <v>708.97682099999986</v>
      </c>
      <c r="L312" s="4">
        <f t="shared" si="12"/>
        <v>1973.4931790000001</v>
      </c>
    </row>
    <row r="313" spans="1:12" x14ac:dyDescent="0.3">
      <c r="A313" s="1">
        <v>1311</v>
      </c>
      <c r="B313" s="2">
        <v>45832</v>
      </c>
      <c r="C313" s="1" t="s">
        <v>10</v>
      </c>
      <c r="D313" s="1" t="s">
        <v>36</v>
      </c>
      <c r="E313" s="1" t="s">
        <v>28</v>
      </c>
      <c r="F313" s="1">
        <v>1078.81</v>
      </c>
      <c r="G313" s="1" t="s">
        <v>238</v>
      </c>
      <c r="H313" s="2">
        <v>31880</v>
      </c>
      <c r="I313" s="2">
        <v>45840</v>
      </c>
      <c r="J313" s="1">
        <v>28.29</v>
      </c>
      <c r="K313" s="4">
        <f t="shared" si="11"/>
        <v>305.19534899999996</v>
      </c>
      <c r="L313" s="4">
        <f t="shared" si="12"/>
        <v>773.61465099999998</v>
      </c>
    </row>
    <row r="314" spans="1:12" x14ac:dyDescent="0.3">
      <c r="A314" s="1">
        <v>1312</v>
      </c>
      <c r="B314" s="2">
        <v>45641</v>
      </c>
      <c r="C314" s="1" t="s">
        <v>21</v>
      </c>
      <c r="D314" s="1" t="s">
        <v>61</v>
      </c>
      <c r="E314" s="1" t="s">
        <v>19</v>
      </c>
      <c r="F314" s="1">
        <v>764.47</v>
      </c>
      <c r="G314" s="1" t="s">
        <v>239</v>
      </c>
      <c r="H314" s="2">
        <v>38442</v>
      </c>
      <c r="I314" s="2">
        <v>45643</v>
      </c>
      <c r="J314" s="1">
        <v>30.02</v>
      </c>
      <c r="K314" s="4">
        <f t="shared" si="11"/>
        <v>229.49389400000001</v>
      </c>
      <c r="L314" s="4">
        <f t="shared" si="12"/>
        <v>534.97610600000007</v>
      </c>
    </row>
    <row r="315" spans="1:12" x14ac:dyDescent="0.3">
      <c r="A315" s="1">
        <v>1313</v>
      </c>
      <c r="B315" s="2">
        <v>45745</v>
      </c>
      <c r="C315" s="1" t="s">
        <v>14</v>
      </c>
      <c r="D315" s="1" t="s">
        <v>15</v>
      </c>
      <c r="E315" s="1" t="s">
        <v>16</v>
      </c>
      <c r="F315" s="1">
        <v>725.6</v>
      </c>
      <c r="G315" s="1" t="s">
        <v>240</v>
      </c>
      <c r="H315" s="2">
        <v>38478</v>
      </c>
      <c r="I315" s="2">
        <v>45758</v>
      </c>
      <c r="J315" s="1">
        <v>6.26</v>
      </c>
      <c r="K315" s="4">
        <f t="shared" si="11"/>
        <v>45.422560000000004</v>
      </c>
      <c r="L315" s="4">
        <f t="shared" si="12"/>
        <v>680.17744000000005</v>
      </c>
    </row>
    <row r="316" spans="1:12" x14ac:dyDescent="0.3">
      <c r="A316" s="1">
        <v>1314</v>
      </c>
      <c r="B316" s="2">
        <v>44171</v>
      </c>
      <c r="C316" s="1" t="s">
        <v>26</v>
      </c>
      <c r="D316" s="1" t="s">
        <v>30</v>
      </c>
      <c r="E316" s="1" t="s">
        <v>31</v>
      </c>
      <c r="F316" s="1">
        <v>333.41</v>
      </c>
      <c r="G316" s="1" t="s">
        <v>241</v>
      </c>
      <c r="H316" s="2">
        <v>31880</v>
      </c>
      <c r="I316" s="2">
        <v>44182</v>
      </c>
      <c r="J316" s="1">
        <v>46.12</v>
      </c>
      <c r="K316" s="4">
        <f t="shared" si="11"/>
        <v>153.76869200000002</v>
      </c>
      <c r="L316" s="4">
        <f t="shared" si="12"/>
        <v>179.64130800000001</v>
      </c>
    </row>
    <row r="317" spans="1:12" x14ac:dyDescent="0.3">
      <c r="A317" s="1">
        <v>1315</v>
      </c>
      <c r="B317" s="2">
        <v>44342</v>
      </c>
      <c r="C317" s="1" t="s">
        <v>35</v>
      </c>
      <c r="D317" s="1" t="s">
        <v>49</v>
      </c>
      <c r="E317" s="1" t="s">
        <v>12</v>
      </c>
      <c r="F317" s="1">
        <v>3736.44</v>
      </c>
      <c r="G317" s="1" t="s">
        <v>210</v>
      </c>
      <c r="H317" s="2">
        <v>27550</v>
      </c>
      <c r="I317" s="2">
        <v>44356</v>
      </c>
      <c r="J317" s="1">
        <v>46.46</v>
      </c>
      <c r="K317" s="4">
        <f t="shared" si="11"/>
        <v>1735.950024</v>
      </c>
      <c r="L317" s="4">
        <f t="shared" si="12"/>
        <v>2000.4899760000001</v>
      </c>
    </row>
    <row r="318" spans="1:12" x14ac:dyDescent="0.3">
      <c r="A318" s="1">
        <v>1316</v>
      </c>
      <c r="B318" s="2">
        <v>44804</v>
      </c>
      <c r="C318" s="1" t="s">
        <v>10</v>
      </c>
      <c r="D318" s="1" t="s">
        <v>88</v>
      </c>
      <c r="E318" s="1" t="s">
        <v>16</v>
      </c>
      <c r="F318" s="1">
        <v>130.38</v>
      </c>
      <c r="G318" s="1" t="s">
        <v>215</v>
      </c>
      <c r="H318" s="2">
        <v>31386</v>
      </c>
      <c r="I318" s="2">
        <v>44814</v>
      </c>
      <c r="J318" s="1">
        <v>23.3</v>
      </c>
      <c r="K318" s="4">
        <f t="shared" si="11"/>
        <v>30.378540000000001</v>
      </c>
      <c r="L318" s="4">
        <f t="shared" si="12"/>
        <v>100.00145999999999</v>
      </c>
    </row>
    <row r="319" spans="1:12" x14ac:dyDescent="0.3">
      <c r="A319" s="1">
        <v>1317</v>
      </c>
      <c r="B319" s="2">
        <v>44407</v>
      </c>
      <c r="C319" s="1" t="s">
        <v>26</v>
      </c>
      <c r="D319" s="1" t="s">
        <v>15</v>
      </c>
      <c r="E319" s="1" t="s">
        <v>16</v>
      </c>
      <c r="F319" s="1">
        <v>4105.88</v>
      </c>
      <c r="G319" s="1" t="s">
        <v>118</v>
      </c>
      <c r="H319" s="2">
        <v>22599</v>
      </c>
      <c r="I319" s="2">
        <v>44414</v>
      </c>
      <c r="J319" s="1">
        <v>36.520000000000003</v>
      </c>
      <c r="K319" s="4">
        <f t="shared" si="11"/>
        <v>1499.4673760000001</v>
      </c>
      <c r="L319" s="4">
        <f t="shared" si="12"/>
        <v>2606.4126240000001</v>
      </c>
    </row>
    <row r="320" spans="1:12" x14ac:dyDescent="0.3">
      <c r="A320" s="1">
        <v>1318</v>
      </c>
      <c r="B320" s="2">
        <v>44888</v>
      </c>
      <c r="C320" s="1" t="s">
        <v>10</v>
      </c>
      <c r="D320" s="1" t="s">
        <v>69</v>
      </c>
      <c r="E320" s="1" t="s">
        <v>12</v>
      </c>
      <c r="F320" s="1">
        <v>1085.3800000000001</v>
      </c>
      <c r="G320" s="1" t="s">
        <v>242</v>
      </c>
      <c r="H320" s="2">
        <v>21785</v>
      </c>
      <c r="I320" s="2">
        <v>44891</v>
      </c>
      <c r="J320" s="1">
        <v>47.43</v>
      </c>
      <c r="K320" s="4">
        <f t="shared" si="11"/>
        <v>514.79573400000004</v>
      </c>
      <c r="L320" s="4">
        <f t="shared" si="12"/>
        <v>570.58426600000007</v>
      </c>
    </row>
    <row r="321" spans="1:12" x14ac:dyDescent="0.3">
      <c r="A321" s="1">
        <v>1319</v>
      </c>
      <c r="B321" s="2">
        <v>44922</v>
      </c>
      <c r="C321" s="1" t="s">
        <v>26</v>
      </c>
      <c r="D321" s="1" t="s">
        <v>24</v>
      </c>
      <c r="E321" s="1" t="s">
        <v>19</v>
      </c>
      <c r="F321" s="1">
        <v>3444.87</v>
      </c>
      <c r="G321" s="1" t="s">
        <v>243</v>
      </c>
      <c r="H321" s="2">
        <v>29103</v>
      </c>
      <c r="I321" s="2">
        <v>44930</v>
      </c>
      <c r="J321" s="1">
        <v>19.559999999999999</v>
      </c>
      <c r="K321" s="4">
        <f t="shared" si="11"/>
        <v>673.81657199999995</v>
      </c>
      <c r="L321" s="4">
        <f t="shared" si="12"/>
        <v>2771.0534280000002</v>
      </c>
    </row>
    <row r="322" spans="1:12" x14ac:dyDescent="0.3">
      <c r="A322" s="1">
        <v>1320</v>
      </c>
      <c r="B322" s="2">
        <v>44290</v>
      </c>
      <c r="C322" s="1" t="s">
        <v>21</v>
      </c>
      <c r="D322" s="1" t="s">
        <v>47</v>
      </c>
      <c r="E322" s="1" t="s">
        <v>12</v>
      </c>
      <c r="F322" s="1">
        <v>2972.21</v>
      </c>
      <c r="G322" s="1" t="s">
        <v>23</v>
      </c>
      <c r="H322" s="2">
        <v>38378</v>
      </c>
      <c r="I322" s="2">
        <v>44304</v>
      </c>
      <c r="J322" s="1">
        <v>22.8</v>
      </c>
      <c r="K322" s="4">
        <f t="shared" si="11"/>
        <v>677.66388000000006</v>
      </c>
      <c r="L322" s="4">
        <f t="shared" si="12"/>
        <v>2294.54612</v>
      </c>
    </row>
    <row r="323" spans="1:12" x14ac:dyDescent="0.3">
      <c r="A323" s="1">
        <v>1321</v>
      </c>
      <c r="B323" s="2">
        <v>44915</v>
      </c>
      <c r="C323" s="1" t="s">
        <v>21</v>
      </c>
      <c r="D323" s="1" t="s">
        <v>53</v>
      </c>
      <c r="E323" s="1" t="s">
        <v>28</v>
      </c>
      <c r="F323" s="1">
        <v>4855.2</v>
      </c>
      <c r="G323" s="1" t="s">
        <v>37</v>
      </c>
      <c r="H323" s="2">
        <v>27534</v>
      </c>
      <c r="I323" s="2">
        <v>44921</v>
      </c>
      <c r="J323" s="1">
        <v>48.03</v>
      </c>
      <c r="K323" s="4">
        <f t="shared" ref="K323:K386" si="13">F323*J323%</f>
        <v>2331.9525599999997</v>
      </c>
      <c r="L323" s="4">
        <f t="shared" ref="L323:L386" si="14">F323-K323</f>
        <v>2523.2474400000001</v>
      </c>
    </row>
    <row r="324" spans="1:12" x14ac:dyDescent="0.3">
      <c r="A324" s="1">
        <v>1322</v>
      </c>
      <c r="B324" s="2">
        <v>44138</v>
      </c>
      <c r="C324" s="1" t="s">
        <v>35</v>
      </c>
      <c r="D324" s="1" t="s">
        <v>53</v>
      </c>
      <c r="E324" s="1" t="s">
        <v>28</v>
      </c>
      <c r="F324" s="1">
        <v>4450.13</v>
      </c>
      <c r="G324" s="1" t="s">
        <v>198</v>
      </c>
      <c r="H324" s="2">
        <v>31598</v>
      </c>
      <c r="I324" s="2">
        <v>44151</v>
      </c>
      <c r="J324" s="1">
        <v>5.77</v>
      </c>
      <c r="K324" s="4">
        <f t="shared" si="13"/>
        <v>256.77250099999998</v>
      </c>
      <c r="L324" s="4">
        <f t="shared" si="14"/>
        <v>4193.3574989999997</v>
      </c>
    </row>
    <row r="325" spans="1:12" x14ac:dyDescent="0.3">
      <c r="A325" s="1">
        <v>1323</v>
      </c>
      <c r="B325" s="2">
        <v>45155</v>
      </c>
      <c r="C325" s="1" t="s">
        <v>14</v>
      </c>
      <c r="D325" s="1" t="s">
        <v>69</v>
      </c>
      <c r="E325" s="1" t="s">
        <v>31</v>
      </c>
      <c r="F325" s="1">
        <v>4766.46</v>
      </c>
      <c r="G325" s="1" t="s">
        <v>225</v>
      </c>
      <c r="H325" s="2">
        <v>27641</v>
      </c>
      <c r="I325" s="2">
        <v>45160</v>
      </c>
      <c r="J325" s="1">
        <v>45.05</v>
      </c>
      <c r="K325" s="4">
        <f t="shared" si="13"/>
        <v>2147.2902299999996</v>
      </c>
      <c r="L325" s="4">
        <f t="shared" si="14"/>
        <v>2619.1697700000004</v>
      </c>
    </row>
    <row r="326" spans="1:12" x14ac:dyDescent="0.3">
      <c r="A326" s="1">
        <v>1324</v>
      </c>
      <c r="B326" s="2">
        <v>45150</v>
      </c>
      <c r="C326" s="1" t="s">
        <v>21</v>
      </c>
      <c r="D326" s="1" t="s">
        <v>38</v>
      </c>
      <c r="E326" s="1" t="s">
        <v>28</v>
      </c>
      <c r="F326" s="1">
        <v>4884.1400000000003</v>
      </c>
      <c r="G326" s="1" t="s">
        <v>23</v>
      </c>
      <c r="H326" s="2">
        <v>38378</v>
      </c>
      <c r="I326" s="2">
        <v>45152</v>
      </c>
      <c r="J326" s="1">
        <v>28.02</v>
      </c>
      <c r="K326" s="4">
        <f t="shared" si="13"/>
        <v>1368.5360280000002</v>
      </c>
      <c r="L326" s="4">
        <f t="shared" si="14"/>
        <v>3515.6039719999999</v>
      </c>
    </row>
    <row r="327" spans="1:12" x14ac:dyDescent="0.3">
      <c r="A327" s="1">
        <v>1325</v>
      </c>
      <c r="B327" s="2">
        <v>44396</v>
      </c>
      <c r="C327" s="1" t="s">
        <v>10</v>
      </c>
      <c r="D327" s="1" t="s">
        <v>53</v>
      </c>
      <c r="E327" s="1" t="s">
        <v>28</v>
      </c>
      <c r="F327" s="1">
        <v>3607.16</v>
      </c>
      <c r="G327" s="1" t="s">
        <v>244</v>
      </c>
      <c r="H327" s="2">
        <v>30356</v>
      </c>
      <c r="I327" s="2">
        <v>44405</v>
      </c>
      <c r="J327" s="1">
        <v>3.14</v>
      </c>
      <c r="K327" s="4">
        <f t="shared" si="13"/>
        <v>113.264824</v>
      </c>
      <c r="L327" s="4">
        <f t="shared" si="14"/>
        <v>3493.895176</v>
      </c>
    </row>
    <row r="328" spans="1:12" x14ac:dyDescent="0.3">
      <c r="A328" s="1">
        <v>1326</v>
      </c>
      <c r="B328" s="2">
        <v>45277</v>
      </c>
      <c r="C328" s="1" t="s">
        <v>26</v>
      </c>
      <c r="D328" s="1" t="s">
        <v>65</v>
      </c>
      <c r="E328" s="1" t="s">
        <v>19</v>
      </c>
      <c r="F328" s="1">
        <v>3914.34</v>
      </c>
      <c r="G328" s="1" t="s">
        <v>119</v>
      </c>
      <c r="H328" s="2">
        <v>34954</v>
      </c>
      <c r="I328" s="2">
        <v>45289</v>
      </c>
      <c r="J328" s="1">
        <v>8.6999999999999993</v>
      </c>
      <c r="K328" s="4">
        <f t="shared" si="13"/>
        <v>340.54757999999998</v>
      </c>
      <c r="L328" s="4">
        <f t="shared" si="14"/>
        <v>3573.7924200000002</v>
      </c>
    </row>
    <row r="329" spans="1:12" x14ac:dyDescent="0.3">
      <c r="A329" s="1">
        <v>1327</v>
      </c>
      <c r="B329" s="2">
        <v>45274</v>
      </c>
      <c r="C329" s="1" t="s">
        <v>35</v>
      </c>
      <c r="D329" s="1" t="s">
        <v>38</v>
      </c>
      <c r="E329" s="1" t="s">
        <v>28</v>
      </c>
      <c r="F329" s="1">
        <v>407.98</v>
      </c>
      <c r="G329" s="1" t="s">
        <v>129</v>
      </c>
      <c r="H329" s="2">
        <v>25933</v>
      </c>
      <c r="I329" s="2">
        <v>45279</v>
      </c>
      <c r="J329" s="1">
        <v>31.88</v>
      </c>
      <c r="K329" s="4">
        <f t="shared" si="13"/>
        <v>130.06402399999999</v>
      </c>
      <c r="L329" s="4">
        <f t="shared" si="14"/>
        <v>277.915976</v>
      </c>
    </row>
    <row r="330" spans="1:12" x14ac:dyDescent="0.3">
      <c r="A330" s="1">
        <v>1328</v>
      </c>
      <c r="B330" s="2">
        <v>44336</v>
      </c>
      <c r="C330" s="1" t="s">
        <v>26</v>
      </c>
      <c r="D330" s="1" t="s">
        <v>53</v>
      </c>
      <c r="E330" s="1" t="s">
        <v>28</v>
      </c>
      <c r="F330" s="1">
        <v>2855.49</v>
      </c>
      <c r="G330" s="1" t="s">
        <v>52</v>
      </c>
      <c r="H330" s="2">
        <v>30154</v>
      </c>
      <c r="I330" s="2">
        <v>44344</v>
      </c>
      <c r="J330" s="1">
        <v>38.840000000000003</v>
      </c>
      <c r="K330" s="4">
        <f t="shared" si="13"/>
        <v>1109.072316</v>
      </c>
      <c r="L330" s="4">
        <f t="shared" si="14"/>
        <v>1746.4176839999998</v>
      </c>
    </row>
    <row r="331" spans="1:12" x14ac:dyDescent="0.3">
      <c r="A331" s="1">
        <v>1329</v>
      </c>
      <c r="B331" s="2">
        <v>44234</v>
      </c>
      <c r="C331" s="1" t="s">
        <v>14</v>
      </c>
      <c r="D331" s="1" t="s">
        <v>69</v>
      </c>
      <c r="E331" s="1" t="s">
        <v>12</v>
      </c>
      <c r="F331" s="1">
        <v>2244.02</v>
      </c>
      <c r="G331" s="1" t="s">
        <v>105</v>
      </c>
      <c r="H331" s="2">
        <v>35889</v>
      </c>
      <c r="I331" s="2">
        <v>44237</v>
      </c>
      <c r="J331" s="1">
        <v>47.16</v>
      </c>
      <c r="K331" s="4">
        <f t="shared" si="13"/>
        <v>1058.2798319999999</v>
      </c>
      <c r="L331" s="4">
        <f t="shared" si="14"/>
        <v>1185.740168</v>
      </c>
    </row>
    <row r="332" spans="1:12" x14ac:dyDescent="0.3">
      <c r="A332" s="1">
        <v>1330</v>
      </c>
      <c r="B332" s="2">
        <v>45550</v>
      </c>
      <c r="C332" s="1" t="s">
        <v>26</v>
      </c>
      <c r="D332" s="1" t="s">
        <v>49</v>
      </c>
      <c r="E332" s="1" t="s">
        <v>12</v>
      </c>
      <c r="F332" s="1">
        <v>729.8</v>
      </c>
      <c r="G332" s="1" t="s">
        <v>242</v>
      </c>
      <c r="H332" s="2">
        <v>21785</v>
      </c>
      <c r="I332" s="2">
        <v>45564</v>
      </c>
      <c r="J332" s="1">
        <v>29.73</v>
      </c>
      <c r="K332" s="4">
        <f t="shared" si="13"/>
        <v>216.96953999999999</v>
      </c>
      <c r="L332" s="4">
        <f t="shared" si="14"/>
        <v>512.8304599999999</v>
      </c>
    </row>
    <row r="333" spans="1:12" x14ac:dyDescent="0.3">
      <c r="A333" s="1">
        <v>1331</v>
      </c>
      <c r="B333" s="2">
        <v>44685</v>
      </c>
      <c r="C333" s="1" t="s">
        <v>35</v>
      </c>
      <c r="D333" s="1" t="s">
        <v>73</v>
      </c>
      <c r="E333" s="1" t="s">
        <v>28</v>
      </c>
      <c r="F333" s="1">
        <v>942.65</v>
      </c>
      <c r="G333" s="1" t="s">
        <v>217</v>
      </c>
      <c r="H333" s="2">
        <v>36951</v>
      </c>
      <c r="I333" s="2">
        <v>44699</v>
      </c>
      <c r="J333" s="1">
        <v>6.77</v>
      </c>
      <c r="K333" s="4">
        <f t="shared" si="13"/>
        <v>63.817404999999994</v>
      </c>
      <c r="L333" s="4">
        <f t="shared" si="14"/>
        <v>878.83259499999997</v>
      </c>
    </row>
    <row r="334" spans="1:12" x14ac:dyDescent="0.3">
      <c r="A334" s="1">
        <v>1332</v>
      </c>
      <c r="B334" s="2">
        <v>44895</v>
      </c>
      <c r="C334" s="1" t="s">
        <v>35</v>
      </c>
      <c r="D334" s="1" t="s">
        <v>44</v>
      </c>
      <c r="E334" s="1" t="s">
        <v>16</v>
      </c>
      <c r="F334" s="1">
        <v>424.02</v>
      </c>
      <c r="G334" s="1" t="s">
        <v>231</v>
      </c>
      <c r="H334" s="2">
        <v>32047</v>
      </c>
      <c r="I334" s="2">
        <v>44899</v>
      </c>
      <c r="J334" s="1">
        <v>9.5</v>
      </c>
      <c r="K334" s="4">
        <f t="shared" si="13"/>
        <v>40.2819</v>
      </c>
      <c r="L334" s="4">
        <f t="shared" si="14"/>
        <v>383.73809999999997</v>
      </c>
    </row>
    <row r="335" spans="1:12" x14ac:dyDescent="0.3">
      <c r="A335" s="1">
        <v>1333</v>
      </c>
      <c r="B335" s="2">
        <v>44309</v>
      </c>
      <c r="C335" s="1" t="s">
        <v>10</v>
      </c>
      <c r="D335" s="1" t="s">
        <v>18</v>
      </c>
      <c r="E335" s="1" t="s">
        <v>19</v>
      </c>
      <c r="F335" s="1">
        <v>244.84</v>
      </c>
      <c r="G335" s="1" t="s">
        <v>220</v>
      </c>
      <c r="H335" s="2">
        <v>30755</v>
      </c>
      <c r="I335" s="2">
        <v>44316</v>
      </c>
      <c r="J335" s="1">
        <v>1.56</v>
      </c>
      <c r="K335" s="4">
        <f t="shared" si="13"/>
        <v>3.8195040000000002</v>
      </c>
      <c r="L335" s="4">
        <f t="shared" si="14"/>
        <v>241.02049600000001</v>
      </c>
    </row>
    <row r="336" spans="1:12" x14ac:dyDescent="0.3">
      <c r="A336" s="1">
        <v>1334</v>
      </c>
      <c r="B336" s="2">
        <v>45592</v>
      </c>
      <c r="C336" s="1" t="s">
        <v>35</v>
      </c>
      <c r="D336" s="1" t="s">
        <v>47</v>
      </c>
      <c r="E336" s="1" t="s">
        <v>12</v>
      </c>
      <c r="F336" s="1">
        <v>3700.28</v>
      </c>
      <c r="G336" s="1" t="s">
        <v>34</v>
      </c>
      <c r="H336" s="2">
        <v>25232</v>
      </c>
      <c r="I336" s="2">
        <v>45595</v>
      </c>
      <c r="J336" s="1">
        <v>26.68</v>
      </c>
      <c r="K336" s="4">
        <f t="shared" si="13"/>
        <v>987.23470399999997</v>
      </c>
      <c r="L336" s="4">
        <f t="shared" si="14"/>
        <v>2713.0452960000002</v>
      </c>
    </row>
    <row r="337" spans="1:12" x14ac:dyDescent="0.3">
      <c r="A337" s="1">
        <v>1335</v>
      </c>
      <c r="B337" s="2">
        <v>44847</v>
      </c>
      <c r="C337" s="1" t="s">
        <v>14</v>
      </c>
      <c r="D337" s="1" t="s">
        <v>38</v>
      </c>
      <c r="E337" s="1" t="s">
        <v>28</v>
      </c>
      <c r="F337" s="1">
        <v>1052.02</v>
      </c>
      <c r="G337" s="1" t="s">
        <v>138</v>
      </c>
      <c r="H337" s="2">
        <v>25948</v>
      </c>
      <c r="I337" s="2">
        <v>44853</v>
      </c>
      <c r="J337" s="1">
        <v>14.14</v>
      </c>
      <c r="K337" s="4">
        <f t="shared" si="13"/>
        <v>148.755628</v>
      </c>
      <c r="L337" s="4">
        <f t="shared" si="14"/>
        <v>903.26437199999998</v>
      </c>
    </row>
    <row r="338" spans="1:12" x14ac:dyDescent="0.3">
      <c r="A338" s="1">
        <v>1336</v>
      </c>
      <c r="B338" s="2">
        <v>44315</v>
      </c>
      <c r="C338" s="1" t="s">
        <v>26</v>
      </c>
      <c r="D338" s="1" t="s">
        <v>36</v>
      </c>
      <c r="E338" s="1" t="s">
        <v>28</v>
      </c>
      <c r="F338" s="1">
        <v>1662.88</v>
      </c>
      <c r="G338" s="1" t="s">
        <v>209</v>
      </c>
      <c r="H338" s="2">
        <v>28522</v>
      </c>
      <c r="I338" s="2">
        <v>44317</v>
      </c>
      <c r="J338" s="1">
        <v>21.09</v>
      </c>
      <c r="K338" s="4">
        <f t="shared" si="13"/>
        <v>350.70139200000006</v>
      </c>
      <c r="L338" s="4">
        <f t="shared" si="14"/>
        <v>1312.1786080000002</v>
      </c>
    </row>
    <row r="339" spans="1:12" x14ac:dyDescent="0.3">
      <c r="A339" s="1">
        <v>1337</v>
      </c>
      <c r="B339" s="2">
        <v>44275</v>
      </c>
      <c r="C339" s="1" t="s">
        <v>21</v>
      </c>
      <c r="D339" s="1" t="s">
        <v>49</v>
      </c>
      <c r="E339" s="1" t="s">
        <v>12</v>
      </c>
      <c r="F339" s="1">
        <v>1024.96</v>
      </c>
      <c r="G339" s="1" t="s">
        <v>105</v>
      </c>
      <c r="H339" s="2">
        <v>35889</v>
      </c>
      <c r="I339" s="2">
        <v>44288</v>
      </c>
      <c r="J339" s="1">
        <v>49.68</v>
      </c>
      <c r="K339" s="4">
        <f t="shared" si="13"/>
        <v>509.20012800000006</v>
      </c>
      <c r="L339" s="4">
        <f t="shared" si="14"/>
        <v>515.75987199999997</v>
      </c>
    </row>
    <row r="340" spans="1:12" x14ac:dyDescent="0.3">
      <c r="A340" s="1">
        <v>1338</v>
      </c>
      <c r="B340" s="2">
        <v>45729</v>
      </c>
      <c r="C340" s="1" t="s">
        <v>10</v>
      </c>
      <c r="D340" s="1" t="s">
        <v>22</v>
      </c>
      <c r="E340" s="1" t="s">
        <v>19</v>
      </c>
      <c r="F340" s="1">
        <v>2900.29</v>
      </c>
      <c r="G340" s="1" t="s">
        <v>234</v>
      </c>
      <c r="H340" s="2">
        <v>24368</v>
      </c>
      <c r="I340" s="2">
        <v>45739</v>
      </c>
      <c r="J340" s="1">
        <v>39.72</v>
      </c>
      <c r="K340" s="4">
        <f t="shared" si="13"/>
        <v>1151.9951879999999</v>
      </c>
      <c r="L340" s="4">
        <f t="shared" si="14"/>
        <v>1748.2948120000001</v>
      </c>
    </row>
    <row r="341" spans="1:12" x14ac:dyDescent="0.3">
      <c r="A341" s="1">
        <v>1339</v>
      </c>
      <c r="B341" s="2">
        <v>45567</v>
      </c>
      <c r="C341" s="1" t="s">
        <v>10</v>
      </c>
      <c r="D341" s="1" t="s">
        <v>73</v>
      </c>
      <c r="E341" s="1" t="s">
        <v>28</v>
      </c>
      <c r="F341" s="1">
        <v>3000.01</v>
      </c>
      <c r="G341" s="1" t="s">
        <v>244</v>
      </c>
      <c r="H341" s="2">
        <v>30356</v>
      </c>
      <c r="I341" s="2">
        <v>45578</v>
      </c>
      <c r="J341" s="1">
        <v>41.02</v>
      </c>
      <c r="K341" s="4">
        <f t="shared" si="13"/>
        <v>1230.604102</v>
      </c>
      <c r="L341" s="4">
        <f t="shared" si="14"/>
        <v>1769.4058980000002</v>
      </c>
    </row>
    <row r="342" spans="1:12" x14ac:dyDescent="0.3">
      <c r="A342" s="1">
        <v>1340</v>
      </c>
      <c r="B342" s="2">
        <v>44612</v>
      </c>
      <c r="C342" s="1" t="s">
        <v>14</v>
      </c>
      <c r="D342" s="1" t="s">
        <v>33</v>
      </c>
      <c r="E342" s="1" t="s">
        <v>16</v>
      </c>
      <c r="F342" s="1">
        <v>3840.17</v>
      </c>
      <c r="G342" s="1" t="s">
        <v>245</v>
      </c>
      <c r="H342" s="2">
        <v>32205</v>
      </c>
      <c r="I342" s="2">
        <v>44622</v>
      </c>
      <c r="J342" s="1">
        <v>29.9</v>
      </c>
      <c r="K342" s="4">
        <f t="shared" si="13"/>
        <v>1148.21083</v>
      </c>
      <c r="L342" s="4">
        <f t="shared" si="14"/>
        <v>2691.9591700000001</v>
      </c>
    </row>
    <row r="343" spans="1:12" x14ac:dyDescent="0.3">
      <c r="A343" s="1">
        <v>1341</v>
      </c>
      <c r="B343" s="2">
        <v>45522</v>
      </c>
      <c r="C343" s="1" t="s">
        <v>26</v>
      </c>
      <c r="D343" s="1" t="s">
        <v>38</v>
      </c>
      <c r="E343" s="1" t="s">
        <v>28</v>
      </c>
      <c r="F343" s="1">
        <v>1977.54</v>
      </c>
      <c r="G343" s="1" t="s">
        <v>111</v>
      </c>
      <c r="H343" s="2">
        <v>34704</v>
      </c>
      <c r="I343" s="2">
        <v>45535</v>
      </c>
      <c r="J343" s="1">
        <v>36.68</v>
      </c>
      <c r="K343" s="4">
        <f t="shared" si="13"/>
        <v>725.361672</v>
      </c>
      <c r="L343" s="4">
        <f t="shared" si="14"/>
        <v>1252.178328</v>
      </c>
    </row>
    <row r="344" spans="1:12" x14ac:dyDescent="0.3">
      <c r="A344" s="1">
        <v>1342</v>
      </c>
      <c r="B344" s="2">
        <v>45804</v>
      </c>
      <c r="C344" s="1" t="s">
        <v>35</v>
      </c>
      <c r="D344" s="1" t="s">
        <v>58</v>
      </c>
      <c r="E344" s="1" t="s">
        <v>31</v>
      </c>
      <c r="F344" s="1">
        <v>1543.72</v>
      </c>
      <c r="G344" s="1" t="s">
        <v>246</v>
      </c>
      <c r="H344" s="2">
        <v>25815</v>
      </c>
      <c r="I344" s="2">
        <v>45812</v>
      </c>
      <c r="J344" s="1">
        <v>38.58</v>
      </c>
      <c r="K344" s="4">
        <f t="shared" si="13"/>
        <v>595.56717600000002</v>
      </c>
      <c r="L344" s="4">
        <f t="shared" si="14"/>
        <v>948.15282400000001</v>
      </c>
    </row>
    <row r="345" spans="1:12" x14ac:dyDescent="0.3">
      <c r="A345" s="1">
        <v>1343</v>
      </c>
      <c r="B345" s="2">
        <v>44168</v>
      </c>
      <c r="C345" s="1" t="s">
        <v>14</v>
      </c>
      <c r="D345" s="1" t="s">
        <v>65</v>
      </c>
      <c r="E345" s="1" t="s">
        <v>19</v>
      </c>
      <c r="F345" s="1">
        <v>252.14</v>
      </c>
      <c r="G345" s="1" t="s">
        <v>199</v>
      </c>
      <c r="H345" s="2">
        <v>25341</v>
      </c>
      <c r="I345" s="2">
        <v>44173</v>
      </c>
      <c r="J345" s="1">
        <v>27.23</v>
      </c>
      <c r="K345" s="4">
        <f t="shared" si="13"/>
        <v>68.657721999999993</v>
      </c>
      <c r="L345" s="4">
        <f t="shared" si="14"/>
        <v>183.48227800000001</v>
      </c>
    </row>
    <row r="346" spans="1:12" x14ac:dyDescent="0.3">
      <c r="A346" s="1">
        <v>1344</v>
      </c>
      <c r="B346" s="2">
        <v>44979</v>
      </c>
      <c r="C346" s="1" t="s">
        <v>26</v>
      </c>
      <c r="D346" s="1" t="s">
        <v>73</v>
      </c>
      <c r="E346" s="1" t="s">
        <v>28</v>
      </c>
      <c r="F346" s="1">
        <v>628.79</v>
      </c>
      <c r="G346" s="1" t="s">
        <v>75</v>
      </c>
      <c r="H346" s="2">
        <v>25853</v>
      </c>
      <c r="I346" s="2">
        <v>44985</v>
      </c>
      <c r="J346" s="1">
        <v>0.26</v>
      </c>
      <c r="K346" s="4">
        <f t="shared" si="13"/>
        <v>1.6348539999999998</v>
      </c>
      <c r="L346" s="4">
        <f t="shared" si="14"/>
        <v>627.15514599999995</v>
      </c>
    </row>
    <row r="347" spans="1:12" x14ac:dyDescent="0.3">
      <c r="A347" s="1">
        <v>1345</v>
      </c>
      <c r="B347" s="2">
        <v>44608</v>
      </c>
      <c r="C347" s="1" t="s">
        <v>21</v>
      </c>
      <c r="D347" s="1" t="s">
        <v>102</v>
      </c>
      <c r="E347" s="1" t="s">
        <v>12</v>
      </c>
      <c r="F347" s="1">
        <v>3013.18</v>
      </c>
      <c r="G347" s="1" t="s">
        <v>170</v>
      </c>
      <c r="H347" s="2">
        <v>34205</v>
      </c>
      <c r="I347" s="2">
        <v>44616</v>
      </c>
      <c r="J347" s="1">
        <v>30.1</v>
      </c>
      <c r="K347" s="4">
        <f t="shared" si="13"/>
        <v>906.96717999999987</v>
      </c>
      <c r="L347" s="4">
        <f t="shared" si="14"/>
        <v>2106.2128199999997</v>
      </c>
    </row>
    <row r="348" spans="1:12" x14ac:dyDescent="0.3">
      <c r="A348" s="1">
        <v>1346</v>
      </c>
      <c r="B348" s="2">
        <v>44107</v>
      </c>
      <c r="C348" s="1" t="s">
        <v>26</v>
      </c>
      <c r="D348" s="1" t="s">
        <v>47</v>
      </c>
      <c r="E348" s="1" t="s">
        <v>12</v>
      </c>
      <c r="F348" s="1">
        <v>2617.19</v>
      </c>
      <c r="G348" s="1" t="s">
        <v>94</v>
      </c>
      <c r="H348" s="2">
        <v>25516</v>
      </c>
      <c r="I348" s="2">
        <v>44110</v>
      </c>
      <c r="J348" s="1">
        <v>16.489999999999998</v>
      </c>
      <c r="K348" s="4">
        <f t="shared" si="13"/>
        <v>431.57463100000001</v>
      </c>
      <c r="L348" s="4">
        <f t="shared" si="14"/>
        <v>2185.6153690000001</v>
      </c>
    </row>
    <row r="349" spans="1:12" x14ac:dyDescent="0.3">
      <c r="A349" s="1">
        <v>1347</v>
      </c>
      <c r="B349" s="2">
        <v>45525</v>
      </c>
      <c r="C349" s="1" t="s">
        <v>26</v>
      </c>
      <c r="D349" s="1" t="s">
        <v>24</v>
      </c>
      <c r="E349" s="1" t="s">
        <v>19</v>
      </c>
      <c r="F349" s="1">
        <v>4991.8599999999997</v>
      </c>
      <c r="G349" s="1" t="s">
        <v>153</v>
      </c>
      <c r="H349" s="2">
        <v>36216</v>
      </c>
      <c r="I349" s="2">
        <v>45527</v>
      </c>
      <c r="J349" s="1">
        <v>21.77</v>
      </c>
      <c r="K349" s="4">
        <f t="shared" si="13"/>
        <v>1086.727922</v>
      </c>
      <c r="L349" s="4">
        <f t="shared" si="14"/>
        <v>3905.1320779999996</v>
      </c>
    </row>
    <row r="350" spans="1:12" x14ac:dyDescent="0.3">
      <c r="A350" s="1">
        <v>1348</v>
      </c>
      <c r="B350" s="2">
        <v>45264</v>
      </c>
      <c r="C350" s="1" t="s">
        <v>10</v>
      </c>
      <c r="D350" s="1" t="s">
        <v>55</v>
      </c>
      <c r="E350" s="1" t="s">
        <v>31</v>
      </c>
      <c r="F350" s="1">
        <v>2795.27</v>
      </c>
      <c r="G350" s="1" t="s">
        <v>238</v>
      </c>
      <c r="H350" s="2">
        <v>31880</v>
      </c>
      <c r="I350" s="2">
        <v>45278</v>
      </c>
      <c r="J350" s="1">
        <v>43.19</v>
      </c>
      <c r="K350" s="4">
        <f t="shared" si="13"/>
        <v>1207.2771129999999</v>
      </c>
      <c r="L350" s="4">
        <f t="shared" si="14"/>
        <v>1587.9928870000001</v>
      </c>
    </row>
    <row r="351" spans="1:12" x14ac:dyDescent="0.3">
      <c r="A351" s="1">
        <v>1349</v>
      </c>
      <c r="B351" s="2">
        <v>44754</v>
      </c>
      <c r="C351" s="1" t="s">
        <v>21</v>
      </c>
      <c r="D351" s="1" t="s">
        <v>49</v>
      </c>
      <c r="E351" s="1" t="s">
        <v>12</v>
      </c>
      <c r="F351" s="1">
        <v>488.93</v>
      </c>
      <c r="G351" s="1" t="s">
        <v>56</v>
      </c>
      <c r="H351" s="2">
        <v>25712</v>
      </c>
      <c r="I351" s="2">
        <v>44764</v>
      </c>
      <c r="J351" s="1">
        <v>42.37</v>
      </c>
      <c r="K351" s="4">
        <f t="shared" si="13"/>
        <v>207.15964099999999</v>
      </c>
      <c r="L351" s="4">
        <f t="shared" si="14"/>
        <v>281.77035899999998</v>
      </c>
    </row>
    <row r="352" spans="1:12" x14ac:dyDescent="0.3">
      <c r="A352" s="1">
        <v>1350</v>
      </c>
      <c r="B352" s="2">
        <v>45834</v>
      </c>
      <c r="C352" s="1" t="s">
        <v>14</v>
      </c>
      <c r="D352" s="1" t="s">
        <v>69</v>
      </c>
      <c r="E352" s="1" t="s">
        <v>12</v>
      </c>
      <c r="F352" s="1">
        <v>1668.13</v>
      </c>
      <c r="G352" s="1" t="s">
        <v>234</v>
      </c>
      <c r="H352" s="2">
        <v>24368</v>
      </c>
      <c r="I352" s="2">
        <v>45845</v>
      </c>
      <c r="J352" s="1">
        <v>2.87</v>
      </c>
      <c r="K352" s="4">
        <f t="shared" si="13"/>
        <v>47.875331000000003</v>
      </c>
      <c r="L352" s="4">
        <f t="shared" si="14"/>
        <v>1620.2546690000001</v>
      </c>
    </row>
    <row r="353" spans="1:12" x14ac:dyDescent="0.3">
      <c r="A353" s="1">
        <v>1351</v>
      </c>
      <c r="B353" s="2">
        <v>45729</v>
      </c>
      <c r="C353" s="1" t="s">
        <v>14</v>
      </c>
      <c r="D353" s="1" t="s">
        <v>33</v>
      </c>
      <c r="E353" s="1" t="s">
        <v>16</v>
      </c>
      <c r="F353" s="1">
        <v>4136.7</v>
      </c>
      <c r="G353" s="1" t="s">
        <v>247</v>
      </c>
      <c r="H353" s="2">
        <v>23735</v>
      </c>
      <c r="I353" s="2">
        <v>45732</v>
      </c>
      <c r="J353" s="1">
        <v>23.42</v>
      </c>
      <c r="K353" s="4">
        <f t="shared" si="13"/>
        <v>968.81514000000004</v>
      </c>
      <c r="L353" s="4">
        <f t="shared" si="14"/>
        <v>3167.8848599999997</v>
      </c>
    </row>
    <row r="354" spans="1:12" x14ac:dyDescent="0.3">
      <c r="A354" s="1">
        <v>1352</v>
      </c>
      <c r="B354" s="2">
        <v>45140</v>
      </c>
      <c r="C354" s="1" t="s">
        <v>10</v>
      </c>
      <c r="D354" s="1" t="s">
        <v>58</v>
      </c>
      <c r="E354" s="1" t="s">
        <v>31</v>
      </c>
      <c r="F354" s="1">
        <v>4005.07</v>
      </c>
      <c r="G354" s="1" t="s">
        <v>248</v>
      </c>
      <c r="H354" s="2">
        <v>32685</v>
      </c>
      <c r="I354" s="2">
        <v>45143</v>
      </c>
      <c r="J354" s="1">
        <v>41.83</v>
      </c>
      <c r="K354" s="4">
        <f t="shared" si="13"/>
        <v>1675.3207810000001</v>
      </c>
      <c r="L354" s="4">
        <f t="shared" si="14"/>
        <v>2329.7492190000003</v>
      </c>
    </row>
    <row r="355" spans="1:12" x14ac:dyDescent="0.3">
      <c r="A355" s="1">
        <v>1353</v>
      </c>
      <c r="B355" s="2">
        <v>44589</v>
      </c>
      <c r="C355" s="1" t="s">
        <v>21</v>
      </c>
      <c r="D355" s="1" t="s">
        <v>30</v>
      </c>
      <c r="E355" s="1" t="s">
        <v>31</v>
      </c>
      <c r="F355" s="1">
        <v>350.39</v>
      </c>
      <c r="G355" s="1" t="s">
        <v>37</v>
      </c>
      <c r="H355" s="2">
        <v>27534</v>
      </c>
      <c r="I355" s="2">
        <v>44591</v>
      </c>
      <c r="J355" s="1">
        <v>33.08</v>
      </c>
      <c r="K355" s="4">
        <f t="shared" si="13"/>
        <v>115.90901199999999</v>
      </c>
      <c r="L355" s="4">
        <f t="shared" si="14"/>
        <v>234.480988</v>
      </c>
    </row>
    <row r="356" spans="1:12" x14ac:dyDescent="0.3">
      <c r="A356" s="1">
        <v>1354</v>
      </c>
      <c r="B356" s="2">
        <v>44391</v>
      </c>
      <c r="C356" s="1" t="s">
        <v>14</v>
      </c>
      <c r="D356" s="1" t="s">
        <v>55</v>
      </c>
      <c r="E356" s="1" t="s">
        <v>31</v>
      </c>
      <c r="F356" s="1">
        <v>4025.33</v>
      </c>
      <c r="G356" s="1" t="s">
        <v>161</v>
      </c>
      <c r="H356" s="2">
        <v>29386</v>
      </c>
      <c r="I356" s="2">
        <v>44403</v>
      </c>
      <c r="J356" s="1">
        <v>18.64</v>
      </c>
      <c r="K356" s="4">
        <f t="shared" si="13"/>
        <v>750.32151199999998</v>
      </c>
      <c r="L356" s="4">
        <f t="shared" si="14"/>
        <v>3275.0084879999999</v>
      </c>
    </row>
    <row r="357" spans="1:12" x14ac:dyDescent="0.3">
      <c r="A357" s="1">
        <v>1355</v>
      </c>
      <c r="B357" s="2">
        <v>44701</v>
      </c>
      <c r="C357" s="1" t="s">
        <v>26</v>
      </c>
      <c r="D357" s="1" t="s">
        <v>49</v>
      </c>
      <c r="E357" s="1" t="s">
        <v>12</v>
      </c>
      <c r="F357" s="1">
        <v>1665.27</v>
      </c>
      <c r="G357" s="1" t="s">
        <v>229</v>
      </c>
      <c r="H357" s="2">
        <v>37783</v>
      </c>
      <c r="I357" s="2">
        <v>44713</v>
      </c>
      <c r="J357" s="1">
        <v>34.700000000000003</v>
      </c>
      <c r="K357" s="4">
        <f t="shared" si="13"/>
        <v>577.84869000000003</v>
      </c>
      <c r="L357" s="4">
        <f t="shared" si="14"/>
        <v>1087.4213099999999</v>
      </c>
    </row>
    <row r="358" spans="1:12" x14ac:dyDescent="0.3">
      <c r="A358" s="1">
        <v>1356</v>
      </c>
      <c r="B358" s="2">
        <v>44231</v>
      </c>
      <c r="C358" s="1" t="s">
        <v>14</v>
      </c>
      <c r="D358" s="1" t="s">
        <v>15</v>
      </c>
      <c r="E358" s="1" t="s">
        <v>16</v>
      </c>
      <c r="F358" s="1">
        <v>3294.52</v>
      </c>
      <c r="G358" s="1" t="s">
        <v>249</v>
      </c>
      <c r="H358" s="2">
        <v>28555</v>
      </c>
      <c r="I358" s="2">
        <v>44243</v>
      </c>
      <c r="J358" s="1">
        <v>5.31</v>
      </c>
      <c r="K358" s="4">
        <f t="shared" si="13"/>
        <v>174.93901199999999</v>
      </c>
      <c r="L358" s="4">
        <f t="shared" si="14"/>
        <v>3119.5809880000002</v>
      </c>
    </row>
    <row r="359" spans="1:12" x14ac:dyDescent="0.3">
      <c r="A359" s="1">
        <v>1357</v>
      </c>
      <c r="B359" s="2">
        <v>44525</v>
      </c>
      <c r="C359" s="1" t="s">
        <v>10</v>
      </c>
      <c r="D359" s="1" t="s">
        <v>15</v>
      </c>
      <c r="E359" s="1" t="s">
        <v>16</v>
      </c>
      <c r="F359" s="1">
        <v>3300.32</v>
      </c>
      <c r="G359" s="1" t="s">
        <v>54</v>
      </c>
      <c r="H359" s="2">
        <v>31082</v>
      </c>
      <c r="I359" s="2">
        <v>44534</v>
      </c>
      <c r="J359" s="1">
        <v>29.45</v>
      </c>
      <c r="K359" s="4">
        <f t="shared" si="13"/>
        <v>971.94424000000004</v>
      </c>
      <c r="L359" s="4">
        <f t="shared" si="14"/>
        <v>2328.3757599999999</v>
      </c>
    </row>
    <row r="360" spans="1:12" x14ac:dyDescent="0.3">
      <c r="A360" s="1">
        <v>1358</v>
      </c>
      <c r="B360" s="2">
        <v>44747</v>
      </c>
      <c r="C360" s="1" t="s">
        <v>21</v>
      </c>
      <c r="D360" s="1" t="s">
        <v>44</v>
      </c>
      <c r="E360" s="1" t="s">
        <v>16</v>
      </c>
      <c r="F360" s="1">
        <v>958.82</v>
      </c>
      <c r="G360" s="1" t="s">
        <v>92</v>
      </c>
      <c r="H360" s="2">
        <v>24544</v>
      </c>
      <c r="I360" s="2">
        <v>44754</v>
      </c>
      <c r="J360" s="1">
        <v>17.29</v>
      </c>
      <c r="K360" s="4">
        <f t="shared" si="13"/>
        <v>165.779978</v>
      </c>
      <c r="L360" s="4">
        <f t="shared" si="14"/>
        <v>793.04002200000002</v>
      </c>
    </row>
    <row r="361" spans="1:12" x14ac:dyDescent="0.3">
      <c r="A361" s="1">
        <v>1359</v>
      </c>
      <c r="B361" s="2">
        <v>45276</v>
      </c>
      <c r="C361" s="1" t="s">
        <v>35</v>
      </c>
      <c r="D361" s="1" t="s">
        <v>58</v>
      </c>
      <c r="E361" s="1" t="s">
        <v>31</v>
      </c>
      <c r="F361" s="1">
        <v>3637.29</v>
      </c>
      <c r="G361" s="1" t="s">
        <v>250</v>
      </c>
      <c r="H361" s="2">
        <v>33892</v>
      </c>
      <c r="I361" s="2">
        <v>45282</v>
      </c>
      <c r="J361" s="1">
        <v>41.8</v>
      </c>
      <c r="K361" s="4">
        <f t="shared" si="13"/>
        <v>1520.3872199999998</v>
      </c>
      <c r="L361" s="4">
        <f t="shared" si="14"/>
        <v>2116.9027800000003</v>
      </c>
    </row>
    <row r="362" spans="1:12" x14ac:dyDescent="0.3">
      <c r="A362" s="1">
        <v>1360</v>
      </c>
      <c r="B362" s="2">
        <v>44443</v>
      </c>
      <c r="C362" s="1" t="s">
        <v>21</v>
      </c>
      <c r="D362" s="1" t="s">
        <v>22</v>
      </c>
      <c r="E362" s="1" t="s">
        <v>19</v>
      </c>
      <c r="F362" s="1">
        <v>3902.12</v>
      </c>
      <c r="G362" s="1" t="s">
        <v>45</v>
      </c>
      <c r="H362" s="2">
        <v>34367</v>
      </c>
      <c r="I362" s="2">
        <v>44455</v>
      </c>
      <c r="J362" s="1">
        <v>24.06</v>
      </c>
      <c r="K362" s="4">
        <f t="shared" si="13"/>
        <v>938.85007199999995</v>
      </c>
      <c r="L362" s="4">
        <f t="shared" si="14"/>
        <v>2963.2699279999997</v>
      </c>
    </row>
    <row r="363" spans="1:12" x14ac:dyDescent="0.3">
      <c r="A363" s="1">
        <v>1361</v>
      </c>
      <c r="B363" s="2">
        <v>44141</v>
      </c>
      <c r="C363" s="1" t="s">
        <v>21</v>
      </c>
      <c r="D363" s="1" t="s">
        <v>30</v>
      </c>
      <c r="E363" s="1" t="s">
        <v>31</v>
      </c>
      <c r="F363" s="1">
        <v>140.26</v>
      </c>
      <c r="G363" s="1" t="s">
        <v>145</v>
      </c>
      <c r="H363" s="2">
        <v>23470</v>
      </c>
      <c r="I363" s="2">
        <v>44149</v>
      </c>
      <c r="J363" s="1">
        <v>41.53</v>
      </c>
      <c r="K363" s="4">
        <f t="shared" si="13"/>
        <v>58.249977999999999</v>
      </c>
      <c r="L363" s="4">
        <f t="shared" si="14"/>
        <v>82.010021999999992</v>
      </c>
    </row>
    <row r="364" spans="1:12" x14ac:dyDescent="0.3">
      <c r="A364" s="1">
        <v>1362</v>
      </c>
      <c r="B364" s="2">
        <v>44105</v>
      </c>
      <c r="C364" s="1" t="s">
        <v>35</v>
      </c>
      <c r="D364" s="1" t="s">
        <v>65</v>
      </c>
      <c r="E364" s="1" t="s">
        <v>19</v>
      </c>
      <c r="F364" s="1">
        <v>3442.22</v>
      </c>
      <c r="G364" s="1" t="s">
        <v>206</v>
      </c>
      <c r="H364" s="2">
        <v>34011</v>
      </c>
      <c r="I364" s="2">
        <v>44107</v>
      </c>
      <c r="J364" s="1">
        <v>18.84</v>
      </c>
      <c r="K364" s="4">
        <f t="shared" si="13"/>
        <v>648.51424799999995</v>
      </c>
      <c r="L364" s="4">
        <f t="shared" si="14"/>
        <v>2793.7057519999998</v>
      </c>
    </row>
    <row r="365" spans="1:12" x14ac:dyDescent="0.3">
      <c r="A365" s="1">
        <v>1363</v>
      </c>
      <c r="B365" s="2">
        <v>45148</v>
      </c>
      <c r="C365" s="1" t="s">
        <v>21</v>
      </c>
      <c r="D365" s="1" t="s">
        <v>102</v>
      </c>
      <c r="E365" s="1" t="s">
        <v>12</v>
      </c>
      <c r="F365" s="1">
        <v>688.58</v>
      </c>
      <c r="G365" s="1" t="s">
        <v>117</v>
      </c>
      <c r="H365" s="2">
        <v>23513</v>
      </c>
      <c r="I365" s="2">
        <v>45159</v>
      </c>
      <c r="J365" s="1">
        <v>24.61</v>
      </c>
      <c r="K365" s="4">
        <f t="shared" si="13"/>
        <v>169.45953800000001</v>
      </c>
      <c r="L365" s="4">
        <f t="shared" si="14"/>
        <v>519.12046200000009</v>
      </c>
    </row>
    <row r="366" spans="1:12" x14ac:dyDescent="0.3">
      <c r="A366" s="1">
        <v>1364</v>
      </c>
      <c r="B366" s="2">
        <v>45666</v>
      </c>
      <c r="C366" s="1" t="s">
        <v>26</v>
      </c>
      <c r="D366" s="1" t="s">
        <v>27</v>
      </c>
      <c r="E366" s="1" t="s">
        <v>28</v>
      </c>
      <c r="F366" s="1">
        <v>178.24</v>
      </c>
      <c r="G366" s="1" t="s">
        <v>32</v>
      </c>
      <c r="H366" s="2">
        <v>27166</v>
      </c>
      <c r="I366" s="2">
        <v>45676</v>
      </c>
      <c r="J366" s="1">
        <v>40.270000000000003</v>
      </c>
      <c r="K366" s="4">
        <f t="shared" si="13"/>
        <v>71.777248000000014</v>
      </c>
      <c r="L366" s="4">
        <f t="shared" si="14"/>
        <v>106.46275199999999</v>
      </c>
    </row>
    <row r="367" spans="1:12" x14ac:dyDescent="0.3">
      <c r="A367" s="1">
        <v>1365</v>
      </c>
      <c r="B367" s="2">
        <v>44557</v>
      </c>
      <c r="C367" s="1" t="s">
        <v>14</v>
      </c>
      <c r="D367" s="1" t="s">
        <v>30</v>
      </c>
      <c r="E367" s="1" t="s">
        <v>31</v>
      </c>
      <c r="F367" s="1">
        <v>3989.42</v>
      </c>
      <c r="G367" s="1" t="s">
        <v>56</v>
      </c>
      <c r="H367" s="2">
        <v>25712</v>
      </c>
      <c r="I367" s="2">
        <v>44563</v>
      </c>
      <c r="J367" s="1">
        <v>4.76</v>
      </c>
      <c r="K367" s="4">
        <f t="shared" si="13"/>
        <v>189.89639199999999</v>
      </c>
      <c r="L367" s="4">
        <f t="shared" si="14"/>
        <v>3799.523608</v>
      </c>
    </row>
    <row r="368" spans="1:12" x14ac:dyDescent="0.3">
      <c r="A368" s="1">
        <v>1366</v>
      </c>
      <c r="B368" s="2">
        <v>44384</v>
      </c>
      <c r="C368" s="1" t="s">
        <v>10</v>
      </c>
      <c r="D368" s="1" t="s">
        <v>38</v>
      </c>
      <c r="E368" s="1" t="s">
        <v>28</v>
      </c>
      <c r="F368" s="1">
        <v>3857.76</v>
      </c>
      <c r="G368" s="1" t="s">
        <v>243</v>
      </c>
      <c r="H368" s="2">
        <v>29103</v>
      </c>
      <c r="I368" s="2">
        <v>44392</v>
      </c>
      <c r="J368" s="1">
        <v>14.13</v>
      </c>
      <c r="K368" s="4">
        <f t="shared" si="13"/>
        <v>545.10148800000002</v>
      </c>
      <c r="L368" s="4">
        <f t="shared" si="14"/>
        <v>3312.658512</v>
      </c>
    </row>
    <row r="369" spans="1:12" x14ac:dyDescent="0.3">
      <c r="A369" s="1">
        <v>1367</v>
      </c>
      <c r="B369" s="2">
        <v>44141</v>
      </c>
      <c r="C369" s="1" t="s">
        <v>14</v>
      </c>
      <c r="D369" s="1" t="s">
        <v>24</v>
      </c>
      <c r="E369" s="1" t="s">
        <v>19</v>
      </c>
      <c r="F369" s="1">
        <v>1160.47</v>
      </c>
      <c r="G369" s="1" t="s">
        <v>82</v>
      </c>
      <c r="H369" s="2">
        <v>38879</v>
      </c>
      <c r="I369" s="2">
        <v>44142</v>
      </c>
      <c r="J369" s="1">
        <v>31.35</v>
      </c>
      <c r="K369" s="4">
        <f t="shared" si="13"/>
        <v>363.807345</v>
      </c>
      <c r="L369" s="4">
        <f t="shared" si="14"/>
        <v>796.66265500000009</v>
      </c>
    </row>
    <row r="370" spans="1:12" x14ac:dyDescent="0.3">
      <c r="A370" s="1">
        <v>1368</v>
      </c>
      <c r="B370" s="2">
        <v>44920</v>
      </c>
      <c r="C370" s="1" t="s">
        <v>14</v>
      </c>
      <c r="D370" s="1" t="s">
        <v>18</v>
      </c>
      <c r="E370" s="1" t="s">
        <v>19</v>
      </c>
      <c r="F370" s="1">
        <v>631.92999999999995</v>
      </c>
      <c r="G370" s="1" t="s">
        <v>251</v>
      </c>
      <c r="H370" s="2">
        <v>25440</v>
      </c>
      <c r="I370" s="2">
        <v>44932</v>
      </c>
      <c r="J370" s="1">
        <v>11.71</v>
      </c>
      <c r="K370" s="4">
        <f t="shared" si="13"/>
        <v>73.999003000000002</v>
      </c>
      <c r="L370" s="4">
        <f t="shared" si="14"/>
        <v>557.93099699999993</v>
      </c>
    </row>
    <row r="371" spans="1:12" x14ac:dyDescent="0.3">
      <c r="A371" s="1">
        <v>1369</v>
      </c>
      <c r="B371" s="2">
        <v>45674</v>
      </c>
      <c r="C371" s="1" t="s">
        <v>10</v>
      </c>
      <c r="D371" s="1" t="s">
        <v>53</v>
      </c>
      <c r="E371" s="1" t="s">
        <v>28</v>
      </c>
      <c r="F371" s="1">
        <v>3121.09</v>
      </c>
      <c r="G371" s="1" t="s">
        <v>163</v>
      </c>
      <c r="H371" s="2">
        <v>30364</v>
      </c>
      <c r="I371" s="2">
        <v>45687</v>
      </c>
      <c r="J371" s="1">
        <v>38.82</v>
      </c>
      <c r="K371" s="4">
        <f t="shared" si="13"/>
        <v>1211.6071380000001</v>
      </c>
      <c r="L371" s="4">
        <f t="shared" si="14"/>
        <v>1909.4828620000001</v>
      </c>
    </row>
    <row r="372" spans="1:12" x14ac:dyDescent="0.3">
      <c r="A372" s="1">
        <v>1370</v>
      </c>
      <c r="B372" s="2">
        <v>45702</v>
      </c>
      <c r="C372" s="1" t="s">
        <v>10</v>
      </c>
      <c r="D372" s="1" t="s">
        <v>102</v>
      </c>
      <c r="E372" s="1" t="s">
        <v>12</v>
      </c>
      <c r="F372" s="1">
        <v>2623.27</v>
      </c>
      <c r="G372" s="1" t="s">
        <v>202</v>
      </c>
      <c r="H372" s="2">
        <v>24802</v>
      </c>
      <c r="I372" s="2">
        <v>45707</v>
      </c>
      <c r="J372" s="1">
        <v>29.54</v>
      </c>
      <c r="K372" s="4">
        <f t="shared" si="13"/>
        <v>774.91395799999998</v>
      </c>
      <c r="L372" s="4">
        <f t="shared" si="14"/>
        <v>1848.3560419999999</v>
      </c>
    </row>
    <row r="373" spans="1:12" x14ac:dyDescent="0.3">
      <c r="A373" s="1">
        <v>1371</v>
      </c>
      <c r="B373" s="2">
        <v>45028</v>
      </c>
      <c r="C373" s="1" t="s">
        <v>26</v>
      </c>
      <c r="D373" s="1" t="s">
        <v>55</v>
      </c>
      <c r="E373" s="1" t="s">
        <v>31</v>
      </c>
      <c r="F373" s="1">
        <v>3304.37</v>
      </c>
      <c r="G373" s="1" t="s">
        <v>240</v>
      </c>
      <c r="H373" s="2">
        <v>38478</v>
      </c>
      <c r="I373" s="2">
        <v>45034</v>
      </c>
      <c r="J373" s="1">
        <v>47.9</v>
      </c>
      <c r="K373" s="4">
        <f t="shared" si="13"/>
        <v>1582.79323</v>
      </c>
      <c r="L373" s="4">
        <f t="shared" si="14"/>
        <v>1721.5767699999999</v>
      </c>
    </row>
    <row r="374" spans="1:12" x14ac:dyDescent="0.3">
      <c r="A374" s="1">
        <v>1372</v>
      </c>
      <c r="B374" s="2">
        <v>44691</v>
      </c>
      <c r="C374" s="1" t="s">
        <v>26</v>
      </c>
      <c r="D374" s="1" t="s">
        <v>33</v>
      </c>
      <c r="E374" s="1" t="s">
        <v>16</v>
      </c>
      <c r="F374" s="1">
        <v>4505.3599999999997</v>
      </c>
      <c r="G374" s="1" t="s">
        <v>252</v>
      </c>
      <c r="H374" s="2">
        <v>34209</v>
      </c>
      <c r="I374" s="2">
        <v>44700</v>
      </c>
      <c r="J374" s="1">
        <v>34.29</v>
      </c>
      <c r="K374" s="4">
        <f t="shared" si="13"/>
        <v>1544.8879439999998</v>
      </c>
      <c r="L374" s="4">
        <f t="shared" si="14"/>
        <v>2960.4720559999996</v>
      </c>
    </row>
    <row r="375" spans="1:12" x14ac:dyDescent="0.3">
      <c r="A375" s="1">
        <v>1373</v>
      </c>
      <c r="B375" s="2">
        <v>45007</v>
      </c>
      <c r="C375" s="1" t="s">
        <v>26</v>
      </c>
      <c r="D375" s="1" t="s">
        <v>61</v>
      </c>
      <c r="E375" s="1" t="s">
        <v>19</v>
      </c>
      <c r="F375" s="1">
        <v>3528.12</v>
      </c>
      <c r="G375" s="1" t="s">
        <v>146</v>
      </c>
      <c r="H375" s="2">
        <v>24961</v>
      </c>
      <c r="I375" s="2">
        <v>45008</v>
      </c>
      <c r="J375" s="1">
        <v>5.15</v>
      </c>
      <c r="K375" s="4">
        <f t="shared" si="13"/>
        <v>181.69818000000001</v>
      </c>
      <c r="L375" s="4">
        <f t="shared" si="14"/>
        <v>3346.42182</v>
      </c>
    </row>
    <row r="376" spans="1:12" x14ac:dyDescent="0.3">
      <c r="A376" s="1">
        <v>1374</v>
      </c>
      <c r="B376" s="2">
        <v>45791</v>
      </c>
      <c r="C376" s="1" t="s">
        <v>35</v>
      </c>
      <c r="D376" s="1" t="s">
        <v>55</v>
      </c>
      <c r="E376" s="1" t="s">
        <v>31</v>
      </c>
      <c r="F376" s="1">
        <v>3418.14</v>
      </c>
      <c r="G376" s="1" t="s">
        <v>253</v>
      </c>
      <c r="H376" s="2">
        <v>27131</v>
      </c>
      <c r="I376" s="2">
        <v>45795</v>
      </c>
      <c r="J376" s="1">
        <v>14.35</v>
      </c>
      <c r="K376" s="4">
        <f t="shared" si="13"/>
        <v>490.50308999999993</v>
      </c>
      <c r="L376" s="4">
        <f t="shared" si="14"/>
        <v>2927.6369100000002</v>
      </c>
    </row>
    <row r="377" spans="1:12" x14ac:dyDescent="0.3">
      <c r="A377" s="1">
        <v>1375</v>
      </c>
      <c r="B377" s="2">
        <v>44394</v>
      </c>
      <c r="C377" s="1" t="s">
        <v>35</v>
      </c>
      <c r="D377" s="1" t="s">
        <v>44</v>
      </c>
      <c r="E377" s="1" t="s">
        <v>16</v>
      </c>
      <c r="F377" s="1">
        <v>4990.92</v>
      </c>
      <c r="G377" s="1" t="s">
        <v>179</v>
      </c>
      <c r="H377" s="2">
        <v>30356</v>
      </c>
      <c r="I377" s="2">
        <v>44395</v>
      </c>
      <c r="J377" s="1">
        <v>38.31</v>
      </c>
      <c r="K377" s="4">
        <f t="shared" si="13"/>
        <v>1912.021452</v>
      </c>
      <c r="L377" s="4">
        <f t="shared" si="14"/>
        <v>3078.8985480000001</v>
      </c>
    </row>
    <row r="378" spans="1:12" x14ac:dyDescent="0.3">
      <c r="A378" s="1">
        <v>1376</v>
      </c>
      <c r="B378" s="2">
        <v>45705</v>
      </c>
      <c r="C378" s="1" t="s">
        <v>10</v>
      </c>
      <c r="D378" s="1" t="s">
        <v>30</v>
      </c>
      <c r="E378" s="1" t="s">
        <v>31</v>
      </c>
      <c r="F378" s="1">
        <v>102.8</v>
      </c>
      <c r="G378" s="1" t="s">
        <v>99</v>
      </c>
      <c r="H378" s="2">
        <v>26397</v>
      </c>
      <c r="I378" s="2">
        <v>45716</v>
      </c>
      <c r="J378" s="1">
        <v>43.1</v>
      </c>
      <c r="K378" s="4">
        <f t="shared" si="13"/>
        <v>44.306799999999996</v>
      </c>
      <c r="L378" s="4">
        <f t="shared" si="14"/>
        <v>58.493200000000002</v>
      </c>
    </row>
    <row r="379" spans="1:12" x14ac:dyDescent="0.3">
      <c r="A379" s="1">
        <v>1377</v>
      </c>
      <c r="B379" s="2">
        <v>44797</v>
      </c>
      <c r="C379" s="1" t="s">
        <v>21</v>
      </c>
      <c r="D379" s="1" t="s">
        <v>71</v>
      </c>
      <c r="E379" s="1" t="s">
        <v>31</v>
      </c>
      <c r="F379" s="1">
        <v>791.47</v>
      </c>
      <c r="G379" s="1" t="s">
        <v>220</v>
      </c>
      <c r="H379" s="2">
        <v>30755</v>
      </c>
      <c r="I379" s="2">
        <v>44800</v>
      </c>
      <c r="J379" s="1">
        <v>32.590000000000003</v>
      </c>
      <c r="K379" s="4">
        <f t="shared" si="13"/>
        <v>257.94007300000004</v>
      </c>
      <c r="L379" s="4">
        <f t="shared" si="14"/>
        <v>533.52992700000004</v>
      </c>
    </row>
    <row r="380" spans="1:12" x14ac:dyDescent="0.3">
      <c r="A380" s="1">
        <v>1378</v>
      </c>
      <c r="B380" s="2">
        <v>44166</v>
      </c>
      <c r="C380" s="1" t="s">
        <v>26</v>
      </c>
      <c r="D380" s="1" t="s">
        <v>47</v>
      </c>
      <c r="E380" s="1" t="s">
        <v>12</v>
      </c>
      <c r="F380" s="1">
        <v>2713.64</v>
      </c>
      <c r="G380" s="1" t="s">
        <v>254</v>
      </c>
      <c r="H380" s="2">
        <v>29366</v>
      </c>
      <c r="I380" s="2">
        <v>44179</v>
      </c>
      <c r="J380" s="1">
        <v>30.32</v>
      </c>
      <c r="K380" s="4">
        <f t="shared" si="13"/>
        <v>822.77564800000005</v>
      </c>
      <c r="L380" s="4">
        <f t="shared" si="14"/>
        <v>1890.8643519999998</v>
      </c>
    </row>
    <row r="381" spans="1:12" x14ac:dyDescent="0.3">
      <c r="A381" s="1">
        <v>1379</v>
      </c>
      <c r="B381" s="2">
        <v>44358</v>
      </c>
      <c r="C381" s="1" t="s">
        <v>26</v>
      </c>
      <c r="D381" s="1" t="s">
        <v>69</v>
      </c>
      <c r="E381" s="1" t="s">
        <v>31</v>
      </c>
      <c r="F381" s="1">
        <v>3215.09</v>
      </c>
      <c r="G381" s="1" t="s">
        <v>255</v>
      </c>
      <c r="H381" s="2">
        <v>22646</v>
      </c>
      <c r="I381" s="2">
        <v>44368</v>
      </c>
      <c r="J381" s="1">
        <v>1.58</v>
      </c>
      <c r="K381" s="4">
        <f t="shared" si="13"/>
        <v>50.798422000000009</v>
      </c>
      <c r="L381" s="4">
        <f t="shared" si="14"/>
        <v>3164.2915780000003</v>
      </c>
    </row>
    <row r="382" spans="1:12" x14ac:dyDescent="0.3">
      <c r="A382" s="1">
        <v>1380</v>
      </c>
      <c r="B382" s="2">
        <v>44767</v>
      </c>
      <c r="C382" s="1" t="s">
        <v>26</v>
      </c>
      <c r="D382" s="1" t="s">
        <v>65</v>
      </c>
      <c r="E382" s="1" t="s">
        <v>19</v>
      </c>
      <c r="F382" s="1">
        <v>2690.03</v>
      </c>
      <c r="G382" s="1" t="s">
        <v>199</v>
      </c>
      <c r="H382" s="2">
        <v>25341</v>
      </c>
      <c r="I382" s="2">
        <v>44776</v>
      </c>
      <c r="J382" s="1">
        <v>33.44</v>
      </c>
      <c r="K382" s="4">
        <f t="shared" si="13"/>
        <v>899.54603199999997</v>
      </c>
      <c r="L382" s="4">
        <f t="shared" si="14"/>
        <v>1790.4839680000002</v>
      </c>
    </row>
    <row r="383" spans="1:12" x14ac:dyDescent="0.3">
      <c r="A383" s="1">
        <v>1381</v>
      </c>
      <c r="B383" s="2">
        <v>45262</v>
      </c>
      <c r="C383" s="1" t="s">
        <v>21</v>
      </c>
      <c r="D383" s="1" t="s">
        <v>44</v>
      </c>
      <c r="E383" s="1" t="s">
        <v>16</v>
      </c>
      <c r="F383" s="1">
        <v>673.16</v>
      </c>
      <c r="G383" s="1" t="s">
        <v>159</v>
      </c>
      <c r="H383" s="2">
        <v>38194</v>
      </c>
      <c r="I383" s="2">
        <v>45268</v>
      </c>
      <c r="J383" s="1">
        <v>42.27</v>
      </c>
      <c r="K383" s="4">
        <f t="shared" si="13"/>
        <v>284.54473200000001</v>
      </c>
      <c r="L383" s="4">
        <f t="shared" si="14"/>
        <v>388.61526799999996</v>
      </c>
    </row>
    <row r="384" spans="1:12" x14ac:dyDescent="0.3">
      <c r="A384" s="1">
        <v>1382</v>
      </c>
      <c r="B384" s="2">
        <v>45737</v>
      </c>
      <c r="C384" s="1" t="s">
        <v>35</v>
      </c>
      <c r="D384" s="1" t="s">
        <v>58</v>
      </c>
      <c r="E384" s="1" t="s">
        <v>31</v>
      </c>
      <c r="F384" s="1">
        <v>889.97</v>
      </c>
      <c r="G384" s="1" t="s">
        <v>245</v>
      </c>
      <c r="H384" s="2">
        <v>32205</v>
      </c>
      <c r="I384" s="2">
        <v>45749</v>
      </c>
      <c r="J384" s="1">
        <v>3.54</v>
      </c>
      <c r="K384" s="4">
        <f t="shared" si="13"/>
        <v>31.504938000000003</v>
      </c>
      <c r="L384" s="4">
        <f t="shared" si="14"/>
        <v>858.46506199999999</v>
      </c>
    </row>
    <row r="385" spans="1:12" x14ac:dyDescent="0.3">
      <c r="A385" s="1">
        <v>1383</v>
      </c>
      <c r="B385" s="2">
        <v>44672</v>
      </c>
      <c r="C385" s="1" t="s">
        <v>21</v>
      </c>
      <c r="D385" s="1" t="s">
        <v>65</v>
      </c>
      <c r="E385" s="1" t="s">
        <v>19</v>
      </c>
      <c r="F385" s="1">
        <v>1416.62</v>
      </c>
      <c r="G385" s="1" t="s">
        <v>56</v>
      </c>
      <c r="H385" s="2">
        <v>25712</v>
      </c>
      <c r="I385" s="2">
        <v>44673</v>
      </c>
      <c r="J385" s="1">
        <v>33.68</v>
      </c>
      <c r="K385" s="4">
        <f t="shared" si="13"/>
        <v>477.11761599999994</v>
      </c>
      <c r="L385" s="4">
        <f t="shared" si="14"/>
        <v>939.50238399999989</v>
      </c>
    </row>
    <row r="386" spans="1:12" x14ac:dyDescent="0.3">
      <c r="A386" s="1">
        <v>1384</v>
      </c>
      <c r="B386" s="2">
        <v>45185</v>
      </c>
      <c r="C386" s="1" t="s">
        <v>35</v>
      </c>
      <c r="D386" s="1" t="s">
        <v>38</v>
      </c>
      <c r="E386" s="1" t="s">
        <v>28</v>
      </c>
      <c r="F386" s="1">
        <v>699.51</v>
      </c>
      <c r="G386" s="1" t="s">
        <v>74</v>
      </c>
      <c r="H386" s="2">
        <v>31224</v>
      </c>
      <c r="I386" s="2">
        <v>45198</v>
      </c>
      <c r="J386" s="1">
        <v>6.44</v>
      </c>
      <c r="K386" s="4">
        <f t="shared" si="13"/>
        <v>45.048443999999996</v>
      </c>
      <c r="L386" s="4">
        <f t="shared" si="14"/>
        <v>654.46155599999997</v>
      </c>
    </row>
    <row r="387" spans="1:12" x14ac:dyDescent="0.3">
      <c r="A387" s="1">
        <v>1385</v>
      </c>
      <c r="B387" s="2">
        <v>44680</v>
      </c>
      <c r="C387" s="1" t="s">
        <v>26</v>
      </c>
      <c r="D387" s="1" t="s">
        <v>22</v>
      </c>
      <c r="E387" s="1" t="s">
        <v>19</v>
      </c>
      <c r="F387" s="1">
        <v>720.99</v>
      </c>
      <c r="G387" s="1" t="s">
        <v>96</v>
      </c>
      <c r="H387" s="2">
        <v>36236</v>
      </c>
      <c r="I387" s="2">
        <v>44694</v>
      </c>
      <c r="J387" s="1">
        <v>24</v>
      </c>
      <c r="K387" s="4">
        <f t="shared" ref="K387:K450" si="15">F387*J387%</f>
        <v>173.0376</v>
      </c>
      <c r="L387" s="4">
        <f t="shared" ref="L387:L450" si="16">F387-K387</f>
        <v>547.95240000000001</v>
      </c>
    </row>
    <row r="388" spans="1:12" x14ac:dyDescent="0.3">
      <c r="A388" s="1">
        <v>1386</v>
      </c>
      <c r="B388" s="2">
        <v>44786</v>
      </c>
      <c r="C388" s="1" t="s">
        <v>21</v>
      </c>
      <c r="D388" s="1" t="s">
        <v>61</v>
      </c>
      <c r="E388" s="1" t="s">
        <v>19</v>
      </c>
      <c r="F388" s="1">
        <v>1559.47</v>
      </c>
      <c r="G388" s="1" t="s">
        <v>32</v>
      </c>
      <c r="H388" s="2">
        <v>27166</v>
      </c>
      <c r="I388" s="2">
        <v>44787</v>
      </c>
      <c r="J388" s="1">
        <v>21.2</v>
      </c>
      <c r="K388" s="4">
        <f t="shared" si="15"/>
        <v>330.60764</v>
      </c>
      <c r="L388" s="4">
        <f t="shared" si="16"/>
        <v>1228.8623600000001</v>
      </c>
    </row>
    <row r="389" spans="1:12" x14ac:dyDescent="0.3">
      <c r="A389" s="1">
        <v>1387</v>
      </c>
      <c r="B389" s="2">
        <v>45862</v>
      </c>
      <c r="C389" s="1" t="s">
        <v>35</v>
      </c>
      <c r="D389" s="1" t="s">
        <v>22</v>
      </c>
      <c r="E389" s="1" t="s">
        <v>19</v>
      </c>
      <c r="F389" s="1">
        <v>3501.39</v>
      </c>
      <c r="G389" s="1" t="s">
        <v>70</v>
      </c>
      <c r="H389" s="2">
        <v>30887</v>
      </c>
      <c r="I389" s="2">
        <v>45867</v>
      </c>
      <c r="J389" s="1">
        <v>45.42</v>
      </c>
      <c r="K389" s="4">
        <f t="shared" si="15"/>
        <v>1590.331338</v>
      </c>
      <c r="L389" s="4">
        <f t="shared" si="16"/>
        <v>1911.0586619999999</v>
      </c>
    </row>
    <row r="390" spans="1:12" x14ac:dyDescent="0.3">
      <c r="A390" s="1">
        <v>1388</v>
      </c>
      <c r="B390" s="2">
        <v>45395</v>
      </c>
      <c r="C390" s="1" t="s">
        <v>21</v>
      </c>
      <c r="D390" s="1" t="s">
        <v>27</v>
      </c>
      <c r="E390" s="1" t="s">
        <v>28</v>
      </c>
      <c r="F390" s="1">
        <v>3118.17</v>
      </c>
      <c r="G390" s="1" t="s">
        <v>130</v>
      </c>
      <c r="H390" s="2">
        <v>38750</v>
      </c>
      <c r="I390" s="2">
        <v>45404</v>
      </c>
      <c r="J390" s="1">
        <v>8.19</v>
      </c>
      <c r="K390" s="4">
        <f t="shared" si="15"/>
        <v>255.37812300000002</v>
      </c>
      <c r="L390" s="4">
        <f t="shared" si="16"/>
        <v>2862.7918770000001</v>
      </c>
    </row>
    <row r="391" spans="1:12" x14ac:dyDescent="0.3">
      <c r="A391" s="1">
        <v>1389</v>
      </c>
      <c r="B391" s="2">
        <v>45137</v>
      </c>
      <c r="C391" s="1" t="s">
        <v>10</v>
      </c>
      <c r="D391" s="1" t="s">
        <v>73</v>
      </c>
      <c r="E391" s="1" t="s">
        <v>28</v>
      </c>
      <c r="F391" s="1">
        <v>2753.34</v>
      </c>
      <c r="G391" s="1" t="s">
        <v>234</v>
      </c>
      <c r="H391" s="2">
        <v>24368</v>
      </c>
      <c r="I391" s="2">
        <v>45151</v>
      </c>
      <c r="J391" s="1">
        <v>11.08</v>
      </c>
      <c r="K391" s="4">
        <f t="shared" si="15"/>
        <v>305.07007199999998</v>
      </c>
      <c r="L391" s="4">
        <f t="shared" si="16"/>
        <v>2448.2699280000002</v>
      </c>
    </row>
    <row r="392" spans="1:12" x14ac:dyDescent="0.3">
      <c r="A392" s="1">
        <v>1390</v>
      </c>
      <c r="B392" s="2">
        <v>44750</v>
      </c>
      <c r="C392" s="1" t="s">
        <v>14</v>
      </c>
      <c r="D392" s="1" t="s">
        <v>44</v>
      </c>
      <c r="E392" s="1" t="s">
        <v>16</v>
      </c>
      <c r="F392" s="1">
        <v>3871.08</v>
      </c>
      <c r="G392" s="1" t="s">
        <v>119</v>
      </c>
      <c r="H392" s="2">
        <v>34954</v>
      </c>
      <c r="I392" s="2">
        <v>44755</v>
      </c>
      <c r="J392" s="1">
        <v>24.54</v>
      </c>
      <c r="K392" s="4">
        <f t="shared" si="15"/>
        <v>949.96303199999988</v>
      </c>
      <c r="L392" s="4">
        <f t="shared" si="16"/>
        <v>2921.1169680000003</v>
      </c>
    </row>
    <row r="393" spans="1:12" x14ac:dyDescent="0.3">
      <c r="A393" s="1">
        <v>1391</v>
      </c>
      <c r="B393" s="2">
        <v>45826</v>
      </c>
      <c r="C393" s="1" t="s">
        <v>21</v>
      </c>
      <c r="D393" s="1" t="s">
        <v>24</v>
      </c>
      <c r="E393" s="1" t="s">
        <v>19</v>
      </c>
      <c r="F393" s="1">
        <v>2487.0300000000002</v>
      </c>
      <c r="G393" s="1" t="s">
        <v>77</v>
      </c>
      <c r="H393" s="2">
        <v>38696</v>
      </c>
      <c r="I393" s="2">
        <v>45830</v>
      </c>
      <c r="J393" s="1">
        <v>16.79</v>
      </c>
      <c r="K393" s="4">
        <f t="shared" si="15"/>
        <v>417.572337</v>
      </c>
      <c r="L393" s="4">
        <f t="shared" si="16"/>
        <v>2069.4576630000001</v>
      </c>
    </row>
    <row r="394" spans="1:12" x14ac:dyDescent="0.3">
      <c r="A394" s="1">
        <v>1392</v>
      </c>
      <c r="B394" s="2">
        <v>44843</v>
      </c>
      <c r="C394" s="1" t="s">
        <v>21</v>
      </c>
      <c r="D394" s="1" t="s">
        <v>27</v>
      </c>
      <c r="E394" s="1" t="s">
        <v>28</v>
      </c>
      <c r="F394" s="1">
        <v>1105.26</v>
      </c>
      <c r="G394" s="1" t="s">
        <v>148</v>
      </c>
      <c r="H394" s="2">
        <v>22007</v>
      </c>
      <c r="I394" s="2">
        <v>44849</v>
      </c>
      <c r="J394" s="1">
        <v>43.12</v>
      </c>
      <c r="K394" s="4">
        <f t="shared" si="15"/>
        <v>476.58811199999997</v>
      </c>
      <c r="L394" s="4">
        <f t="shared" si="16"/>
        <v>628.67188800000008</v>
      </c>
    </row>
    <row r="395" spans="1:12" x14ac:dyDescent="0.3">
      <c r="A395" s="1">
        <v>1393</v>
      </c>
      <c r="B395" s="2">
        <v>45564</v>
      </c>
      <c r="C395" s="1" t="s">
        <v>14</v>
      </c>
      <c r="D395" s="1" t="s">
        <v>30</v>
      </c>
      <c r="E395" s="1" t="s">
        <v>31</v>
      </c>
      <c r="F395" s="1">
        <v>4793.3599999999997</v>
      </c>
      <c r="G395" s="1" t="s">
        <v>85</v>
      </c>
      <c r="H395" s="2">
        <v>37236</v>
      </c>
      <c r="I395" s="2">
        <v>45573</v>
      </c>
      <c r="J395" s="1">
        <v>12.75</v>
      </c>
      <c r="K395" s="4">
        <f t="shared" si="15"/>
        <v>611.15339999999992</v>
      </c>
      <c r="L395" s="4">
        <f t="shared" si="16"/>
        <v>4182.2065999999995</v>
      </c>
    </row>
    <row r="396" spans="1:12" x14ac:dyDescent="0.3">
      <c r="A396" s="1">
        <v>1394</v>
      </c>
      <c r="B396" s="2">
        <v>45042</v>
      </c>
      <c r="C396" s="1" t="s">
        <v>35</v>
      </c>
      <c r="D396" s="1" t="s">
        <v>49</v>
      </c>
      <c r="E396" s="1" t="s">
        <v>12</v>
      </c>
      <c r="F396" s="1">
        <v>356.79</v>
      </c>
      <c r="G396" s="1" t="s">
        <v>107</v>
      </c>
      <c r="H396" s="2">
        <v>26671</v>
      </c>
      <c r="I396" s="2">
        <v>45055</v>
      </c>
      <c r="J396" s="1">
        <v>14.06</v>
      </c>
      <c r="K396" s="4">
        <f t="shared" si="15"/>
        <v>50.164674000000005</v>
      </c>
      <c r="L396" s="4">
        <f t="shared" si="16"/>
        <v>306.62532600000003</v>
      </c>
    </row>
    <row r="397" spans="1:12" x14ac:dyDescent="0.3">
      <c r="A397" s="1">
        <v>1395</v>
      </c>
      <c r="B397" s="2">
        <v>45651</v>
      </c>
      <c r="C397" s="1" t="s">
        <v>26</v>
      </c>
      <c r="D397" s="1" t="s">
        <v>69</v>
      </c>
      <c r="E397" s="1" t="s">
        <v>31</v>
      </c>
      <c r="F397" s="1">
        <v>2324.31</v>
      </c>
      <c r="G397" s="1" t="s">
        <v>256</v>
      </c>
      <c r="H397" s="2">
        <v>34537</v>
      </c>
      <c r="I397" s="2">
        <v>45660</v>
      </c>
      <c r="J397" s="1">
        <v>49.72</v>
      </c>
      <c r="K397" s="4">
        <f t="shared" si="15"/>
        <v>1155.6469319999999</v>
      </c>
      <c r="L397" s="4">
        <f t="shared" si="16"/>
        <v>1168.6630680000001</v>
      </c>
    </row>
    <row r="398" spans="1:12" x14ac:dyDescent="0.3">
      <c r="A398" s="1">
        <v>1396</v>
      </c>
      <c r="B398" s="2">
        <v>44563</v>
      </c>
      <c r="C398" s="1" t="s">
        <v>21</v>
      </c>
      <c r="D398" s="1" t="s">
        <v>24</v>
      </c>
      <c r="E398" s="1" t="s">
        <v>19</v>
      </c>
      <c r="F398" s="1">
        <v>290.12</v>
      </c>
      <c r="G398" s="1" t="s">
        <v>162</v>
      </c>
      <c r="H398" s="2">
        <v>32712</v>
      </c>
      <c r="I398" s="2">
        <v>44567</v>
      </c>
      <c r="J398" s="1">
        <v>29.2</v>
      </c>
      <c r="K398" s="4">
        <f t="shared" si="15"/>
        <v>84.715040000000002</v>
      </c>
      <c r="L398" s="4">
        <f t="shared" si="16"/>
        <v>205.40496000000002</v>
      </c>
    </row>
    <row r="399" spans="1:12" x14ac:dyDescent="0.3">
      <c r="A399" s="1">
        <v>1397</v>
      </c>
      <c r="B399" s="2">
        <v>45467</v>
      </c>
      <c r="C399" s="1" t="s">
        <v>21</v>
      </c>
      <c r="D399" s="1" t="s">
        <v>33</v>
      </c>
      <c r="E399" s="1" t="s">
        <v>16</v>
      </c>
      <c r="F399" s="1">
        <v>2922.55</v>
      </c>
      <c r="G399" s="1" t="s">
        <v>170</v>
      </c>
      <c r="H399" s="2">
        <v>34205</v>
      </c>
      <c r="I399" s="2">
        <v>45481</v>
      </c>
      <c r="J399" s="1">
        <v>25.17</v>
      </c>
      <c r="K399" s="4">
        <f t="shared" si="15"/>
        <v>735.60583500000018</v>
      </c>
      <c r="L399" s="4">
        <f t="shared" si="16"/>
        <v>2186.9441649999999</v>
      </c>
    </row>
    <row r="400" spans="1:12" x14ac:dyDescent="0.3">
      <c r="A400" s="1">
        <v>1398</v>
      </c>
      <c r="B400" s="2">
        <v>44212</v>
      </c>
      <c r="C400" s="1" t="s">
        <v>35</v>
      </c>
      <c r="D400" s="1" t="s">
        <v>88</v>
      </c>
      <c r="E400" s="1" t="s">
        <v>16</v>
      </c>
      <c r="F400" s="1">
        <v>3671.09</v>
      </c>
      <c r="G400" s="1" t="s">
        <v>112</v>
      </c>
      <c r="H400" s="2">
        <v>38171</v>
      </c>
      <c r="I400" s="2">
        <v>44225</v>
      </c>
      <c r="J400" s="1">
        <v>45.75</v>
      </c>
      <c r="K400" s="4">
        <f t="shared" si="15"/>
        <v>1679.5236750000001</v>
      </c>
      <c r="L400" s="4">
        <f t="shared" si="16"/>
        <v>1991.566325</v>
      </c>
    </row>
    <row r="401" spans="1:12" x14ac:dyDescent="0.3">
      <c r="A401" s="1">
        <v>1399</v>
      </c>
      <c r="B401" s="2">
        <v>44519</v>
      </c>
      <c r="C401" s="1" t="s">
        <v>21</v>
      </c>
      <c r="D401" s="1" t="s">
        <v>73</v>
      </c>
      <c r="E401" s="1" t="s">
        <v>28</v>
      </c>
      <c r="F401" s="1">
        <v>2050.44</v>
      </c>
      <c r="G401" s="1" t="s">
        <v>257</v>
      </c>
      <c r="H401" s="2">
        <v>31685</v>
      </c>
      <c r="I401" s="2">
        <v>44524</v>
      </c>
      <c r="J401" s="1">
        <v>25.46</v>
      </c>
      <c r="K401" s="4">
        <f t="shared" si="15"/>
        <v>522.04202399999997</v>
      </c>
      <c r="L401" s="4">
        <f t="shared" si="16"/>
        <v>1528.3979760000002</v>
      </c>
    </row>
    <row r="402" spans="1:12" x14ac:dyDescent="0.3">
      <c r="A402" s="1">
        <v>1400</v>
      </c>
      <c r="B402" s="2">
        <v>44865</v>
      </c>
      <c r="C402" s="1" t="s">
        <v>10</v>
      </c>
      <c r="D402" s="1" t="s">
        <v>88</v>
      </c>
      <c r="E402" s="1" t="s">
        <v>16</v>
      </c>
      <c r="F402" s="1">
        <v>3393.17</v>
      </c>
      <c r="G402" s="1" t="s">
        <v>258</v>
      </c>
      <c r="H402" s="2">
        <v>37946</v>
      </c>
      <c r="I402" s="2">
        <v>44873</v>
      </c>
      <c r="J402" s="1">
        <v>49.78</v>
      </c>
      <c r="K402" s="4">
        <f t="shared" si="15"/>
        <v>1689.1200260000001</v>
      </c>
      <c r="L402" s="4">
        <f t="shared" si="16"/>
        <v>1704.049974</v>
      </c>
    </row>
    <row r="403" spans="1:12" x14ac:dyDescent="0.3">
      <c r="A403" s="1">
        <v>1401</v>
      </c>
      <c r="B403" s="2">
        <v>44345</v>
      </c>
      <c r="C403" s="1" t="s">
        <v>10</v>
      </c>
      <c r="D403" s="1" t="s">
        <v>38</v>
      </c>
      <c r="E403" s="1" t="s">
        <v>28</v>
      </c>
      <c r="F403" s="1">
        <v>3686.7</v>
      </c>
      <c r="G403" s="1" t="s">
        <v>140</v>
      </c>
      <c r="H403" s="2">
        <v>24579</v>
      </c>
      <c r="I403" s="2">
        <v>44355</v>
      </c>
      <c r="J403" s="1">
        <v>4.78</v>
      </c>
      <c r="K403" s="4">
        <f t="shared" si="15"/>
        <v>176.22425999999999</v>
      </c>
      <c r="L403" s="4">
        <f t="shared" si="16"/>
        <v>3510.4757399999999</v>
      </c>
    </row>
    <row r="404" spans="1:12" x14ac:dyDescent="0.3">
      <c r="A404" s="1">
        <v>1402</v>
      </c>
      <c r="B404" s="2">
        <v>45145</v>
      </c>
      <c r="C404" s="1" t="s">
        <v>10</v>
      </c>
      <c r="D404" s="1" t="s">
        <v>102</v>
      </c>
      <c r="E404" s="1" t="s">
        <v>12</v>
      </c>
      <c r="F404" s="1">
        <v>1537.76</v>
      </c>
      <c r="G404" s="1" t="s">
        <v>169</v>
      </c>
      <c r="H404" s="2">
        <v>37894</v>
      </c>
      <c r="I404" s="2">
        <v>45147</v>
      </c>
      <c r="J404" s="1">
        <v>32.08</v>
      </c>
      <c r="K404" s="4">
        <f t="shared" si="15"/>
        <v>493.31340799999998</v>
      </c>
      <c r="L404" s="4">
        <f t="shared" si="16"/>
        <v>1044.446592</v>
      </c>
    </row>
    <row r="405" spans="1:12" x14ac:dyDescent="0.3">
      <c r="A405" s="1">
        <v>1403</v>
      </c>
      <c r="B405" s="2">
        <v>44270</v>
      </c>
      <c r="C405" s="1" t="s">
        <v>26</v>
      </c>
      <c r="D405" s="1" t="s">
        <v>36</v>
      </c>
      <c r="E405" s="1" t="s">
        <v>28</v>
      </c>
      <c r="F405" s="1">
        <v>2977.52</v>
      </c>
      <c r="G405" s="1" t="s">
        <v>249</v>
      </c>
      <c r="H405" s="2">
        <v>28555</v>
      </c>
      <c r="I405" s="2">
        <v>44284</v>
      </c>
      <c r="J405" s="1">
        <v>44.42</v>
      </c>
      <c r="K405" s="4">
        <f t="shared" si="15"/>
        <v>1322.6143840000002</v>
      </c>
      <c r="L405" s="4">
        <f t="shared" si="16"/>
        <v>1654.9056159999998</v>
      </c>
    </row>
    <row r="406" spans="1:12" x14ac:dyDescent="0.3">
      <c r="A406" s="1">
        <v>1404</v>
      </c>
      <c r="B406" s="2">
        <v>44971</v>
      </c>
      <c r="C406" s="1" t="s">
        <v>10</v>
      </c>
      <c r="D406" s="1" t="s">
        <v>11</v>
      </c>
      <c r="E406" s="1" t="s">
        <v>12</v>
      </c>
      <c r="F406" s="1">
        <v>4251.04</v>
      </c>
      <c r="G406" s="1" t="s">
        <v>122</v>
      </c>
      <c r="H406" s="2">
        <v>29720</v>
      </c>
      <c r="I406" s="2">
        <v>44977</v>
      </c>
      <c r="J406" s="1">
        <v>32.68</v>
      </c>
      <c r="K406" s="4">
        <f t="shared" si="15"/>
        <v>1389.2398719999999</v>
      </c>
      <c r="L406" s="4">
        <f t="shared" si="16"/>
        <v>2861.8001279999999</v>
      </c>
    </row>
    <row r="407" spans="1:12" x14ac:dyDescent="0.3">
      <c r="A407" s="1">
        <v>1405</v>
      </c>
      <c r="B407" s="2">
        <v>45710</v>
      </c>
      <c r="C407" s="1" t="s">
        <v>21</v>
      </c>
      <c r="D407" s="1" t="s">
        <v>55</v>
      </c>
      <c r="E407" s="1" t="s">
        <v>31</v>
      </c>
      <c r="F407" s="1">
        <v>2107.34</v>
      </c>
      <c r="G407" s="1" t="s">
        <v>254</v>
      </c>
      <c r="H407" s="2">
        <v>29366</v>
      </c>
      <c r="I407" s="2">
        <v>45720</v>
      </c>
      <c r="J407" s="1">
        <v>49.22</v>
      </c>
      <c r="K407" s="4">
        <f t="shared" si="15"/>
        <v>1037.2327479999999</v>
      </c>
      <c r="L407" s="4">
        <f t="shared" si="16"/>
        <v>1070.1072520000002</v>
      </c>
    </row>
    <row r="408" spans="1:12" x14ac:dyDescent="0.3">
      <c r="A408" s="1">
        <v>1406</v>
      </c>
      <c r="B408" s="2">
        <v>45428</v>
      </c>
      <c r="C408" s="1" t="s">
        <v>21</v>
      </c>
      <c r="D408" s="1" t="s">
        <v>69</v>
      </c>
      <c r="E408" s="1" t="s">
        <v>31</v>
      </c>
      <c r="F408" s="1">
        <v>644.87</v>
      </c>
      <c r="G408" s="1" t="s">
        <v>259</v>
      </c>
      <c r="H408" s="2">
        <v>29938</v>
      </c>
      <c r="I408" s="2">
        <v>45437</v>
      </c>
      <c r="J408" s="1">
        <v>43.54</v>
      </c>
      <c r="K408" s="4">
        <f t="shared" si="15"/>
        <v>280.77639800000003</v>
      </c>
      <c r="L408" s="4">
        <f t="shared" si="16"/>
        <v>364.09360199999998</v>
      </c>
    </row>
    <row r="409" spans="1:12" x14ac:dyDescent="0.3">
      <c r="A409" s="1">
        <v>1407</v>
      </c>
      <c r="B409" s="2">
        <v>45775</v>
      </c>
      <c r="C409" s="1" t="s">
        <v>10</v>
      </c>
      <c r="D409" s="1" t="s">
        <v>44</v>
      </c>
      <c r="E409" s="1" t="s">
        <v>16</v>
      </c>
      <c r="F409" s="1">
        <v>4875.7700000000004</v>
      </c>
      <c r="G409" s="1" t="s">
        <v>25</v>
      </c>
      <c r="H409" s="2">
        <v>33386</v>
      </c>
      <c r="I409" s="2">
        <v>45786</v>
      </c>
      <c r="J409" s="1">
        <v>7.58</v>
      </c>
      <c r="K409" s="4">
        <f t="shared" si="15"/>
        <v>369.58336600000007</v>
      </c>
      <c r="L409" s="4">
        <f t="shared" si="16"/>
        <v>4506.1866340000006</v>
      </c>
    </row>
    <row r="410" spans="1:12" x14ac:dyDescent="0.3">
      <c r="A410" s="1">
        <v>1408</v>
      </c>
      <c r="B410" s="2">
        <v>44816</v>
      </c>
      <c r="C410" s="1" t="s">
        <v>21</v>
      </c>
      <c r="D410" s="1" t="s">
        <v>38</v>
      </c>
      <c r="E410" s="1" t="s">
        <v>28</v>
      </c>
      <c r="F410" s="1">
        <v>571.20000000000005</v>
      </c>
      <c r="G410" s="1" t="s">
        <v>231</v>
      </c>
      <c r="H410" s="2">
        <v>32047</v>
      </c>
      <c r="I410" s="2">
        <v>44825</v>
      </c>
      <c r="J410" s="1">
        <v>37.200000000000003</v>
      </c>
      <c r="K410" s="4">
        <f t="shared" si="15"/>
        <v>212.48640000000006</v>
      </c>
      <c r="L410" s="4">
        <f t="shared" si="16"/>
        <v>358.71359999999999</v>
      </c>
    </row>
    <row r="411" spans="1:12" x14ac:dyDescent="0.3">
      <c r="A411" s="1">
        <v>1409</v>
      </c>
      <c r="B411" s="2">
        <v>45235</v>
      </c>
      <c r="C411" s="1" t="s">
        <v>21</v>
      </c>
      <c r="D411" s="1" t="s">
        <v>61</v>
      </c>
      <c r="E411" s="1" t="s">
        <v>19</v>
      </c>
      <c r="F411" s="1">
        <v>2000.28</v>
      </c>
      <c r="G411" s="1" t="s">
        <v>260</v>
      </c>
      <c r="H411" s="2">
        <v>38628</v>
      </c>
      <c r="I411" s="2">
        <v>45237</v>
      </c>
      <c r="J411" s="1">
        <v>37.200000000000003</v>
      </c>
      <c r="K411" s="4">
        <f t="shared" si="15"/>
        <v>744.10416000000009</v>
      </c>
      <c r="L411" s="4">
        <f t="shared" si="16"/>
        <v>1256.1758399999999</v>
      </c>
    </row>
    <row r="412" spans="1:12" x14ac:dyDescent="0.3">
      <c r="A412" s="1">
        <v>1410</v>
      </c>
      <c r="B412" s="2">
        <v>44170</v>
      </c>
      <c r="C412" s="1" t="s">
        <v>26</v>
      </c>
      <c r="D412" s="1" t="s">
        <v>102</v>
      </c>
      <c r="E412" s="1" t="s">
        <v>12</v>
      </c>
      <c r="F412" s="1">
        <v>3107.81</v>
      </c>
      <c r="G412" s="1" t="s">
        <v>108</v>
      </c>
      <c r="H412" s="2">
        <v>33413</v>
      </c>
      <c r="I412" s="2">
        <v>44184</v>
      </c>
      <c r="J412" s="1">
        <v>27.37</v>
      </c>
      <c r="K412" s="4">
        <f t="shared" si="15"/>
        <v>850.60759699999994</v>
      </c>
      <c r="L412" s="4">
        <f t="shared" si="16"/>
        <v>2257.2024030000002</v>
      </c>
    </row>
    <row r="413" spans="1:12" x14ac:dyDescent="0.3">
      <c r="A413" s="1">
        <v>1411</v>
      </c>
      <c r="B413" s="2">
        <v>45077</v>
      </c>
      <c r="C413" s="1" t="s">
        <v>21</v>
      </c>
      <c r="D413" s="1" t="s">
        <v>69</v>
      </c>
      <c r="E413" s="1" t="s">
        <v>12</v>
      </c>
      <c r="F413" s="1">
        <v>3792.39</v>
      </c>
      <c r="G413" s="1" t="s">
        <v>194</v>
      </c>
      <c r="H413" s="2">
        <v>22210</v>
      </c>
      <c r="I413" s="2">
        <v>45080</v>
      </c>
      <c r="J413" s="1">
        <v>10.57</v>
      </c>
      <c r="K413" s="4">
        <f t="shared" si="15"/>
        <v>400.85562299999998</v>
      </c>
      <c r="L413" s="4">
        <f t="shared" si="16"/>
        <v>3391.5343769999999</v>
      </c>
    </row>
    <row r="414" spans="1:12" x14ac:dyDescent="0.3">
      <c r="A414" s="1">
        <v>1412</v>
      </c>
      <c r="B414" s="2">
        <v>45075</v>
      </c>
      <c r="C414" s="1" t="s">
        <v>21</v>
      </c>
      <c r="D414" s="1" t="s">
        <v>88</v>
      </c>
      <c r="E414" s="1" t="s">
        <v>16</v>
      </c>
      <c r="F414" s="1">
        <v>4759.97</v>
      </c>
      <c r="G414" s="1" t="s">
        <v>261</v>
      </c>
      <c r="H414" s="2">
        <v>23920</v>
      </c>
      <c r="I414" s="2">
        <v>45084</v>
      </c>
      <c r="J414" s="1">
        <v>15.69</v>
      </c>
      <c r="K414" s="4">
        <f t="shared" si="15"/>
        <v>746.839293</v>
      </c>
      <c r="L414" s="4">
        <f t="shared" si="16"/>
        <v>4013.1307070000003</v>
      </c>
    </row>
    <row r="415" spans="1:12" x14ac:dyDescent="0.3">
      <c r="A415" s="1">
        <v>1413</v>
      </c>
      <c r="B415" s="2">
        <v>45701</v>
      </c>
      <c r="C415" s="1" t="s">
        <v>14</v>
      </c>
      <c r="D415" s="1" t="s">
        <v>102</v>
      </c>
      <c r="E415" s="1" t="s">
        <v>12</v>
      </c>
      <c r="F415" s="1">
        <v>981.46</v>
      </c>
      <c r="G415" s="1" t="s">
        <v>42</v>
      </c>
      <c r="H415" s="2">
        <v>26027</v>
      </c>
      <c r="I415" s="2">
        <v>45707</v>
      </c>
      <c r="J415" s="1">
        <v>36.18</v>
      </c>
      <c r="K415" s="4">
        <f t="shared" si="15"/>
        <v>355.09222800000003</v>
      </c>
      <c r="L415" s="4">
        <f t="shared" si="16"/>
        <v>626.36777200000006</v>
      </c>
    </row>
    <row r="416" spans="1:12" x14ac:dyDescent="0.3">
      <c r="A416" s="1">
        <v>1414</v>
      </c>
      <c r="B416" s="2">
        <v>44253</v>
      </c>
      <c r="C416" s="1" t="s">
        <v>14</v>
      </c>
      <c r="D416" s="1" t="s">
        <v>27</v>
      </c>
      <c r="E416" s="1" t="s">
        <v>28</v>
      </c>
      <c r="F416" s="1">
        <v>2570.37</v>
      </c>
      <c r="G416" s="1" t="s">
        <v>262</v>
      </c>
      <c r="H416" s="2">
        <v>36590</v>
      </c>
      <c r="I416" s="2">
        <v>44256</v>
      </c>
      <c r="J416" s="1">
        <v>12.84</v>
      </c>
      <c r="K416" s="4">
        <f t="shared" si="15"/>
        <v>330.03550799999994</v>
      </c>
      <c r="L416" s="4">
        <f t="shared" si="16"/>
        <v>2240.334492</v>
      </c>
    </row>
    <row r="417" spans="1:12" x14ac:dyDescent="0.3">
      <c r="A417" s="1">
        <v>1415</v>
      </c>
      <c r="B417" s="2">
        <v>44729</v>
      </c>
      <c r="C417" s="1" t="s">
        <v>10</v>
      </c>
      <c r="D417" s="1" t="s">
        <v>11</v>
      </c>
      <c r="E417" s="1" t="s">
        <v>12</v>
      </c>
      <c r="F417" s="1">
        <v>2414.83</v>
      </c>
      <c r="G417" s="1" t="s">
        <v>142</v>
      </c>
      <c r="H417" s="2">
        <v>29541</v>
      </c>
      <c r="I417" s="2">
        <v>44736</v>
      </c>
      <c r="J417" s="1">
        <v>5</v>
      </c>
      <c r="K417" s="4">
        <f t="shared" si="15"/>
        <v>120.7415</v>
      </c>
      <c r="L417" s="4">
        <f t="shared" si="16"/>
        <v>2294.0884999999998</v>
      </c>
    </row>
    <row r="418" spans="1:12" x14ac:dyDescent="0.3">
      <c r="A418" s="1">
        <v>1416</v>
      </c>
      <c r="B418" s="2">
        <v>44685</v>
      </c>
      <c r="C418" s="1" t="s">
        <v>10</v>
      </c>
      <c r="D418" s="1" t="s">
        <v>33</v>
      </c>
      <c r="E418" s="1" t="s">
        <v>16</v>
      </c>
      <c r="F418" s="1">
        <v>1422.31</v>
      </c>
      <c r="G418" s="1" t="s">
        <v>74</v>
      </c>
      <c r="H418" s="2">
        <v>31224</v>
      </c>
      <c r="I418" s="2">
        <v>44694</v>
      </c>
      <c r="J418" s="1">
        <v>24.91</v>
      </c>
      <c r="K418" s="4">
        <f t="shared" si="15"/>
        <v>354.29742099999999</v>
      </c>
      <c r="L418" s="4">
        <f t="shared" si="16"/>
        <v>1068.012579</v>
      </c>
    </row>
    <row r="419" spans="1:12" x14ac:dyDescent="0.3">
      <c r="A419" s="1">
        <v>1417</v>
      </c>
      <c r="B419" s="2">
        <v>45723</v>
      </c>
      <c r="C419" s="1" t="s">
        <v>26</v>
      </c>
      <c r="D419" s="1" t="s">
        <v>71</v>
      </c>
      <c r="E419" s="1" t="s">
        <v>31</v>
      </c>
      <c r="F419" s="1">
        <v>4028.63</v>
      </c>
      <c r="G419" s="1" t="s">
        <v>257</v>
      </c>
      <c r="H419" s="2">
        <v>31685</v>
      </c>
      <c r="I419" s="2">
        <v>45728</v>
      </c>
      <c r="J419" s="1">
        <v>12.49</v>
      </c>
      <c r="K419" s="4">
        <f t="shared" si="15"/>
        <v>503.17588699999999</v>
      </c>
      <c r="L419" s="4">
        <f t="shared" si="16"/>
        <v>3525.4541130000002</v>
      </c>
    </row>
    <row r="420" spans="1:12" x14ac:dyDescent="0.3">
      <c r="A420" s="1">
        <v>1418</v>
      </c>
      <c r="B420" s="2">
        <v>44703</v>
      </c>
      <c r="C420" s="1" t="s">
        <v>26</v>
      </c>
      <c r="D420" s="1" t="s">
        <v>38</v>
      </c>
      <c r="E420" s="1" t="s">
        <v>28</v>
      </c>
      <c r="F420" s="1">
        <v>2352.2399999999998</v>
      </c>
      <c r="G420" s="1" t="s">
        <v>149</v>
      </c>
      <c r="H420" s="2">
        <v>26155</v>
      </c>
      <c r="I420" s="2">
        <v>44712</v>
      </c>
      <c r="J420" s="1">
        <v>34.43</v>
      </c>
      <c r="K420" s="4">
        <f t="shared" si="15"/>
        <v>809.87623199999996</v>
      </c>
      <c r="L420" s="4">
        <f t="shared" si="16"/>
        <v>1542.3637679999997</v>
      </c>
    </row>
    <row r="421" spans="1:12" x14ac:dyDescent="0.3">
      <c r="A421" s="1">
        <v>1419</v>
      </c>
      <c r="B421" s="2">
        <v>44665</v>
      </c>
      <c r="C421" s="1" t="s">
        <v>10</v>
      </c>
      <c r="D421" s="1" t="s">
        <v>102</v>
      </c>
      <c r="E421" s="1" t="s">
        <v>12</v>
      </c>
      <c r="F421" s="1">
        <v>3084.03</v>
      </c>
      <c r="G421" s="1" t="s">
        <v>56</v>
      </c>
      <c r="H421" s="2">
        <v>25712</v>
      </c>
      <c r="I421" s="2">
        <v>44678</v>
      </c>
      <c r="J421" s="1">
        <v>21.74</v>
      </c>
      <c r="K421" s="4">
        <f t="shared" si="15"/>
        <v>670.46812199999999</v>
      </c>
      <c r="L421" s="4">
        <f t="shared" si="16"/>
        <v>2413.5618780000004</v>
      </c>
    </row>
    <row r="422" spans="1:12" x14ac:dyDescent="0.3">
      <c r="A422" s="1">
        <v>1420</v>
      </c>
      <c r="B422" s="2">
        <v>44202</v>
      </c>
      <c r="C422" s="1" t="s">
        <v>26</v>
      </c>
      <c r="D422" s="1" t="s">
        <v>71</v>
      </c>
      <c r="E422" s="1" t="s">
        <v>31</v>
      </c>
      <c r="F422" s="1">
        <v>4802.88</v>
      </c>
      <c r="G422" s="1" t="s">
        <v>263</v>
      </c>
      <c r="H422" s="2">
        <v>35629</v>
      </c>
      <c r="I422" s="2">
        <v>44212</v>
      </c>
      <c r="J422" s="1">
        <v>16.18</v>
      </c>
      <c r="K422" s="4">
        <f t="shared" si="15"/>
        <v>777.10598400000003</v>
      </c>
      <c r="L422" s="4">
        <f t="shared" si="16"/>
        <v>4025.7740160000003</v>
      </c>
    </row>
    <row r="423" spans="1:12" x14ac:dyDescent="0.3">
      <c r="A423" s="1">
        <v>1421</v>
      </c>
      <c r="B423" s="2">
        <v>44184</v>
      </c>
      <c r="C423" s="1" t="s">
        <v>26</v>
      </c>
      <c r="D423" s="1" t="s">
        <v>58</v>
      </c>
      <c r="E423" s="1" t="s">
        <v>31</v>
      </c>
      <c r="F423" s="1">
        <v>301.72000000000003</v>
      </c>
      <c r="G423" s="1" t="s">
        <v>192</v>
      </c>
      <c r="H423" s="2">
        <v>33626</v>
      </c>
      <c r="I423" s="2">
        <v>44192</v>
      </c>
      <c r="J423" s="1">
        <v>35.22</v>
      </c>
      <c r="K423" s="4">
        <f t="shared" si="15"/>
        <v>106.26578400000001</v>
      </c>
      <c r="L423" s="4">
        <f t="shared" si="16"/>
        <v>195.45421600000003</v>
      </c>
    </row>
    <row r="424" spans="1:12" x14ac:dyDescent="0.3">
      <c r="A424" s="1">
        <v>1422</v>
      </c>
      <c r="B424" s="2">
        <v>45535</v>
      </c>
      <c r="C424" s="1" t="s">
        <v>35</v>
      </c>
      <c r="D424" s="1" t="s">
        <v>73</v>
      </c>
      <c r="E424" s="1" t="s">
        <v>28</v>
      </c>
      <c r="F424" s="1">
        <v>3938.25</v>
      </c>
      <c r="G424" s="1" t="s">
        <v>101</v>
      </c>
      <c r="H424" s="2">
        <v>31331</v>
      </c>
      <c r="I424" s="2">
        <v>45542</v>
      </c>
      <c r="J424" s="1">
        <v>13.5</v>
      </c>
      <c r="K424" s="4">
        <f t="shared" si="15"/>
        <v>531.66375000000005</v>
      </c>
      <c r="L424" s="4">
        <f t="shared" si="16"/>
        <v>3406.5862499999998</v>
      </c>
    </row>
    <row r="425" spans="1:12" x14ac:dyDescent="0.3">
      <c r="A425" s="1">
        <v>1423</v>
      </c>
      <c r="B425" s="2">
        <v>44794</v>
      </c>
      <c r="C425" s="1" t="s">
        <v>21</v>
      </c>
      <c r="D425" s="1" t="s">
        <v>11</v>
      </c>
      <c r="E425" s="1" t="s">
        <v>12</v>
      </c>
      <c r="F425" s="1">
        <v>3839.42</v>
      </c>
      <c r="G425" s="1" t="s">
        <v>264</v>
      </c>
      <c r="H425" s="2">
        <v>30232</v>
      </c>
      <c r="I425" s="2">
        <v>44795</v>
      </c>
      <c r="J425" s="1">
        <v>15.27</v>
      </c>
      <c r="K425" s="4">
        <f t="shared" si="15"/>
        <v>586.27943400000004</v>
      </c>
      <c r="L425" s="4">
        <f t="shared" si="16"/>
        <v>3253.140566</v>
      </c>
    </row>
    <row r="426" spans="1:12" x14ac:dyDescent="0.3">
      <c r="A426" s="1">
        <v>1424</v>
      </c>
      <c r="B426" s="2">
        <v>45879</v>
      </c>
      <c r="C426" s="1" t="s">
        <v>10</v>
      </c>
      <c r="D426" s="1" t="s">
        <v>22</v>
      </c>
      <c r="E426" s="1" t="s">
        <v>19</v>
      </c>
      <c r="F426" s="1">
        <v>1786.83</v>
      </c>
      <c r="G426" s="1" t="s">
        <v>237</v>
      </c>
      <c r="H426" s="2">
        <v>27455</v>
      </c>
      <c r="I426" s="2">
        <v>45891</v>
      </c>
      <c r="J426" s="1">
        <v>9.4</v>
      </c>
      <c r="K426" s="4">
        <f t="shared" si="15"/>
        <v>167.96202</v>
      </c>
      <c r="L426" s="4">
        <f t="shared" si="16"/>
        <v>1618.86798</v>
      </c>
    </row>
    <row r="427" spans="1:12" x14ac:dyDescent="0.3">
      <c r="A427" s="1">
        <v>1425</v>
      </c>
      <c r="B427" s="2">
        <v>45191</v>
      </c>
      <c r="C427" s="1" t="s">
        <v>14</v>
      </c>
      <c r="D427" s="1" t="s">
        <v>69</v>
      </c>
      <c r="E427" s="1" t="s">
        <v>12</v>
      </c>
      <c r="F427" s="1">
        <v>1466.2</v>
      </c>
      <c r="G427" s="1" t="s">
        <v>176</v>
      </c>
      <c r="H427" s="2">
        <v>33282</v>
      </c>
      <c r="I427" s="2">
        <v>45199</v>
      </c>
      <c r="J427" s="1">
        <v>47.85</v>
      </c>
      <c r="K427" s="4">
        <f t="shared" si="15"/>
        <v>701.57670000000007</v>
      </c>
      <c r="L427" s="4">
        <f t="shared" si="16"/>
        <v>764.62329999999997</v>
      </c>
    </row>
    <row r="428" spans="1:12" x14ac:dyDescent="0.3">
      <c r="A428" s="1">
        <v>1426</v>
      </c>
      <c r="B428" s="2">
        <v>45399</v>
      </c>
      <c r="C428" s="1" t="s">
        <v>10</v>
      </c>
      <c r="D428" s="1" t="s">
        <v>38</v>
      </c>
      <c r="E428" s="1" t="s">
        <v>28</v>
      </c>
      <c r="F428" s="1">
        <v>4168.8999999999996</v>
      </c>
      <c r="G428" s="1" t="s">
        <v>265</v>
      </c>
      <c r="H428" s="2">
        <v>38899</v>
      </c>
      <c r="I428" s="2">
        <v>45402</v>
      </c>
      <c r="J428" s="1">
        <v>10.38</v>
      </c>
      <c r="K428" s="4">
        <f t="shared" si="15"/>
        <v>432.73181999999997</v>
      </c>
      <c r="L428" s="4">
        <f t="shared" si="16"/>
        <v>3736.1681799999997</v>
      </c>
    </row>
    <row r="429" spans="1:12" x14ac:dyDescent="0.3">
      <c r="A429" s="1">
        <v>1427</v>
      </c>
      <c r="B429" s="2">
        <v>45010</v>
      </c>
      <c r="C429" s="1" t="s">
        <v>21</v>
      </c>
      <c r="D429" s="1" t="s">
        <v>15</v>
      </c>
      <c r="E429" s="1" t="s">
        <v>16</v>
      </c>
      <c r="F429" s="1">
        <v>4059.43</v>
      </c>
      <c r="G429" s="1" t="s">
        <v>233</v>
      </c>
      <c r="H429" s="2">
        <v>38826</v>
      </c>
      <c r="I429" s="2">
        <v>45014</v>
      </c>
      <c r="J429" s="1">
        <v>30.89</v>
      </c>
      <c r="K429" s="4">
        <f t="shared" si="15"/>
        <v>1253.9579269999999</v>
      </c>
      <c r="L429" s="4">
        <f t="shared" si="16"/>
        <v>2805.4720729999999</v>
      </c>
    </row>
    <row r="430" spans="1:12" x14ac:dyDescent="0.3">
      <c r="A430" s="1">
        <v>1428</v>
      </c>
      <c r="B430" s="2">
        <v>44404</v>
      </c>
      <c r="C430" s="1" t="s">
        <v>21</v>
      </c>
      <c r="D430" s="1" t="s">
        <v>38</v>
      </c>
      <c r="E430" s="1" t="s">
        <v>28</v>
      </c>
      <c r="F430" s="1">
        <v>463.95</v>
      </c>
      <c r="G430" s="1" t="s">
        <v>242</v>
      </c>
      <c r="H430" s="2">
        <v>21785</v>
      </c>
      <c r="I430" s="2">
        <v>44413</v>
      </c>
      <c r="J430" s="1">
        <v>49.28</v>
      </c>
      <c r="K430" s="4">
        <f t="shared" si="15"/>
        <v>228.63455999999999</v>
      </c>
      <c r="L430" s="4">
        <f t="shared" si="16"/>
        <v>235.31544</v>
      </c>
    </row>
    <row r="431" spans="1:12" x14ac:dyDescent="0.3">
      <c r="A431" s="1">
        <v>1429</v>
      </c>
      <c r="B431" s="2">
        <v>44536</v>
      </c>
      <c r="C431" s="1" t="s">
        <v>10</v>
      </c>
      <c r="D431" s="1" t="s">
        <v>24</v>
      </c>
      <c r="E431" s="1" t="s">
        <v>19</v>
      </c>
      <c r="F431" s="1">
        <v>4025.44</v>
      </c>
      <c r="G431" s="1" t="s">
        <v>266</v>
      </c>
      <c r="H431" s="2">
        <v>32604</v>
      </c>
      <c r="I431" s="2">
        <v>44543</v>
      </c>
      <c r="J431" s="1">
        <v>4.45</v>
      </c>
      <c r="K431" s="4">
        <f t="shared" si="15"/>
        <v>179.13208000000003</v>
      </c>
      <c r="L431" s="4">
        <f t="shared" si="16"/>
        <v>3846.3079200000002</v>
      </c>
    </row>
    <row r="432" spans="1:12" x14ac:dyDescent="0.3">
      <c r="A432" s="1">
        <v>1430</v>
      </c>
      <c r="B432" s="2">
        <v>44099</v>
      </c>
      <c r="C432" s="1" t="s">
        <v>26</v>
      </c>
      <c r="D432" s="1" t="s">
        <v>30</v>
      </c>
      <c r="E432" s="1" t="s">
        <v>31</v>
      </c>
      <c r="F432" s="1">
        <v>2610.56</v>
      </c>
      <c r="G432" s="1" t="s">
        <v>112</v>
      </c>
      <c r="H432" s="2">
        <v>38171</v>
      </c>
      <c r="I432" s="2">
        <v>44113</v>
      </c>
      <c r="J432" s="1">
        <v>40.700000000000003</v>
      </c>
      <c r="K432" s="4">
        <f t="shared" si="15"/>
        <v>1062.49792</v>
      </c>
      <c r="L432" s="4">
        <f t="shared" si="16"/>
        <v>1548.0620799999999</v>
      </c>
    </row>
    <row r="433" spans="1:12" x14ac:dyDescent="0.3">
      <c r="A433" s="1">
        <v>1431</v>
      </c>
      <c r="B433" s="2">
        <v>44784</v>
      </c>
      <c r="C433" s="1" t="s">
        <v>10</v>
      </c>
      <c r="D433" s="1" t="s">
        <v>33</v>
      </c>
      <c r="E433" s="1" t="s">
        <v>16</v>
      </c>
      <c r="F433" s="1">
        <v>1991.8</v>
      </c>
      <c r="G433" s="1" t="s">
        <v>80</v>
      </c>
      <c r="H433" s="2">
        <v>31578</v>
      </c>
      <c r="I433" s="2">
        <v>44787</v>
      </c>
      <c r="J433" s="1">
        <v>41.42</v>
      </c>
      <c r="K433" s="4">
        <f t="shared" si="15"/>
        <v>825.00355999999999</v>
      </c>
      <c r="L433" s="4">
        <f t="shared" si="16"/>
        <v>1166.7964400000001</v>
      </c>
    </row>
    <row r="434" spans="1:12" x14ac:dyDescent="0.3">
      <c r="A434" s="1">
        <v>1432</v>
      </c>
      <c r="B434" s="2">
        <v>45165</v>
      </c>
      <c r="C434" s="1" t="s">
        <v>21</v>
      </c>
      <c r="D434" s="1" t="s">
        <v>44</v>
      </c>
      <c r="E434" s="1" t="s">
        <v>16</v>
      </c>
      <c r="F434" s="1">
        <v>2141.4499999999998</v>
      </c>
      <c r="G434" s="1" t="s">
        <v>180</v>
      </c>
      <c r="H434" s="2">
        <v>25163</v>
      </c>
      <c r="I434" s="2">
        <v>45172</v>
      </c>
      <c r="J434" s="1">
        <v>24.38</v>
      </c>
      <c r="K434" s="4">
        <f t="shared" si="15"/>
        <v>522.08550999999989</v>
      </c>
      <c r="L434" s="4">
        <f t="shared" si="16"/>
        <v>1619.3644899999999</v>
      </c>
    </row>
    <row r="435" spans="1:12" x14ac:dyDescent="0.3">
      <c r="A435" s="1">
        <v>1433</v>
      </c>
      <c r="B435" s="2">
        <v>45420</v>
      </c>
      <c r="C435" s="1" t="s">
        <v>10</v>
      </c>
      <c r="D435" s="1" t="s">
        <v>102</v>
      </c>
      <c r="E435" s="1" t="s">
        <v>12</v>
      </c>
      <c r="F435" s="1">
        <v>4125.3100000000004</v>
      </c>
      <c r="G435" s="1" t="s">
        <v>23</v>
      </c>
      <c r="H435" s="2">
        <v>38378</v>
      </c>
      <c r="I435" s="2">
        <v>45427</v>
      </c>
      <c r="J435" s="1">
        <v>30.7</v>
      </c>
      <c r="K435" s="4">
        <f t="shared" si="15"/>
        <v>1266.4701700000001</v>
      </c>
      <c r="L435" s="4">
        <f t="shared" si="16"/>
        <v>2858.8398300000003</v>
      </c>
    </row>
    <row r="436" spans="1:12" x14ac:dyDescent="0.3">
      <c r="A436" s="1">
        <v>1434</v>
      </c>
      <c r="B436" s="2">
        <v>44065</v>
      </c>
      <c r="C436" s="1" t="s">
        <v>14</v>
      </c>
      <c r="D436" s="1" t="s">
        <v>18</v>
      </c>
      <c r="E436" s="1" t="s">
        <v>19</v>
      </c>
      <c r="F436" s="1">
        <v>3630.47</v>
      </c>
      <c r="G436" s="1" t="s">
        <v>229</v>
      </c>
      <c r="H436" s="2">
        <v>37783</v>
      </c>
      <c r="I436" s="2">
        <v>44074</v>
      </c>
      <c r="J436" s="1">
        <v>46.55</v>
      </c>
      <c r="K436" s="4">
        <f t="shared" si="15"/>
        <v>1689.9837849999999</v>
      </c>
      <c r="L436" s="4">
        <f t="shared" si="16"/>
        <v>1940.4862149999999</v>
      </c>
    </row>
    <row r="437" spans="1:12" x14ac:dyDescent="0.3">
      <c r="A437" s="1">
        <v>1435</v>
      </c>
      <c r="B437" s="2">
        <v>45366</v>
      </c>
      <c r="C437" s="1" t="s">
        <v>10</v>
      </c>
      <c r="D437" s="1" t="s">
        <v>38</v>
      </c>
      <c r="E437" s="1" t="s">
        <v>28</v>
      </c>
      <c r="F437" s="1">
        <v>3093.12</v>
      </c>
      <c r="G437" s="1" t="s">
        <v>89</v>
      </c>
      <c r="H437" s="2">
        <v>37141</v>
      </c>
      <c r="I437" s="2">
        <v>45369</v>
      </c>
      <c r="J437" s="1">
        <v>20.13</v>
      </c>
      <c r="K437" s="4">
        <f t="shared" si="15"/>
        <v>622.64505599999995</v>
      </c>
      <c r="L437" s="4">
        <f t="shared" si="16"/>
        <v>2470.4749440000001</v>
      </c>
    </row>
    <row r="438" spans="1:12" x14ac:dyDescent="0.3">
      <c r="A438" s="1">
        <v>1436</v>
      </c>
      <c r="B438" s="2">
        <v>45341</v>
      </c>
      <c r="C438" s="1" t="s">
        <v>21</v>
      </c>
      <c r="D438" s="1" t="s">
        <v>11</v>
      </c>
      <c r="E438" s="1" t="s">
        <v>12</v>
      </c>
      <c r="F438" s="1">
        <v>2804.68</v>
      </c>
      <c r="G438" s="1" t="s">
        <v>231</v>
      </c>
      <c r="H438" s="2">
        <v>32047</v>
      </c>
      <c r="I438" s="2">
        <v>45353</v>
      </c>
      <c r="J438" s="1">
        <v>27.26</v>
      </c>
      <c r="K438" s="4">
        <f t="shared" si="15"/>
        <v>764.55576799999994</v>
      </c>
      <c r="L438" s="4">
        <f t="shared" si="16"/>
        <v>2040.1242319999999</v>
      </c>
    </row>
    <row r="439" spans="1:12" x14ac:dyDescent="0.3">
      <c r="A439" s="1">
        <v>1437</v>
      </c>
      <c r="B439" s="2">
        <v>44115</v>
      </c>
      <c r="C439" s="1" t="s">
        <v>10</v>
      </c>
      <c r="D439" s="1" t="s">
        <v>40</v>
      </c>
      <c r="E439" s="1" t="s">
        <v>16</v>
      </c>
      <c r="F439" s="1">
        <v>2362.4699999999998</v>
      </c>
      <c r="G439" s="1" t="s">
        <v>172</v>
      </c>
      <c r="H439" s="2">
        <v>36571</v>
      </c>
      <c r="I439" s="2">
        <v>44123</v>
      </c>
      <c r="J439" s="1">
        <v>47.44</v>
      </c>
      <c r="K439" s="4">
        <f t="shared" si="15"/>
        <v>1120.755768</v>
      </c>
      <c r="L439" s="4">
        <f t="shared" si="16"/>
        <v>1241.7142319999998</v>
      </c>
    </row>
    <row r="440" spans="1:12" x14ac:dyDescent="0.3">
      <c r="A440" s="1">
        <v>1438</v>
      </c>
      <c r="B440" s="2">
        <v>45469</v>
      </c>
      <c r="C440" s="1" t="s">
        <v>10</v>
      </c>
      <c r="D440" s="1" t="s">
        <v>24</v>
      </c>
      <c r="E440" s="1" t="s">
        <v>19</v>
      </c>
      <c r="F440" s="1">
        <v>278.02999999999997</v>
      </c>
      <c r="G440" s="1" t="s">
        <v>66</v>
      </c>
      <c r="H440" s="2">
        <v>33192</v>
      </c>
      <c r="I440" s="2">
        <v>45478</v>
      </c>
      <c r="J440" s="1">
        <v>26.87</v>
      </c>
      <c r="K440" s="4">
        <f t="shared" si="15"/>
        <v>74.706660999999997</v>
      </c>
      <c r="L440" s="4">
        <f t="shared" si="16"/>
        <v>203.32333899999998</v>
      </c>
    </row>
    <row r="441" spans="1:12" x14ac:dyDescent="0.3">
      <c r="A441" s="1">
        <v>1439</v>
      </c>
      <c r="B441" s="2">
        <v>45590</v>
      </c>
      <c r="C441" s="1" t="s">
        <v>26</v>
      </c>
      <c r="D441" s="1" t="s">
        <v>33</v>
      </c>
      <c r="E441" s="1" t="s">
        <v>16</v>
      </c>
      <c r="F441" s="1">
        <v>288.8</v>
      </c>
      <c r="G441" s="1" t="s">
        <v>221</v>
      </c>
      <c r="H441" s="2">
        <v>35658</v>
      </c>
      <c r="I441" s="2">
        <v>45593</v>
      </c>
      <c r="J441" s="1">
        <v>45.82</v>
      </c>
      <c r="K441" s="4">
        <f t="shared" si="15"/>
        <v>132.32816</v>
      </c>
      <c r="L441" s="4">
        <f t="shared" si="16"/>
        <v>156.47184000000001</v>
      </c>
    </row>
    <row r="442" spans="1:12" x14ac:dyDescent="0.3">
      <c r="A442" s="1">
        <v>1440</v>
      </c>
      <c r="B442" s="2">
        <v>44758</v>
      </c>
      <c r="C442" s="1" t="s">
        <v>21</v>
      </c>
      <c r="D442" s="1" t="s">
        <v>38</v>
      </c>
      <c r="E442" s="1" t="s">
        <v>28</v>
      </c>
      <c r="F442" s="1">
        <v>494.59</v>
      </c>
      <c r="G442" s="1" t="s">
        <v>128</v>
      </c>
      <c r="H442" s="2">
        <v>37961</v>
      </c>
      <c r="I442" s="2">
        <v>44772</v>
      </c>
      <c r="J442" s="1">
        <v>29.68</v>
      </c>
      <c r="K442" s="4">
        <f t="shared" si="15"/>
        <v>146.79431199999999</v>
      </c>
      <c r="L442" s="4">
        <f t="shared" si="16"/>
        <v>347.79568799999998</v>
      </c>
    </row>
    <row r="443" spans="1:12" x14ac:dyDescent="0.3">
      <c r="A443" s="1">
        <v>1441</v>
      </c>
      <c r="B443" s="2">
        <v>45796</v>
      </c>
      <c r="C443" s="1" t="s">
        <v>21</v>
      </c>
      <c r="D443" s="1" t="s">
        <v>69</v>
      </c>
      <c r="E443" s="1" t="s">
        <v>12</v>
      </c>
      <c r="F443" s="1">
        <v>2525.13</v>
      </c>
      <c r="G443" s="1" t="s">
        <v>227</v>
      </c>
      <c r="H443" s="2">
        <v>34932</v>
      </c>
      <c r="I443" s="2">
        <v>45798</v>
      </c>
      <c r="J443" s="1">
        <v>35.049999999999997</v>
      </c>
      <c r="K443" s="4">
        <f t="shared" si="15"/>
        <v>885.05806499999994</v>
      </c>
      <c r="L443" s="4">
        <f t="shared" si="16"/>
        <v>1640.0719350000002</v>
      </c>
    </row>
    <row r="444" spans="1:12" x14ac:dyDescent="0.3">
      <c r="A444" s="1">
        <v>1442</v>
      </c>
      <c r="B444" s="2">
        <v>45467</v>
      </c>
      <c r="C444" s="1" t="s">
        <v>35</v>
      </c>
      <c r="D444" s="1" t="s">
        <v>18</v>
      </c>
      <c r="E444" s="1" t="s">
        <v>19</v>
      </c>
      <c r="F444" s="1">
        <v>3350.42</v>
      </c>
      <c r="G444" s="1" t="s">
        <v>267</v>
      </c>
      <c r="H444" s="2">
        <v>38039</v>
      </c>
      <c r="I444" s="2">
        <v>45478</v>
      </c>
      <c r="J444" s="1">
        <v>31.35</v>
      </c>
      <c r="K444" s="4">
        <f t="shared" si="15"/>
        <v>1050.3566700000001</v>
      </c>
      <c r="L444" s="4">
        <f t="shared" si="16"/>
        <v>2300.06333</v>
      </c>
    </row>
    <row r="445" spans="1:12" x14ac:dyDescent="0.3">
      <c r="A445" s="1">
        <v>1443</v>
      </c>
      <c r="B445" s="2">
        <v>44400</v>
      </c>
      <c r="C445" s="1" t="s">
        <v>35</v>
      </c>
      <c r="D445" s="1" t="s">
        <v>11</v>
      </c>
      <c r="E445" s="1" t="s">
        <v>12</v>
      </c>
      <c r="F445" s="1">
        <v>3643.84</v>
      </c>
      <c r="G445" s="1" t="s">
        <v>238</v>
      </c>
      <c r="H445" s="2">
        <v>31880</v>
      </c>
      <c r="I445" s="2">
        <v>44401</v>
      </c>
      <c r="J445" s="1">
        <v>18.11</v>
      </c>
      <c r="K445" s="4">
        <f t="shared" si="15"/>
        <v>659.89942399999995</v>
      </c>
      <c r="L445" s="4">
        <f t="shared" si="16"/>
        <v>2983.940576</v>
      </c>
    </row>
    <row r="446" spans="1:12" x14ac:dyDescent="0.3">
      <c r="A446" s="1">
        <v>1444</v>
      </c>
      <c r="B446" s="2">
        <v>45724</v>
      </c>
      <c r="C446" s="1" t="s">
        <v>10</v>
      </c>
      <c r="D446" s="1" t="s">
        <v>38</v>
      </c>
      <c r="E446" s="1" t="s">
        <v>28</v>
      </c>
      <c r="F446" s="1">
        <v>1247.1500000000001</v>
      </c>
      <c r="G446" s="1" t="s">
        <v>268</v>
      </c>
      <c r="H446" s="2">
        <v>25103</v>
      </c>
      <c r="I446" s="2">
        <v>45727</v>
      </c>
      <c r="J446" s="1">
        <v>6.45</v>
      </c>
      <c r="K446" s="4">
        <f t="shared" si="15"/>
        <v>80.441175000000001</v>
      </c>
      <c r="L446" s="4">
        <f t="shared" si="16"/>
        <v>1166.7088250000002</v>
      </c>
    </row>
    <row r="447" spans="1:12" x14ac:dyDescent="0.3">
      <c r="A447" s="1">
        <v>1445</v>
      </c>
      <c r="B447" s="2">
        <v>45577</v>
      </c>
      <c r="C447" s="1" t="s">
        <v>35</v>
      </c>
      <c r="D447" s="1" t="s">
        <v>44</v>
      </c>
      <c r="E447" s="1" t="s">
        <v>16</v>
      </c>
      <c r="F447" s="1">
        <v>1813.32</v>
      </c>
      <c r="G447" s="1" t="s">
        <v>269</v>
      </c>
      <c r="H447" s="2">
        <v>30976</v>
      </c>
      <c r="I447" s="2">
        <v>45585</v>
      </c>
      <c r="J447" s="1">
        <v>22.45</v>
      </c>
      <c r="K447" s="4">
        <f t="shared" si="15"/>
        <v>407.09033999999997</v>
      </c>
      <c r="L447" s="4">
        <f t="shared" si="16"/>
        <v>1406.22966</v>
      </c>
    </row>
    <row r="448" spans="1:12" x14ac:dyDescent="0.3">
      <c r="A448" s="1">
        <v>1446</v>
      </c>
      <c r="B448" s="2">
        <v>45785</v>
      </c>
      <c r="C448" s="1" t="s">
        <v>14</v>
      </c>
      <c r="D448" s="1" t="s">
        <v>30</v>
      </c>
      <c r="E448" s="1" t="s">
        <v>31</v>
      </c>
      <c r="F448" s="1">
        <v>3713.98</v>
      </c>
      <c r="G448" s="1" t="s">
        <v>130</v>
      </c>
      <c r="H448" s="2">
        <v>38750</v>
      </c>
      <c r="I448" s="2">
        <v>45798</v>
      </c>
      <c r="J448" s="1">
        <v>43.09</v>
      </c>
      <c r="K448" s="4">
        <f t="shared" si="15"/>
        <v>1600.3539820000003</v>
      </c>
      <c r="L448" s="4">
        <f t="shared" si="16"/>
        <v>2113.6260179999999</v>
      </c>
    </row>
    <row r="449" spans="1:12" x14ac:dyDescent="0.3">
      <c r="A449" s="1">
        <v>1447</v>
      </c>
      <c r="B449" s="2">
        <v>45287</v>
      </c>
      <c r="C449" s="1" t="s">
        <v>35</v>
      </c>
      <c r="D449" s="1" t="s">
        <v>88</v>
      </c>
      <c r="E449" s="1" t="s">
        <v>16</v>
      </c>
      <c r="F449" s="1">
        <v>432.26</v>
      </c>
      <c r="G449" s="1" t="s">
        <v>270</v>
      </c>
      <c r="H449" s="2">
        <v>23245</v>
      </c>
      <c r="I449" s="2">
        <v>45288</v>
      </c>
      <c r="J449" s="1">
        <v>8.39</v>
      </c>
      <c r="K449" s="4">
        <f t="shared" si="15"/>
        <v>36.266613999999997</v>
      </c>
      <c r="L449" s="4">
        <f t="shared" si="16"/>
        <v>395.99338599999999</v>
      </c>
    </row>
    <row r="450" spans="1:12" x14ac:dyDescent="0.3">
      <c r="A450" s="1">
        <v>1448</v>
      </c>
      <c r="B450" s="2">
        <v>44839</v>
      </c>
      <c r="C450" s="1" t="s">
        <v>21</v>
      </c>
      <c r="D450" s="1" t="s">
        <v>53</v>
      </c>
      <c r="E450" s="1" t="s">
        <v>28</v>
      </c>
      <c r="F450" s="1">
        <v>1693.45</v>
      </c>
      <c r="G450" s="1" t="s">
        <v>205</v>
      </c>
      <c r="H450" s="2">
        <v>27526</v>
      </c>
      <c r="I450" s="2">
        <v>44844</v>
      </c>
      <c r="J450" s="1">
        <v>23.61</v>
      </c>
      <c r="K450" s="4">
        <f t="shared" si="15"/>
        <v>399.82354500000002</v>
      </c>
      <c r="L450" s="4">
        <f t="shared" si="16"/>
        <v>1293.6264550000001</v>
      </c>
    </row>
    <row r="451" spans="1:12" x14ac:dyDescent="0.3">
      <c r="A451" s="1">
        <v>1449</v>
      </c>
      <c r="B451" s="2">
        <v>44700</v>
      </c>
      <c r="C451" s="1" t="s">
        <v>21</v>
      </c>
      <c r="D451" s="1" t="s">
        <v>15</v>
      </c>
      <c r="E451" s="1" t="s">
        <v>16</v>
      </c>
      <c r="F451" s="1">
        <v>1889.02</v>
      </c>
      <c r="G451" s="1" t="s">
        <v>271</v>
      </c>
      <c r="H451" s="2">
        <v>22796</v>
      </c>
      <c r="I451" s="2">
        <v>44709</v>
      </c>
      <c r="J451" s="1">
        <v>2.15</v>
      </c>
      <c r="K451" s="4">
        <f t="shared" ref="K451:K514" si="17">F451*J451%</f>
        <v>40.613929999999996</v>
      </c>
      <c r="L451" s="4">
        <f t="shared" ref="L451:L514" si="18">F451-K451</f>
        <v>1848.40607</v>
      </c>
    </row>
    <row r="452" spans="1:12" x14ac:dyDescent="0.3">
      <c r="A452" s="1">
        <v>1450</v>
      </c>
      <c r="B452" s="2">
        <v>44831</v>
      </c>
      <c r="C452" s="1" t="s">
        <v>21</v>
      </c>
      <c r="D452" s="1" t="s">
        <v>71</v>
      </c>
      <c r="E452" s="1" t="s">
        <v>31</v>
      </c>
      <c r="F452" s="1">
        <v>2427.5100000000002</v>
      </c>
      <c r="G452" s="1" t="s">
        <v>101</v>
      </c>
      <c r="H452" s="2">
        <v>31331</v>
      </c>
      <c r="I452" s="2">
        <v>44842</v>
      </c>
      <c r="J452" s="1">
        <v>21.39</v>
      </c>
      <c r="K452" s="4">
        <f t="shared" si="17"/>
        <v>519.24438900000007</v>
      </c>
      <c r="L452" s="4">
        <f t="shared" si="18"/>
        <v>1908.2656110000003</v>
      </c>
    </row>
    <row r="453" spans="1:12" x14ac:dyDescent="0.3">
      <c r="A453" s="1">
        <v>1451</v>
      </c>
      <c r="B453" s="2">
        <v>44962</v>
      </c>
      <c r="C453" s="1" t="s">
        <v>26</v>
      </c>
      <c r="D453" s="1" t="s">
        <v>18</v>
      </c>
      <c r="E453" s="1" t="s">
        <v>19</v>
      </c>
      <c r="F453" s="1">
        <v>1645.22</v>
      </c>
      <c r="G453" s="1" t="s">
        <v>272</v>
      </c>
      <c r="H453" s="2">
        <v>27832</v>
      </c>
      <c r="I453" s="2">
        <v>44972</v>
      </c>
      <c r="J453" s="1">
        <v>7.75</v>
      </c>
      <c r="K453" s="4">
        <f t="shared" si="17"/>
        <v>127.50454999999999</v>
      </c>
      <c r="L453" s="4">
        <f t="shared" si="18"/>
        <v>1517.7154500000001</v>
      </c>
    </row>
    <row r="454" spans="1:12" x14ac:dyDescent="0.3">
      <c r="A454" s="1">
        <v>1452</v>
      </c>
      <c r="B454" s="2">
        <v>45342</v>
      </c>
      <c r="C454" s="1" t="s">
        <v>26</v>
      </c>
      <c r="D454" s="1" t="s">
        <v>61</v>
      </c>
      <c r="E454" s="1" t="s">
        <v>19</v>
      </c>
      <c r="F454" s="1">
        <v>2271.75</v>
      </c>
      <c r="G454" s="1" t="s">
        <v>96</v>
      </c>
      <c r="H454" s="2">
        <v>36236</v>
      </c>
      <c r="I454" s="2">
        <v>45348</v>
      </c>
      <c r="J454" s="1">
        <v>15.35</v>
      </c>
      <c r="K454" s="4">
        <f t="shared" si="17"/>
        <v>348.71362499999998</v>
      </c>
      <c r="L454" s="4">
        <f t="shared" si="18"/>
        <v>1923.0363750000001</v>
      </c>
    </row>
    <row r="455" spans="1:12" x14ac:dyDescent="0.3">
      <c r="A455" s="1">
        <v>1453</v>
      </c>
      <c r="B455" s="2">
        <v>45834</v>
      </c>
      <c r="C455" s="1" t="s">
        <v>35</v>
      </c>
      <c r="D455" s="1" t="s">
        <v>33</v>
      </c>
      <c r="E455" s="1" t="s">
        <v>16</v>
      </c>
      <c r="F455" s="1">
        <v>2430.6999999999998</v>
      </c>
      <c r="G455" s="1" t="s">
        <v>273</v>
      </c>
      <c r="H455" s="2">
        <v>30822</v>
      </c>
      <c r="I455" s="2">
        <v>45840</v>
      </c>
      <c r="J455" s="1">
        <v>45.83</v>
      </c>
      <c r="K455" s="4">
        <f t="shared" si="17"/>
        <v>1113.9898099999998</v>
      </c>
      <c r="L455" s="4">
        <f t="shared" si="18"/>
        <v>1316.71019</v>
      </c>
    </row>
    <row r="456" spans="1:12" x14ac:dyDescent="0.3">
      <c r="A456" s="1">
        <v>1454</v>
      </c>
      <c r="B456" s="2">
        <v>45380</v>
      </c>
      <c r="C456" s="1" t="s">
        <v>35</v>
      </c>
      <c r="D456" s="1" t="s">
        <v>18</v>
      </c>
      <c r="E456" s="1" t="s">
        <v>19</v>
      </c>
      <c r="F456" s="1">
        <v>4543.08</v>
      </c>
      <c r="G456" s="1" t="s">
        <v>166</v>
      </c>
      <c r="H456" s="2">
        <v>27879</v>
      </c>
      <c r="I456" s="2">
        <v>45381</v>
      </c>
      <c r="J456" s="1">
        <v>41.7</v>
      </c>
      <c r="K456" s="4">
        <f t="shared" si="17"/>
        <v>1894.4643600000002</v>
      </c>
      <c r="L456" s="4">
        <f t="shared" si="18"/>
        <v>2648.61564</v>
      </c>
    </row>
    <row r="457" spans="1:12" x14ac:dyDescent="0.3">
      <c r="A457" s="1">
        <v>1455</v>
      </c>
      <c r="B457" s="2">
        <v>45583</v>
      </c>
      <c r="C457" s="1" t="s">
        <v>35</v>
      </c>
      <c r="D457" s="1" t="s">
        <v>53</v>
      </c>
      <c r="E457" s="1" t="s">
        <v>28</v>
      </c>
      <c r="F457" s="1">
        <v>4094.7</v>
      </c>
      <c r="G457" s="1" t="s">
        <v>274</v>
      </c>
      <c r="H457" s="2">
        <v>34557</v>
      </c>
      <c r="I457" s="2">
        <v>45595</v>
      </c>
      <c r="J457" s="1">
        <v>11.99</v>
      </c>
      <c r="K457" s="4">
        <f t="shared" si="17"/>
        <v>490.95452999999998</v>
      </c>
      <c r="L457" s="4">
        <f t="shared" si="18"/>
        <v>3603.7454699999998</v>
      </c>
    </row>
    <row r="458" spans="1:12" x14ac:dyDescent="0.3">
      <c r="A458" s="1">
        <v>1456</v>
      </c>
      <c r="B458" s="2">
        <v>44685</v>
      </c>
      <c r="C458" s="1" t="s">
        <v>35</v>
      </c>
      <c r="D458" s="1" t="s">
        <v>44</v>
      </c>
      <c r="E458" s="1" t="s">
        <v>16</v>
      </c>
      <c r="F458" s="1">
        <v>598.49</v>
      </c>
      <c r="G458" s="1" t="s">
        <v>138</v>
      </c>
      <c r="H458" s="2">
        <v>25948</v>
      </c>
      <c r="I458" s="2">
        <v>44688</v>
      </c>
      <c r="J458" s="1">
        <v>39.99</v>
      </c>
      <c r="K458" s="4">
        <f t="shared" si="17"/>
        <v>239.33615100000003</v>
      </c>
      <c r="L458" s="4">
        <f t="shared" si="18"/>
        <v>359.15384899999998</v>
      </c>
    </row>
    <row r="459" spans="1:12" x14ac:dyDescent="0.3">
      <c r="A459" s="1">
        <v>1457</v>
      </c>
      <c r="B459" s="2">
        <v>44901</v>
      </c>
      <c r="C459" s="1" t="s">
        <v>14</v>
      </c>
      <c r="D459" s="1" t="s">
        <v>49</v>
      </c>
      <c r="E459" s="1" t="s">
        <v>12</v>
      </c>
      <c r="F459" s="1">
        <v>4913.41</v>
      </c>
      <c r="G459" s="1" t="s">
        <v>70</v>
      </c>
      <c r="H459" s="2">
        <v>30887</v>
      </c>
      <c r="I459" s="2">
        <v>44903</v>
      </c>
      <c r="J459" s="1">
        <v>20.73</v>
      </c>
      <c r="K459" s="4">
        <f t="shared" si="17"/>
        <v>1018.549893</v>
      </c>
      <c r="L459" s="4">
        <f t="shared" si="18"/>
        <v>3894.860107</v>
      </c>
    </row>
    <row r="460" spans="1:12" x14ac:dyDescent="0.3">
      <c r="A460" s="1">
        <v>1458</v>
      </c>
      <c r="B460" s="2">
        <v>45343</v>
      </c>
      <c r="C460" s="1" t="s">
        <v>14</v>
      </c>
      <c r="D460" s="1" t="s">
        <v>55</v>
      </c>
      <c r="E460" s="1" t="s">
        <v>31</v>
      </c>
      <c r="F460" s="1">
        <v>4584.32</v>
      </c>
      <c r="G460" s="1" t="s">
        <v>275</v>
      </c>
      <c r="H460" s="2">
        <v>38510</v>
      </c>
      <c r="I460" s="2">
        <v>45349</v>
      </c>
      <c r="J460" s="1">
        <v>4.4800000000000004</v>
      </c>
      <c r="K460" s="4">
        <f t="shared" si="17"/>
        <v>205.37753600000002</v>
      </c>
      <c r="L460" s="4">
        <f t="shared" si="18"/>
        <v>4378.9424639999997</v>
      </c>
    </row>
    <row r="461" spans="1:12" x14ac:dyDescent="0.3">
      <c r="A461" s="1">
        <v>1459</v>
      </c>
      <c r="B461" s="2">
        <v>45180</v>
      </c>
      <c r="C461" s="1" t="s">
        <v>10</v>
      </c>
      <c r="D461" s="1" t="s">
        <v>58</v>
      </c>
      <c r="E461" s="1" t="s">
        <v>31</v>
      </c>
      <c r="F461" s="1">
        <v>846.48</v>
      </c>
      <c r="G461" s="1" t="s">
        <v>276</v>
      </c>
      <c r="H461" s="2">
        <v>33394</v>
      </c>
      <c r="I461" s="2">
        <v>45184</v>
      </c>
      <c r="J461" s="1">
        <v>11.6</v>
      </c>
      <c r="K461" s="4">
        <f t="shared" si="17"/>
        <v>98.191679999999991</v>
      </c>
      <c r="L461" s="4">
        <f t="shared" si="18"/>
        <v>748.28832</v>
      </c>
    </row>
    <row r="462" spans="1:12" x14ac:dyDescent="0.3">
      <c r="A462" s="1">
        <v>1460</v>
      </c>
      <c r="B462" s="2">
        <v>45646</v>
      </c>
      <c r="C462" s="1" t="s">
        <v>21</v>
      </c>
      <c r="D462" s="1" t="s">
        <v>11</v>
      </c>
      <c r="E462" s="1" t="s">
        <v>12</v>
      </c>
      <c r="F462" s="1">
        <v>1781.6</v>
      </c>
      <c r="G462" s="1" t="s">
        <v>48</v>
      </c>
      <c r="H462" s="2">
        <v>22315</v>
      </c>
      <c r="I462" s="2">
        <v>45652</v>
      </c>
      <c r="J462" s="1">
        <v>25.14</v>
      </c>
      <c r="K462" s="4">
        <f t="shared" si="17"/>
        <v>447.89424000000002</v>
      </c>
      <c r="L462" s="4">
        <f t="shared" si="18"/>
        <v>1333.7057599999998</v>
      </c>
    </row>
    <row r="463" spans="1:12" x14ac:dyDescent="0.3">
      <c r="A463" s="1">
        <v>1461</v>
      </c>
      <c r="B463" s="2">
        <v>44214</v>
      </c>
      <c r="C463" s="1" t="s">
        <v>21</v>
      </c>
      <c r="D463" s="1" t="s">
        <v>33</v>
      </c>
      <c r="E463" s="1" t="s">
        <v>16</v>
      </c>
      <c r="F463" s="1">
        <v>2176.2399999999998</v>
      </c>
      <c r="G463" s="1" t="s">
        <v>86</v>
      </c>
      <c r="H463" s="2">
        <v>37858</v>
      </c>
      <c r="I463" s="2">
        <v>44215</v>
      </c>
      <c r="J463" s="1">
        <v>21.69</v>
      </c>
      <c r="K463" s="4">
        <f t="shared" si="17"/>
        <v>472.026456</v>
      </c>
      <c r="L463" s="4">
        <f t="shared" si="18"/>
        <v>1704.2135439999997</v>
      </c>
    </row>
    <row r="464" spans="1:12" x14ac:dyDescent="0.3">
      <c r="A464" s="1">
        <v>1462</v>
      </c>
      <c r="B464" s="2">
        <v>45270</v>
      </c>
      <c r="C464" s="1" t="s">
        <v>21</v>
      </c>
      <c r="D464" s="1" t="s">
        <v>40</v>
      </c>
      <c r="E464" s="1" t="s">
        <v>16</v>
      </c>
      <c r="F464" s="1">
        <v>2972.65</v>
      </c>
      <c r="G464" s="1" t="s">
        <v>120</v>
      </c>
      <c r="H464" s="2">
        <v>30820</v>
      </c>
      <c r="I464" s="2">
        <v>45283</v>
      </c>
      <c r="J464" s="1">
        <v>44.56</v>
      </c>
      <c r="K464" s="4">
        <f t="shared" si="17"/>
        <v>1324.61284</v>
      </c>
      <c r="L464" s="4">
        <f t="shared" si="18"/>
        <v>1648.0371600000001</v>
      </c>
    </row>
    <row r="465" spans="1:12" x14ac:dyDescent="0.3">
      <c r="A465" s="1">
        <v>1463</v>
      </c>
      <c r="B465" s="2">
        <v>45786</v>
      </c>
      <c r="C465" s="1" t="s">
        <v>35</v>
      </c>
      <c r="D465" s="1" t="s">
        <v>69</v>
      </c>
      <c r="E465" s="1" t="s">
        <v>31</v>
      </c>
      <c r="F465" s="1">
        <v>4085.17</v>
      </c>
      <c r="G465" s="1" t="s">
        <v>277</v>
      </c>
      <c r="H465" s="2">
        <v>35224</v>
      </c>
      <c r="I465" s="2">
        <v>45797</v>
      </c>
      <c r="J465" s="1">
        <v>9.56</v>
      </c>
      <c r="K465" s="4">
        <f t="shared" si="17"/>
        <v>390.54225200000002</v>
      </c>
      <c r="L465" s="4">
        <f t="shared" si="18"/>
        <v>3694.6277479999999</v>
      </c>
    </row>
    <row r="466" spans="1:12" x14ac:dyDescent="0.3">
      <c r="A466" s="1">
        <v>1464</v>
      </c>
      <c r="B466" s="2">
        <v>44365</v>
      </c>
      <c r="C466" s="1" t="s">
        <v>35</v>
      </c>
      <c r="D466" s="1" t="s">
        <v>102</v>
      </c>
      <c r="E466" s="1" t="s">
        <v>12</v>
      </c>
      <c r="F466" s="1">
        <v>189.34</v>
      </c>
      <c r="G466" s="1" t="s">
        <v>139</v>
      </c>
      <c r="H466" s="2">
        <v>29381</v>
      </c>
      <c r="I466" s="2">
        <v>44367</v>
      </c>
      <c r="J466" s="1">
        <v>36.89</v>
      </c>
      <c r="K466" s="4">
        <f t="shared" si="17"/>
        <v>69.847526000000002</v>
      </c>
      <c r="L466" s="4">
        <f t="shared" si="18"/>
        <v>119.492474</v>
      </c>
    </row>
    <row r="467" spans="1:12" x14ac:dyDescent="0.3">
      <c r="A467" s="1">
        <v>1465</v>
      </c>
      <c r="B467" s="2">
        <v>44609</v>
      </c>
      <c r="C467" s="1" t="s">
        <v>21</v>
      </c>
      <c r="D467" s="1" t="s">
        <v>102</v>
      </c>
      <c r="E467" s="1" t="s">
        <v>12</v>
      </c>
      <c r="F467" s="1">
        <v>2924.35</v>
      </c>
      <c r="G467" s="1" t="s">
        <v>156</v>
      </c>
      <c r="H467" s="2">
        <v>38693</v>
      </c>
      <c r="I467" s="2">
        <v>44610</v>
      </c>
      <c r="J467" s="1">
        <v>27.69</v>
      </c>
      <c r="K467" s="4">
        <f t="shared" si="17"/>
        <v>809.75251500000013</v>
      </c>
      <c r="L467" s="4">
        <f t="shared" si="18"/>
        <v>2114.5974849999998</v>
      </c>
    </row>
    <row r="468" spans="1:12" x14ac:dyDescent="0.3">
      <c r="A468" s="1">
        <v>1466</v>
      </c>
      <c r="B468" s="2">
        <v>45195</v>
      </c>
      <c r="C468" s="1" t="s">
        <v>21</v>
      </c>
      <c r="D468" s="1" t="s">
        <v>53</v>
      </c>
      <c r="E468" s="1" t="s">
        <v>28</v>
      </c>
      <c r="F468" s="1">
        <v>599.16</v>
      </c>
      <c r="G468" s="1" t="s">
        <v>278</v>
      </c>
      <c r="H468" s="2">
        <v>36036</v>
      </c>
      <c r="I468" s="2">
        <v>45209</v>
      </c>
      <c r="J468" s="1">
        <v>7.16</v>
      </c>
      <c r="K468" s="4">
        <f t="shared" si="17"/>
        <v>42.899855999999993</v>
      </c>
      <c r="L468" s="4">
        <f t="shared" si="18"/>
        <v>556.26014399999997</v>
      </c>
    </row>
    <row r="469" spans="1:12" x14ac:dyDescent="0.3">
      <c r="A469" s="1">
        <v>1467</v>
      </c>
      <c r="B469" s="2">
        <v>44414</v>
      </c>
      <c r="C469" s="1" t="s">
        <v>26</v>
      </c>
      <c r="D469" s="1" t="s">
        <v>55</v>
      </c>
      <c r="E469" s="1" t="s">
        <v>31</v>
      </c>
      <c r="F469" s="1">
        <v>3973.82</v>
      </c>
      <c r="G469" s="1" t="s">
        <v>107</v>
      </c>
      <c r="H469" s="2">
        <v>26671</v>
      </c>
      <c r="I469" s="2">
        <v>44423</v>
      </c>
      <c r="J469" s="1">
        <v>32.340000000000003</v>
      </c>
      <c r="K469" s="4">
        <f t="shared" si="17"/>
        <v>1285.1333880000002</v>
      </c>
      <c r="L469" s="4">
        <f t="shared" si="18"/>
        <v>2688.686612</v>
      </c>
    </row>
    <row r="470" spans="1:12" x14ac:dyDescent="0.3">
      <c r="A470" s="1">
        <v>1468</v>
      </c>
      <c r="B470" s="2">
        <v>45292</v>
      </c>
      <c r="C470" s="1" t="s">
        <v>10</v>
      </c>
      <c r="D470" s="1" t="s">
        <v>65</v>
      </c>
      <c r="E470" s="1" t="s">
        <v>19</v>
      </c>
      <c r="F470" s="1">
        <v>3282.15</v>
      </c>
      <c r="G470" s="1" t="s">
        <v>59</v>
      </c>
      <c r="H470" s="2">
        <v>25166</v>
      </c>
      <c r="I470" s="2">
        <v>45294</v>
      </c>
      <c r="J470" s="1">
        <v>46.01</v>
      </c>
      <c r="K470" s="4">
        <f t="shared" si="17"/>
        <v>1510.117215</v>
      </c>
      <c r="L470" s="4">
        <f t="shared" si="18"/>
        <v>1772.0327850000001</v>
      </c>
    </row>
    <row r="471" spans="1:12" x14ac:dyDescent="0.3">
      <c r="A471" s="1">
        <v>1469</v>
      </c>
      <c r="B471" s="2">
        <v>45516</v>
      </c>
      <c r="C471" s="1" t="s">
        <v>35</v>
      </c>
      <c r="D471" s="1" t="s">
        <v>44</v>
      </c>
      <c r="E471" s="1" t="s">
        <v>16</v>
      </c>
      <c r="F471" s="1">
        <v>542.1</v>
      </c>
      <c r="G471" s="1" t="s">
        <v>104</v>
      </c>
      <c r="H471" s="2">
        <v>24852</v>
      </c>
      <c r="I471" s="2">
        <v>45527</v>
      </c>
      <c r="J471" s="1">
        <v>0.99</v>
      </c>
      <c r="K471" s="4">
        <f t="shared" si="17"/>
        <v>5.3667899999999999</v>
      </c>
      <c r="L471" s="4">
        <f t="shared" si="18"/>
        <v>536.73320999999999</v>
      </c>
    </row>
    <row r="472" spans="1:12" x14ac:dyDescent="0.3">
      <c r="A472" s="1">
        <v>1470</v>
      </c>
      <c r="B472" s="2">
        <v>45209</v>
      </c>
      <c r="C472" s="1" t="s">
        <v>14</v>
      </c>
      <c r="D472" s="1" t="s">
        <v>36</v>
      </c>
      <c r="E472" s="1" t="s">
        <v>28</v>
      </c>
      <c r="F472" s="1">
        <v>1541</v>
      </c>
      <c r="G472" s="1" t="s">
        <v>111</v>
      </c>
      <c r="H472" s="2">
        <v>34704</v>
      </c>
      <c r="I472" s="2">
        <v>45222</v>
      </c>
      <c r="J472" s="1">
        <v>33.85</v>
      </c>
      <c r="K472" s="4">
        <f t="shared" si="17"/>
        <v>521.62850000000003</v>
      </c>
      <c r="L472" s="4">
        <f t="shared" si="18"/>
        <v>1019.3715</v>
      </c>
    </row>
    <row r="473" spans="1:12" x14ac:dyDescent="0.3">
      <c r="A473" s="1">
        <v>1471</v>
      </c>
      <c r="B473" s="2">
        <v>45744</v>
      </c>
      <c r="C473" s="1" t="s">
        <v>10</v>
      </c>
      <c r="D473" s="1" t="s">
        <v>22</v>
      </c>
      <c r="E473" s="1" t="s">
        <v>19</v>
      </c>
      <c r="F473" s="1">
        <v>2582.08</v>
      </c>
      <c r="G473" s="1" t="s">
        <v>150</v>
      </c>
      <c r="H473" s="2">
        <v>31231</v>
      </c>
      <c r="I473" s="2">
        <v>45752</v>
      </c>
      <c r="J473" s="1">
        <v>38.43</v>
      </c>
      <c r="K473" s="4">
        <f t="shared" si="17"/>
        <v>992.29334399999993</v>
      </c>
      <c r="L473" s="4">
        <f t="shared" si="18"/>
        <v>1589.786656</v>
      </c>
    </row>
    <row r="474" spans="1:12" x14ac:dyDescent="0.3">
      <c r="A474" s="1">
        <v>1472</v>
      </c>
      <c r="B474" s="2">
        <v>45397</v>
      </c>
      <c r="C474" s="1" t="s">
        <v>35</v>
      </c>
      <c r="D474" s="1" t="s">
        <v>11</v>
      </c>
      <c r="E474" s="1" t="s">
        <v>12</v>
      </c>
      <c r="F474" s="1">
        <v>4856.3100000000004</v>
      </c>
      <c r="G474" s="1" t="s">
        <v>279</v>
      </c>
      <c r="H474" s="2">
        <v>38934</v>
      </c>
      <c r="I474" s="2">
        <v>45405</v>
      </c>
      <c r="J474" s="1">
        <v>11.87</v>
      </c>
      <c r="K474" s="4">
        <f t="shared" si="17"/>
        <v>576.44399699999997</v>
      </c>
      <c r="L474" s="4">
        <f t="shared" si="18"/>
        <v>4279.8660030000001</v>
      </c>
    </row>
    <row r="475" spans="1:12" x14ac:dyDescent="0.3">
      <c r="A475" s="1">
        <v>1473</v>
      </c>
      <c r="B475" s="2">
        <v>44625</v>
      </c>
      <c r="C475" s="1" t="s">
        <v>26</v>
      </c>
      <c r="D475" s="1" t="s">
        <v>47</v>
      </c>
      <c r="E475" s="1" t="s">
        <v>12</v>
      </c>
      <c r="F475" s="1">
        <v>3734</v>
      </c>
      <c r="G475" s="1" t="s">
        <v>279</v>
      </c>
      <c r="H475" s="2">
        <v>38934</v>
      </c>
      <c r="I475" s="2">
        <v>44634</v>
      </c>
      <c r="J475" s="1">
        <v>37.909999999999997</v>
      </c>
      <c r="K475" s="4">
        <f t="shared" si="17"/>
        <v>1415.5593999999999</v>
      </c>
      <c r="L475" s="4">
        <f t="shared" si="18"/>
        <v>2318.4405999999999</v>
      </c>
    </row>
    <row r="476" spans="1:12" x14ac:dyDescent="0.3">
      <c r="A476" s="1">
        <v>1474</v>
      </c>
      <c r="B476" s="2">
        <v>45823</v>
      </c>
      <c r="C476" s="1" t="s">
        <v>10</v>
      </c>
      <c r="D476" s="1" t="s">
        <v>22</v>
      </c>
      <c r="E476" s="1" t="s">
        <v>19</v>
      </c>
      <c r="F476" s="1">
        <v>366.94</v>
      </c>
      <c r="G476" s="1" t="s">
        <v>191</v>
      </c>
      <c r="H476" s="2">
        <v>37495</v>
      </c>
      <c r="I476" s="2">
        <v>45829</v>
      </c>
      <c r="J476" s="1">
        <v>48.35</v>
      </c>
      <c r="K476" s="4">
        <f t="shared" si="17"/>
        <v>177.41549000000001</v>
      </c>
      <c r="L476" s="4">
        <f t="shared" si="18"/>
        <v>189.52450999999999</v>
      </c>
    </row>
    <row r="477" spans="1:12" x14ac:dyDescent="0.3">
      <c r="A477" s="1">
        <v>1475</v>
      </c>
      <c r="B477" s="2">
        <v>45168</v>
      </c>
      <c r="C477" s="1" t="s">
        <v>14</v>
      </c>
      <c r="D477" s="1" t="s">
        <v>33</v>
      </c>
      <c r="E477" s="1" t="s">
        <v>16</v>
      </c>
      <c r="F477" s="1">
        <v>4233.49</v>
      </c>
      <c r="G477" s="1" t="s">
        <v>190</v>
      </c>
      <c r="H477" s="2">
        <v>33354</v>
      </c>
      <c r="I477" s="2">
        <v>45172</v>
      </c>
      <c r="J477" s="1">
        <v>48.48</v>
      </c>
      <c r="K477" s="4">
        <f t="shared" si="17"/>
        <v>2052.3959519999999</v>
      </c>
      <c r="L477" s="4">
        <f t="shared" si="18"/>
        <v>2181.0940479999999</v>
      </c>
    </row>
    <row r="478" spans="1:12" x14ac:dyDescent="0.3">
      <c r="A478" s="1">
        <v>1476</v>
      </c>
      <c r="B478" s="2">
        <v>44568</v>
      </c>
      <c r="C478" s="1" t="s">
        <v>35</v>
      </c>
      <c r="D478" s="1" t="s">
        <v>69</v>
      </c>
      <c r="E478" s="1" t="s">
        <v>12</v>
      </c>
      <c r="F478" s="1">
        <v>644.57000000000005</v>
      </c>
      <c r="G478" s="1" t="s">
        <v>194</v>
      </c>
      <c r="H478" s="2">
        <v>22210</v>
      </c>
      <c r="I478" s="2">
        <v>44576</v>
      </c>
      <c r="J478" s="1">
        <v>26.36</v>
      </c>
      <c r="K478" s="4">
        <f t="shared" si="17"/>
        <v>169.90865200000002</v>
      </c>
      <c r="L478" s="4">
        <f t="shared" si="18"/>
        <v>474.66134800000003</v>
      </c>
    </row>
    <row r="479" spans="1:12" x14ac:dyDescent="0.3">
      <c r="A479" s="1">
        <v>1477</v>
      </c>
      <c r="B479" s="2">
        <v>44919</v>
      </c>
      <c r="C479" s="1" t="s">
        <v>35</v>
      </c>
      <c r="D479" s="1" t="s">
        <v>22</v>
      </c>
      <c r="E479" s="1" t="s">
        <v>19</v>
      </c>
      <c r="F479" s="1">
        <v>4592.13</v>
      </c>
      <c r="G479" s="1" t="s">
        <v>213</v>
      </c>
      <c r="H479" s="2">
        <v>34345</v>
      </c>
      <c r="I479" s="2">
        <v>44925</v>
      </c>
      <c r="J479" s="1">
        <v>11.9</v>
      </c>
      <c r="K479" s="4">
        <f t="shared" si="17"/>
        <v>546.46347000000003</v>
      </c>
      <c r="L479" s="4">
        <f t="shared" si="18"/>
        <v>4045.66653</v>
      </c>
    </row>
    <row r="480" spans="1:12" x14ac:dyDescent="0.3">
      <c r="A480" s="1">
        <v>1478</v>
      </c>
      <c r="B480" s="2">
        <v>44951</v>
      </c>
      <c r="C480" s="1" t="s">
        <v>35</v>
      </c>
      <c r="D480" s="1" t="s">
        <v>33</v>
      </c>
      <c r="E480" s="1" t="s">
        <v>16</v>
      </c>
      <c r="F480" s="1">
        <v>3161.42</v>
      </c>
      <c r="G480" s="1" t="s">
        <v>124</v>
      </c>
      <c r="H480" s="2">
        <v>30786</v>
      </c>
      <c r="I480" s="2">
        <v>44952</v>
      </c>
      <c r="J480" s="1">
        <v>47.23</v>
      </c>
      <c r="K480" s="4">
        <f t="shared" si="17"/>
        <v>1493.1386659999998</v>
      </c>
      <c r="L480" s="4">
        <f t="shared" si="18"/>
        <v>1668.2813340000002</v>
      </c>
    </row>
    <row r="481" spans="1:12" x14ac:dyDescent="0.3">
      <c r="A481" s="1">
        <v>1479</v>
      </c>
      <c r="B481" s="2">
        <v>45434</v>
      </c>
      <c r="C481" s="1" t="s">
        <v>14</v>
      </c>
      <c r="D481" s="1" t="s">
        <v>30</v>
      </c>
      <c r="E481" s="1" t="s">
        <v>31</v>
      </c>
      <c r="F481" s="1">
        <v>1196.3599999999999</v>
      </c>
      <c r="G481" s="1" t="s">
        <v>179</v>
      </c>
      <c r="H481" s="2">
        <v>30356</v>
      </c>
      <c r="I481" s="2">
        <v>45447</v>
      </c>
      <c r="J481" s="1">
        <v>23.7</v>
      </c>
      <c r="K481" s="4">
        <f t="shared" si="17"/>
        <v>283.53731999999997</v>
      </c>
      <c r="L481" s="4">
        <f t="shared" si="18"/>
        <v>912.82267999999999</v>
      </c>
    </row>
    <row r="482" spans="1:12" x14ac:dyDescent="0.3">
      <c r="A482" s="1">
        <v>1480</v>
      </c>
      <c r="B482" s="2">
        <v>45117</v>
      </c>
      <c r="C482" s="1" t="s">
        <v>14</v>
      </c>
      <c r="D482" s="1" t="s">
        <v>102</v>
      </c>
      <c r="E482" s="1" t="s">
        <v>12</v>
      </c>
      <c r="F482" s="1">
        <v>4459.7700000000004</v>
      </c>
      <c r="G482" s="1" t="s">
        <v>223</v>
      </c>
      <c r="H482" s="2">
        <v>35407</v>
      </c>
      <c r="I482" s="2">
        <v>45127</v>
      </c>
      <c r="J482" s="1">
        <v>48.71</v>
      </c>
      <c r="K482" s="4">
        <f t="shared" si="17"/>
        <v>2172.3539670000005</v>
      </c>
      <c r="L482" s="4">
        <f t="shared" si="18"/>
        <v>2287.416033</v>
      </c>
    </row>
    <row r="483" spans="1:12" x14ac:dyDescent="0.3">
      <c r="A483" s="1">
        <v>1481</v>
      </c>
      <c r="B483" s="2">
        <v>45763</v>
      </c>
      <c r="C483" s="1" t="s">
        <v>14</v>
      </c>
      <c r="D483" s="1" t="s">
        <v>15</v>
      </c>
      <c r="E483" s="1" t="s">
        <v>16</v>
      </c>
      <c r="F483" s="1">
        <v>4811.79</v>
      </c>
      <c r="G483" s="1" t="s">
        <v>94</v>
      </c>
      <c r="H483" s="2">
        <v>25516</v>
      </c>
      <c r="I483" s="2">
        <v>45774</v>
      </c>
      <c r="J483" s="1">
        <v>37.81</v>
      </c>
      <c r="K483" s="4">
        <f t="shared" si="17"/>
        <v>1819.3377990000001</v>
      </c>
      <c r="L483" s="4">
        <f t="shared" si="18"/>
        <v>2992.4522010000001</v>
      </c>
    </row>
    <row r="484" spans="1:12" x14ac:dyDescent="0.3">
      <c r="A484" s="1">
        <v>1482</v>
      </c>
      <c r="B484" s="2">
        <v>44567</v>
      </c>
      <c r="C484" s="1" t="s">
        <v>14</v>
      </c>
      <c r="D484" s="1" t="s">
        <v>58</v>
      </c>
      <c r="E484" s="1" t="s">
        <v>31</v>
      </c>
      <c r="F484" s="1">
        <v>4964.8</v>
      </c>
      <c r="G484" s="1" t="s">
        <v>216</v>
      </c>
      <c r="H484" s="2">
        <v>31419</v>
      </c>
      <c r="I484" s="2">
        <v>44577</v>
      </c>
      <c r="J484" s="1">
        <v>23.65</v>
      </c>
      <c r="K484" s="4">
        <f t="shared" si="17"/>
        <v>1174.1751999999999</v>
      </c>
      <c r="L484" s="4">
        <f t="shared" si="18"/>
        <v>3790.6248000000005</v>
      </c>
    </row>
    <row r="485" spans="1:12" x14ac:dyDescent="0.3">
      <c r="A485" s="1">
        <v>1483</v>
      </c>
      <c r="B485" s="2">
        <v>44525</v>
      </c>
      <c r="C485" s="1" t="s">
        <v>21</v>
      </c>
      <c r="D485" s="1" t="s">
        <v>73</v>
      </c>
      <c r="E485" s="1" t="s">
        <v>28</v>
      </c>
      <c r="F485" s="1">
        <v>4165.84</v>
      </c>
      <c r="G485" s="1" t="s">
        <v>75</v>
      </c>
      <c r="H485" s="2">
        <v>25853</v>
      </c>
      <c r="I485" s="2">
        <v>44538</v>
      </c>
      <c r="J485" s="1">
        <v>19.77</v>
      </c>
      <c r="K485" s="4">
        <f t="shared" si="17"/>
        <v>823.58656799999994</v>
      </c>
      <c r="L485" s="4">
        <f t="shared" si="18"/>
        <v>3342.2534320000004</v>
      </c>
    </row>
    <row r="486" spans="1:12" x14ac:dyDescent="0.3">
      <c r="A486" s="1">
        <v>1484</v>
      </c>
      <c r="B486" s="2">
        <v>45568</v>
      </c>
      <c r="C486" s="1" t="s">
        <v>35</v>
      </c>
      <c r="D486" s="1" t="s">
        <v>44</v>
      </c>
      <c r="E486" s="1" t="s">
        <v>16</v>
      </c>
      <c r="F486" s="1">
        <v>1868.61</v>
      </c>
      <c r="G486" s="1" t="s">
        <v>280</v>
      </c>
      <c r="H486" s="2">
        <v>29181</v>
      </c>
      <c r="I486" s="2">
        <v>45576</v>
      </c>
      <c r="J486" s="1">
        <v>41.34</v>
      </c>
      <c r="K486" s="4">
        <f t="shared" si="17"/>
        <v>772.48337400000003</v>
      </c>
      <c r="L486" s="4">
        <f t="shared" si="18"/>
        <v>1096.1266259999998</v>
      </c>
    </row>
    <row r="487" spans="1:12" x14ac:dyDescent="0.3">
      <c r="A487" s="1">
        <v>1485</v>
      </c>
      <c r="B487" s="2">
        <v>45096</v>
      </c>
      <c r="C487" s="1" t="s">
        <v>26</v>
      </c>
      <c r="D487" s="1" t="s">
        <v>88</v>
      </c>
      <c r="E487" s="1" t="s">
        <v>16</v>
      </c>
      <c r="F487" s="1">
        <v>960.82</v>
      </c>
      <c r="G487" s="1" t="s">
        <v>159</v>
      </c>
      <c r="H487" s="2">
        <v>38194</v>
      </c>
      <c r="I487" s="2">
        <v>45099</v>
      </c>
      <c r="J487" s="1">
        <v>40.98</v>
      </c>
      <c r="K487" s="4">
        <f t="shared" si="17"/>
        <v>393.74403599999994</v>
      </c>
      <c r="L487" s="4">
        <f t="shared" si="18"/>
        <v>567.07596400000011</v>
      </c>
    </row>
    <row r="488" spans="1:12" x14ac:dyDescent="0.3">
      <c r="A488" s="1">
        <v>1486</v>
      </c>
      <c r="B488" s="2">
        <v>45010</v>
      </c>
      <c r="C488" s="1" t="s">
        <v>26</v>
      </c>
      <c r="D488" s="1" t="s">
        <v>44</v>
      </c>
      <c r="E488" s="1" t="s">
        <v>16</v>
      </c>
      <c r="F488" s="1">
        <v>4628</v>
      </c>
      <c r="G488" s="1" t="s">
        <v>50</v>
      </c>
      <c r="H488" s="2">
        <v>22594</v>
      </c>
      <c r="I488" s="2">
        <v>45014</v>
      </c>
      <c r="J488" s="1">
        <v>44.68</v>
      </c>
      <c r="K488" s="4">
        <f t="shared" si="17"/>
        <v>2067.7903999999999</v>
      </c>
      <c r="L488" s="4">
        <f t="shared" si="18"/>
        <v>2560.2096000000001</v>
      </c>
    </row>
    <row r="489" spans="1:12" x14ac:dyDescent="0.3">
      <c r="A489" s="1">
        <v>1487</v>
      </c>
      <c r="B489" s="2">
        <v>45153</v>
      </c>
      <c r="C489" s="1" t="s">
        <v>35</v>
      </c>
      <c r="D489" s="1" t="s">
        <v>30</v>
      </c>
      <c r="E489" s="1" t="s">
        <v>31</v>
      </c>
      <c r="F489" s="1">
        <v>4033.32</v>
      </c>
      <c r="G489" s="1" t="s">
        <v>187</v>
      </c>
      <c r="H489" s="2">
        <v>30778</v>
      </c>
      <c r="I489" s="2">
        <v>45162</v>
      </c>
      <c r="J489" s="1">
        <v>36.51</v>
      </c>
      <c r="K489" s="4">
        <f t="shared" si="17"/>
        <v>1472.5651319999999</v>
      </c>
      <c r="L489" s="4">
        <f t="shared" si="18"/>
        <v>2560.754868</v>
      </c>
    </row>
    <row r="490" spans="1:12" x14ac:dyDescent="0.3">
      <c r="A490" s="1">
        <v>1488</v>
      </c>
      <c r="B490" s="2">
        <v>45427</v>
      </c>
      <c r="C490" s="1" t="s">
        <v>14</v>
      </c>
      <c r="D490" s="1" t="s">
        <v>49</v>
      </c>
      <c r="E490" s="1" t="s">
        <v>12</v>
      </c>
      <c r="F490" s="1">
        <v>2543.13</v>
      </c>
      <c r="G490" s="1" t="s">
        <v>63</v>
      </c>
      <c r="H490" s="2">
        <v>25430</v>
      </c>
      <c r="I490" s="2">
        <v>45441</v>
      </c>
      <c r="J490" s="1">
        <v>15.97</v>
      </c>
      <c r="K490" s="4">
        <f t="shared" si="17"/>
        <v>406.13786100000004</v>
      </c>
      <c r="L490" s="4">
        <f t="shared" si="18"/>
        <v>2136.992139</v>
      </c>
    </row>
    <row r="491" spans="1:12" x14ac:dyDescent="0.3">
      <c r="A491" s="1">
        <v>1489</v>
      </c>
      <c r="B491" s="2">
        <v>45218</v>
      </c>
      <c r="C491" s="1" t="s">
        <v>14</v>
      </c>
      <c r="D491" s="1" t="s">
        <v>65</v>
      </c>
      <c r="E491" s="1" t="s">
        <v>19</v>
      </c>
      <c r="F491" s="1">
        <v>640.26</v>
      </c>
      <c r="G491" s="1" t="s">
        <v>253</v>
      </c>
      <c r="H491" s="2">
        <v>27131</v>
      </c>
      <c r="I491" s="2">
        <v>45230</v>
      </c>
      <c r="J491" s="1">
        <v>21</v>
      </c>
      <c r="K491" s="4">
        <f t="shared" si="17"/>
        <v>134.4546</v>
      </c>
      <c r="L491" s="4">
        <f t="shared" si="18"/>
        <v>505.80539999999996</v>
      </c>
    </row>
    <row r="492" spans="1:12" x14ac:dyDescent="0.3">
      <c r="A492" s="1">
        <v>1490</v>
      </c>
      <c r="B492" s="2">
        <v>45262</v>
      </c>
      <c r="C492" s="1" t="s">
        <v>35</v>
      </c>
      <c r="D492" s="1" t="s">
        <v>55</v>
      </c>
      <c r="E492" s="1" t="s">
        <v>31</v>
      </c>
      <c r="F492" s="1">
        <v>3779.96</v>
      </c>
      <c r="G492" s="1" t="s">
        <v>281</v>
      </c>
      <c r="H492" s="2">
        <v>37927</v>
      </c>
      <c r="I492" s="2">
        <v>45266</v>
      </c>
      <c r="J492" s="1">
        <v>32.18</v>
      </c>
      <c r="K492" s="4">
        <f t="shared" si="17"/>
        <v>1216.391128</v>
      </c>
      <c r="L492" s="4">
        <f t="shared" si="18"/>
        <v>2563.5688719999998</v>
      </c>
    </row>
    <row r="493" spans="1:12" x14ac:dyDescent="0.3">
      <c r="A493" s="1">
        <v>1491</v>
      </c>
      <c r="B493" s="2">
        <v>44682</v>
      </c>
      <c r="C493" s="1" t="s">
        <v>21</v>
      </c>
      <c r="D493" s="1" t="s">
        <v>24</v>
      </c>
      <c r="E493" s="1" t="s">
        <v>19</v>
      </c>
      <c r="F493" s="1">
        <v>2268.23</v>
      </c>
      <c r="G493" s="1" t="s">
        <v>226</v>
      </c>
      <c r="H493" s="2">
        <v>33332</v>
      </c>
      <c r="I493" s="2">
        <v>44689</v>
      </c>
      <c r="J493" s="1">
        <v>40.47</v>
      </c>
      <c r="K493" s="4">
        <f t="shared" si="17"/>
        <v>917.95268099999998</v>
      </c>
      <c r="L493" s="4">
        <f t="shared" si="18"/>
        <v>1350.277319</v>
      </c>
    </row>
    <row r="494" spans="1:12" x14ac:dyDescent="0.3">
      <c r="A494" s="1">
        <v>1492</v>
      </c>
      <c r="B494" s="2">
        <v>44582</v>
      </c>
      <c r="C494" s="1" t="s">
        <v>35</v>
      </c>
      <c r="D494" s="1" t="s">
        <v>69</v>
      </c>
      <c r="E494" s="1" t="s">
        <v>31</v>
      </c>
      <c r="F494" s="1">
        <v>857.98</v>
      </c>
      <c r="G494" s="1" t="s">
        <v>202</v>
      </c>
      <c r="H494" s="2">
        <v>24802</v>
      </c>
      <c r="I494" s="2">
        <v>44595</v>
      </c>
      <c r="J494" s="1">
        <v>8.44</v>
      </c>
      <c r="K494" s="4">
        <f t="shared" si="17"/>
        <v>72.413511999999997</v>
      </c>
      <c r="L494" s="4">
        <f t="shared" si="18"/>
        <v>785.56648800000005</v>
      </c>
    </row>
    <row r="495" spans="1:12" x14ac:dyDescent="0.3">
      <c r="A495" s="1">
        <v>1493</v>
      </c>
      <c r="B495" s="2">
        <v>44415</v>
      </c>
      <c r="C495" s="1" t="s">
        <v>14</v>
      </c>
      <c r="D495" s="1" t="s">
        <v>38</v>
      </c>
      <c r="E495" s="1" t="s">
        <v>28</v>
      </c>
      <c r="F495" s="1">
        <v>4476.6400000000003</v>
      </c>
      <c r="G495" s="1" t="s">
        <v>221</v>
      </c>
      <c r="H495" s="2">
        <v>35658</v>
      </c>
      <c r="I495" s="2">
        <v>44417</v>
      </c>
      <c r="J495" s="1">
        <v>13.84</v>
      </c>
      <c r="K495" s="4">
        <f t="shared" si="17"/>
        <v>619.56697600000007</v>
      </c>
      <c r="L495" s="4">
        <f t="shared" si="18"/>
        <v>3857.0730240000003</v>
      </c>
    </row>
    <row r="496" spans="1:12" x14ac:dyDescent="0.3">
      <c r="A496" s="1">
        <v>1494</v>
      </c>
      <c r="B496" s="2">
        <v>44484</v>
      </c>
      <c r="C496" s="1" t="s">
        <v>10</v>
      </c>
      <c r="D496" s="1" t="s">
        <v>88</v>
      </c>
      <c r="E496" s="1" t="s">
        <v>16</v>
      </c>
      <c r="F496" s="1">
        <v>3755.32</v>
      </c>
      <c r="G496" s="1" t="s">
        <v>282</v>
      </c>
      <c r="H496" s="2">
        <v>38073</v>
      </c>
      <c r="I496" s="2">
        <v>44489</v>
      </c>
      <c r="J496" s="1">
        <v>39.659999999999997</v>
      </c>
      <c r="K496" s="4">
        <f t="shared" si="17"/>
        <v>1489.3599119999999</v>
      </c>
      <c r="L496" s="4">
        <f t="shared" si="18"/>
        <v>2265.9600880000003</v>
      </c>
    </row>
    <row r="497" spans="1:12" x14ac:dyDescent="0.3">
      <c r="A497" s="1">
        <v>1495</v>
      </c>
      <c r="B497" s="2">
        <v>45829</v>
      </c>
      <c r="C497" s="1" t="s">
        <v>21</v>
      </c>
      <c r="D497" s="1" t="s">
        <v>11</v>
      </c>
      <c r="E497" s="1" t="s">
        <v>12</v>
      </c>
      <c r="F497" s="1">
        <v>4164.7700000000004</v>
      </c>
      <c r="G497" s="1" t="s">
        <v>264</v>
      </c>
      <c r="H497" s="2">
        <v>30232</v>
      </c>
      <c r="I497" s="2">
        <v>45832</v>
      </c>
      <c r="J497" s="1">
        <v>40.119999999999997</v>
      </c>
      <c r="K497" s="4">
        <f t="shared" si="17"/>
        <v>1670.9057240000002</v>
      </c>
      <c r="L497" s="4">
        <f t="shared" si="18"/>
        <v>2493.8642760000002</v>
      </c>
    </row>
    <row r="498" spans="1:12" x14ac:dyDescent="0.3">
      <c r="A498" s="1">
        <v>1496</v>
      </c>
      <c r="B498" s="2">
        <v>45316</v>
      </c>
      <c r="C498" s="1" t="s">
        <v>35</v>
      </c>
      <c r="D498" s="1" t="s">
        <v>102</v>
      </c>
      <c r="E498" s="1" t="s">
        <v>12</v>
      </c>
      <c r="F498" s="1">
        <v>897.52</v>
      </c>
      <c r="G498" s="1" t="s">
        <v>108</v>
      </c>
      <c r="H498" s="2">
        <v>33413</v>
      </c>
      <c r="I498" s="2">
        <v>45326</v>
      </c>
      <c r="J498" s="1">
        <v>8.91</v>
      </c>
      <c r="K498" s="4">
        <f t="shared" si="17"/>
        <v>79.969031999999999</v>
      </c>
      <c r="L498" s="4">
        <f t="shared" si="18"/>
        <v>817.55096800000001</v>
      </c>
    </row>
    <row r="499" spans="1:12" x14ac:dyDescent="0.3">
      <c r="A499" s="1">
        <v>1497</v>
      </c>
      <c r="B499" s="2">
        <v>44840</v>
      </c>
      <c r="C499" s="1" t="s">
        <v>35</v>
      </c>
      <c r="D499" s="1" t="s">
        <v>73</v>
      </c>
      <c r="E499" s="1" t="s">
        <v>28</v>
      </c>
      <c r="F499" s="1">
        <v>4921.43</v>
      </c>
      <c r="G499" s="1" t="s">
        <v>67</v>
      </c>
      <c r="H499" s="2">
        <v>34016</v>
      </c>
      <c r="I499" s="2">
        <v>44843</v>
      </c>
      <c r="J499" s="1">
        <v>16.77</v>
      </c>
      <c r="K499" s="4">
        <f t="shared" si="17"/>
        <v>825.32381099999998</v>
      </c>
      <c r="L499" s="4">
        <f t="shared" si="18"/>
        <v>4096.1061890000001</v>
      </c>
    </row>
    <row r="500" spans="1:12" x14ac:dyDescent="0.3">
      <c r="A500" s="1">
        <v>1498</v>
      </c>
      <c r="B500" s="2">
        <v>44528</v>
      </c>
      <c r="C500" s="1" t="s">
        <v>14</v>
      </c>
      <c r="D500" s="1" t="s">
        <v>18</v>
      </c>
      <c r="E500" s="1" t="s">
        <v>19</v>
      </c>
      <c r="F500" s="1">
        <v>216.97</v>
      </c>
      <c r="G500" s="1" t="s">
        <v>265</v>
      </c>
      <c r="H500" s="2">
        <v>38899</v>
      </c>
      <c r="I500" s="2">
        <v>44537</v>
      </c>
      <c r="J500" s="1">
        <v>41.44</v>
      </c>
      <c r="K500" s="4">
        <f t="shared" si="17"/>
        <v>89.912368000000001</v>
      </c>
      <c r="L500" s="4">
        <f t="shared" si="18"/>
        <v>127.057632</v>
      </c>
    </row>
    <row r="501" spans="1:12" x14ac:dyDescent="0.3">
      <c r="A501" s="1">
        <v>1499</v>
      </c>
      <c r="B501" s="2">
        <v>44540</v>
      </c>
      <c r="C501" s="1" t="s">
        <v>10</v>
      </c>
      <c r="D501" s="1" t="s">
        <v>44</v>
      </c>
      <c r="E501" s="1" t="s">
        <v>16</v>
      </c>
      <c r="F501" s="1">
        <v>2393.89</v>
      </c>
      <c r="G501" s="1" t="s">
        <v>283</v>
      </c>
      <c r="H501" s="2">
        <v>30117</v>
      </c>
      <c r="I501" s="2">
        <v>44551</v>
      </c>
      <c r="J501" s="1">
        <v>10.87</v>
      </c>
      <c r="K501" s="4">
        <f t="shared" si="17"/>
        <v>260.21584299999995</v>
      </c>
      <c r="L501" s="4">
        <f t="shared" si="18"/>
        <v>2133.6741569999999</v>
      </c>
    </row>
    <row r="502" spans="1:12" x14ac:dyDescent="0.3">
      <c r="A502" s="1">
        <v>1500</v>
      </c>
      <c r="B502" s="2">
        <v>45298</v>
      </c>
      <c r="C502" s="1" t="s">
        <v>35</v>
      </c>
      <c r="D502" s="1" t="s">
        <v>88</v>
      </c>
      <c r="E502" s="1" t="s">
        <v>16</v>
      </c>
      <c r="F502" s="1">
        <v>3767.29</v>
      </c>
      <c r="G502" s="1" t="s">
        <v>215</v>
      </c>
      <c r="H502" s="2">
        <v>31386</v>
      </c>
      <c r="I502" s="2">
        <v>45310</v>
      </c>
      <c r="J502" s="1">
        <v>15.91</v>
      </c>
      <c r="K502" s="4">
        <f t="shared" si="17"/>
        <v>599.37583899999993</v>
      </c>
      <c r="L502" s="4">
        <f t="shared" si="18"/>
        <v>3167.9141610000001</v>
      </c>
    </row>
    <row r="503" spans="1:12" x14ac:dyDescent="0.3">
      <c r="A503" s="1">
        <v>1501</v>
      </c>
      <c r="B503" s="2">
        <v>45230</v>
      </c>
      <c r="C503" s="1" t="s">
        <v>21</v>
      </c>
      <c r="D503" s="1" t="s">
        <v>30</v>
      </c>
      <c r="E503" s="1" t="s">
        <v>31</v>
      </c>
      <c r="F503" s="1">
        <v>1246.26</v>
      </c>
      <c r="G503" s="1" t="s">
        <v>155</v>
      </c>
      <c r="H503" s="2">
        <v>27688</v>
      </c>
      <c r="I503" s="2">
        <v>45232</v>
      </c>
      <c r="J503" s="1">
        <v>7.94</v>
      </c>
      <c r="K503" s="4">
        <f t="shared" si="17"/>
        <v>98.953043999999991</v>
      </c>
      <c r="L503" s="4">
        <f t="shared" si="18"/>
        <v>1147.3069559999999</v>
      </c>
    </row>
    <row r="504" spans="1:12" x14ac:dyDescent="0.3">
      <c r="A504" s="1">
        <v>1502</v>
      </c>
      <c r="B504" s="2">
        <v>44328</v>
      </c>
      <c r="C504" s="1" t="s">
        <v>10</v>
      </c>
      <c r="D504" s="1" t="s">
        <v>22</v>
      </c>
      <c r="E504" s="1" t="s">
        <v>19</v>
      </c>
      <c r="F504" s="1">
        <v>1825.7</v>
      </c>
      <c r="G504" s="1" t="s">
        <v>284</v>
      </c>
      <c r="H504" s="2">
        <v>34338</v>
      </c>
      <c r="I504" s="2">
        <v>44340</v>
      </c>
      <c r="J504" s="1">
        <v>34.07</v>
      </c>
      <c r="K504" s="4">
        <f t="shared" si="17"/>
        <v>622.01598999999999</v>
      </c>
      <c r="L504" s="4">
        <f t="shared" si="18"/>
        <v>1203.6840099999999</v>
      </c>
    </row>
    <row r="505" spans="1:12" x14ac:dyDescent="0.3">
      <c r="A505" s="1">
        <v>1503</v>
      </c>
      <c r="B505" s="2">
        <v>44961</v>
      </c>
      <c r="C505" s="1" t="s">
        <v>26</v>
      </c>
      <c r="D505" s="1" t="s">
        <v>38</v>
      </c>
      <c r="E505" s="1" t="s">
        <v>28</v>
      </c>
      <c r="F505" s="1">
        <v>1119.8599999999999</v>
      </c>
      <c r="G505" s="1" t="s">
        <v>166</v>
      </c>
      <c r="H505" s="2">
        <v>27879</v>
      </c>
      <c r="I505" s="2">
        <v>44968</v>
      </c>
      <c r="J505" s="1">
        <v>7.51</v>
      </c>
      <c r="K505" s="4">
        <f t="shared" si="17"/>
        <v>84.101485999999994</v>
      </c>
      <c r="L505" s="4">
        <f t="shared" si="18"/>
        <v>1035.7585139999999</v>
      </c>
    </row>
    <row r="506" spans="1:12" x14ac:dyDescent="0.3">
      <c r="A506" s="1">
        <v>1504</v>
      </c>
      <c r="B506" s="2">
        <v>44975</v>
      </c>
      <c r="C506" s="1" t="s">
        <v>21</v>
      </c>
      <c r="D506" s="1" t="s">
        <v>102</v>
      </c>
      <c r="E506" s="1" t="s">
        <v>12</v>
      </c>
      <c r="F506" s="1">
        <v>1079.6199999999999</v>
      </c>
      <c r="G506" s="1" t="s">
        <v>120</v>
      </c>
      <c r="H506" s="2">
        <v>30820</v>
      </c>
      <c r="I506" s="2">
        <v>44988</v>
      </c>
      <c r="J506" s="1">
        <v>18.41</v>
      </c>
      <c r="K506" s="4">
        <f t="shared" si="17"/>
        <v>198.75804199999999</v>
      </c>
      <c r="L506" s="4">
        <f t="shared" si="18"/>
        <v>880.86195799999996</v>
      </c>
    </row>
    <row r="507" spans="1:12" x14ac:dyDescent="0.3">
      <c r="A507" s="1">
        <v>1505</v>
      </c>
      <c r="B507" s="2">
        <v>44953</v>
      </c>
      <c r="C507" s="1" t="s">
        <v>21</v>
      </c>
      <c r="D507" s="1" t="s">
        <v>65</v>
      </c>
      <c r="E507" s="1" t="s">
        <v>19</v>
      </c>
      <c r="F507" s="1">
        <v>989.3</v>
      </c>
      <c r="G507" s="1" t="s">
        <v>236</v>
      </c>
      <c r="H507" s="2">
        <v>36099</v>
      </c>
      <c r="I507" s="2">
        <v>44967</v>
      </c>
      <c r="J507" s="1">
        <v>9.18</v>
      </c>
      <c r="K507" s="4">
        <f t="shared" si="17"/>
        <v>90.817739999999986</v>
      </c>
      <c r="L507" s="4">
        <f t="shared" si="18"/>
        <v>898.48226</v>
      </c>
    </row>
    <row r="508" spans="1:12" x14ac:dyDescent="0.3">
      <c r="A508" s="1">
        <v>1506</v>
      </c>
      <c r="B508" s="2">
        <v>44372</v>
      </c>
      <c r="C508" s="1" t="s">
        <v>10</v>
      </c>
      <c r="D508" s="1" t="s">
        <v>18</v>
      </c>
      <c r="E508" s="1" t="s">
        <v>19</v>
      </c>
      <c r="F508" s="1">
        <v>4408.54</v>
      </c>
      <c r="G508" s="1" t="s">
        <v>208</v>
      </c>
      <c r="H508" s="2">
        <v>32188</v>
      </c>
      <c r="I508" s="2">
        <v>44382</v>
      </c>
      <c r="J508" s="1">
        <v>12.47</v>
      </c>
      <c r="K508" s="4">
        <f t="shared" si="17"/>
        <v>549.74493800000005</v>
      </c>
      <c r="L508" s="4">
        <f t="shared" si="18"/>
        <v>3858.7950620000001</v>
      </c>
    </row>
    <row r="509" spans="1:12" x14ac:dyDescent="0.3">
      <c r="A509" s="1">
        <v>1507</v>
      </c>
      <c r="B509" s="2">
        <v>45596</v>
      </c>
      <c r="C509" s="1" t="s">
        <v>21</v>
      </c>
      <c r="D509" s="1" t="s">
        <v>33</v>
      </c>
      <c r="E509" s="1" t="s">
        <v>16</v>
      </c>
      <c r="F509" s="1">
        <v>308.79000000000002</v>
      </c>
      <c r="G509" s="1" t="s">
        <v>117</v>
      </c>
      <c r="H509" s="2">
        <v>23513</v>
      </c>
      <c r="I509" s="2">
        <v>45603</v>
      </c>
      <c r="J509" s="1">
        <v>15.92</v>
      </c>
      <c r="K509" s="4">
        <f t="shared" si="17"/>
        <v>49.159368000000008</v>
      </c>
      <c r="L509" s="4">
        <f t="shared" si="18"/>
        <v>259.63063199999999</v>
      </c>
    </row>
    <row r="510" spans="1:12" x14ac:dyDescent="0.3">
      <c r="A510" s="1">
        <v>1508</v>
      </c>
      <c r="B510" s="2">
        <v>44487</v>
      </c>
      <c r="C510" s="1" t="s">
        <v>14</v>
      </c>
      <c r="D510" s="1" t="s">
        <v>15</v>
      </c>
      <c r="E510" s="1" t="s">
        <v>16</v>
      </c>
      <c r="F510" s="1">
        <v>2775.54</v>
      </c>
      <c r="G510" s="1" t="s">
        <v>129</v>
      </c>
      <c r="H510" s="2">
        <v>26668</v>
      </c>
      <c r="I510" s="2">
        <v>44494</v>
      </c>
      <c r="J510" s="1">
        <v>22.41</v>
      </c>
      <c r="K510" s="4">
        <f t="shared" si="17"/>
        <v>621.998514</v>
      </c>
      <c r="L510" s="4">
        <f t="shared" si="18"/>
        <v>2153.5414860000001</v>
      </c>
    </row>
    <row r="511" spans="1:12" x14ac:dyDescent="0.3">
      <c r="A511" s="1">
        <v>1509</v>
      </c>
      <c r="B511" s="2">
        <v>44557</v>
      </c>
      <c r="C511" s="1" t="s">
        <v>21</v>
      </c>
      <c r="D511" s="1" t="s">
        <v>36</v>
      </c>
      <c r="E511" s="1" t="s">
        <v>28</v>
      </c>
      <c r="F511" s="1">
        <v>2170.37</v>
      </c>
      <c r="G511" s="1" t="s">
        <v>285</v>
      </c>
      <c r="H511" s="2">
        <v>26988</v>
      </c>
      <c r="I511" s="2">
        <v>44559</v>
      </c>
      <c r="J511" s="1">
        <v>27.89</v>
      </c>
      <c r="K511" s="4">
        <f t="shared" si="17"/>
        <v>605.31619299999988</v>
      </c>
      <c r="L511" s="4">
        <f t="shared" si="18"/>
        <v>1565.053807</v>
      </c>
    </row>
    <row r="512" spans="1:12" x14ac:dyDescent="0.3">
      <c r="A512" s="1">
        <v>1510</v>
      </c>
      <c r="B512" s="2">
        <v>44078</v>
      </c>
      <c r="C512" s="1" t="s">
        <v>14</v>
      </c>
      <c r="D512" s="1" t="s">
        <v>61</v>
      </c>
      <c r="E512" s="1" t="s">
        <v>19</v>
      </c>
      <c r="F512" s="1">
        <v>948.94</v>
      </c>
      <c r="G512" s="1" t="s">
        <v>173</v>
      </c>
      <c r="H512" s="2">
        <v>22016</v>
      </c>
      <c r="I512" s="2">
        <v>44090</v>
      </c>
      <c r="J512" s="1">
        <v>21.04</v>
      </c>
      <c r="K512" s="4">
        <f t="shared" si="17"/>
        <v>199.65697600000001</v>
      </c>
      <c r="L512" s="4">
        <f t="shared" si="18"/>
        <v>749.28302400000007</v>
      </c>
    </row>
    <row r="513" spans="1:12" x14ac:dyDescent="0.3">
      <c r="A513" s="1">
        <v>1511</v>
      </c>
      <c r="B513" s="2">
        <v>44328</v>
      </c>
      <c r="C513" s="1" t="s">
        <v>26</v>
      </c>
      <c r="D513" s="1" t="s">
        <v>55</v>
      </c>
      <c r="E513" s="1" t="s">
        <v>31</v>
      </c>
      <c r="F513" s="1">
        <v>3452.36</v>
      </c>
      <c r="G513" s="1" t="s">
        <v>17</v>
      </c>
      <c r="H513" s="2">
        <v>26484</v>
      </c>
      <c r="I513" s="2">
        <v>44333</v>
      </c>
      <c r="J513" s="1">
        <v>26.13</v>
      </c>
      <c r="K513" s="4">
        <f t="shared" si="17"/>
        <v>902.1016679999999</v>
      </c>
      <c r="L513" s="4">
        <f t="shared" si="18"/>
        <v>2550.2583320000003</v>
      </c>
    </row>
    <row r="514" spans="1:12" x14ac:dyDescent="0.3">
      <c r="A514" s="1">
        <v>1512</v>
      </c>
      <c r="B514" s="2">
        <v>44119</v>
      </c>
      <c r="C514" s="1" t="s">
        <v>35</v>
      </c>
      <c r="D514" s="1" t="s">
        <v>24</v>
      </c>
      <c r="E514" s="1" t="s">
        <v>19</v>
      </c>
      <c r="F514" s="1">
        <v>4036.97</v>
      </c>
      <c r="G514" s="1" t="s">
        <v>228</v>
      </c>
      <c r="H514" s="2">
        <v>25811</v>
      </c>
      <c r="I514" s="2">
        <v>44128</v>
      </c>
      <c r="J514" s="1">
        <v>10.38</v>
      </c>
      <c r="K514" s="4">
        <f t="shared" si="17"/>
        <v>419.037486</v>
      </c>
      <c r="L514" s="4">
        <f t="shared" si="18"/>
        <v>3617.9325139999996</v>
      </c>
    </row>
    <row r="515" spans="1:12" x14ac:dyDescent="0.3">
      <c r="A515" s="1">
        <v>1513</v>
      </c>
      <c r="B515" s="2">
        <v>44590</v>
      </c>
      <c r="C515" s="1" t="s">
        <v>35</v>
      </c>
      <c r="D515" s="1" t="s">
        <v>24</v>
      </c>
      <c r="E515" s="1" t="s">
        <v>19</v>
      </c>
      <c r="F515" s="1">
        <v>492.46</v>
      </c>
      <c r="G515" s="1" t="s">
        <v>213</v>
      </c>
      <c r="H515" s="2">
        <v>34345</v>
      </c>
      <c r="I515" s="2">
        <v>44602</v>
      </c>
      <c r="J515" s="1">
        <v>44.35</v>
      </c>
      <c r="K515" s="4">
        <f t="shared" ref="K515:K578" si="19">F515*J515%</f>
        <v>218.40600999999998</v>
      </c>
      <c r="L515" s="4">
        <f t="shared" ref="L515:L578" si="20">F515-K515</f>
        <v>274.05399</v>
      </c>
    </row>
    <row r="516" spans="1:12" x14ac:dyDescent="0.3">
      <c r="A516" s="1">
        <v>1514</v>
      </c>
      <c r="B516" s="2">
        <v>44426</v>
      </c>
      <c r="C516" s="1" t="s">
        <v>35</v>
      </c>
      <c r="D516" s="1" t="s">
        <v>53</v>
      </c>
      <c r="E516" s="1" t="s">
        <v>28</v>
      </c>
      <c r="F516" s="1">
        <v>4324.25</v>
      </c>
      <c r="G516" s="1" t="s">
        <v>267</v>
      </c>
      <c r="H516" s="2">
        <v>38039</v>
      </c>
      <c r="I516" s="2">
        <v>44439</v>
      </c>
      <c r="J516" s="1">
        <v>17.28</v>
      </c>
      <c r="K516" s="4">
        <f t="shared" si="19"/>
        <v>747.23040000000003</v>
      </c>
      <c r="L516" s="4">
        <f t="shared" si="20"/>
        <v>3577.0196000000001</v>
      </c>
    </row>
    <row r="517" spans="1:12" x14ac:dyDescent="0.3">
      <c r="A517" s="1">
        <v>1515</v>
      </c>
      <c r="B517" s="2">
        <v>44823</v>
      </c>
      <c r="C517" s="1" t="s">
        <v>21</v>
      </c>
      <c r="D517" s="1" t="s">
        <v>11</v>
      </c>
      <c r="E517" s="1" t="s">
        <v>12</v>
      </c>
      <c r="F517" s="1">
        <v>1005.2</v>
      </c>
      <c r="G517" s="1" t="s">
        <v>286</v>
      </c>
      <c r="H517" s="2">
        <v>33430</v>
      </c>
      <c r="I517" s="2">
        <v>44828</v>
      </c>
      <c r="J517" s="1">
        <v>17.05</v>
      </c>
      <c r="K517" s="4">
        <f t="shared" si="19"/>
        <v>171.38660000000002</v>
      </c>
      <c r="L517" s="4">
        <f t="shared" si="20"/>
        <v>833.8134</v>
      </c>
    </row>
    <row r="518" spans="1:12" x14ac:dyDescent="0.3">
      <c r="A518" s="1">
        <v>1516</v>
      </c>
      <c r="B518" s="2">
        <v>45407</v>
      </c>
      <c r="C518" s="1" t="s">
        <v>35</v>
      </c>
      <c r="D518" s="1" t="s">
        <v>53</v>
      </c>
      <c r="E518" s="1" t="s">
        <v>28</v>
      </c>
      <c r="F518" s="1">
        <v>4842.41</v>
      </c>
      <c r="G518" s="1" t="s">
        <v>111</v>
      </c>
      <c r="H518" s="2">
        <v>34704</v>
      </c>
      <c r="I518" s="2">
        <v>45416</v>
      </c>
      <c r="J518" s="1">
        <v>30.21</v>
      </c>
      <c r="K518" s="4">
        <f t="shared" si="19"/>
        <v>1462.8920610000002</v>
      </c>
      <c r="L518" s="4">
        <f t="shared" si="20"/>
        <v>3379.5179389999994</v>
      </c>
    </row>
    <row r="519" spans="1:12" x14ac:dyDescent="0.3">
      <c r="A519" s="1">
        <v>1517</v>
      </c>
      <c r="B519" s="2">
        <v>45136</v>
      </c>
      <c r="C519" s="1" t="s">
        <v>10</v>
      </c>
      <c r="D519" s="1" t="s">
        <v>40</v>
      </c>
      <c r="E519" s="1" t="s">
        <v>16</v>
      </c>
      <c r="F519" s="1">
        <v>997.82</v>
      </c>
      <c r="G519" s="1" t="s">
        <v>141</v>
      </c>
      <c r="H519" s="2">
        <v>35559</v>
      </c>
      <c r="I519" s="2">
        <v>45144</v>
      </c>
      <c r="J519" s="1">
        <v>10.050000000000001</v>
      </c>
      <c r="K519" s="4">
        <f t="shared" si="19"/>
        <v>100.28091000000001</v>
      </c>
      <c r="L519" s="4">
        <f t="shared" si="20"/>
        <v>897.53908999999999</v>
      </c>
    </row>
    <row r="520" spans="1:12" x14ac:dyDescent="0.3">
      <c r="A520" s="1">
        <v>1518</v>
      </c>
      <c r="B520" s="2">
        <v>44854</v>
      </c>
      <c r="C520" s="1" t="s">
        <v>35</v>
      </c>
      <c r="D520" s="1" t="s">
        <v>73</v>
      </c>
      <c r="E520" s="1" t="s">
        <v>28</v>
      </c>
      <c r="F520" s="1">
        <v>1656.3</v>
      </c>
      <c r="G520" s="1" t="s">
        <v>287</v>
      </c>
      <c r="H520" s="2">
        <v>36329</v>
      </c>
      <c r="I520" s="2">
        <v>44867</v>
      </c>
      <c r="J520" s="1">
        <v>34.54</v>
      </c>
      <c r="K520" s="4">
        <f t="shared" si="19"/>
        <v>572.08601999999996</v>
      </c>
      <c r="L520" s="4">
        <f t="shared" si="20"/>
        <v>1084.21398</v>
      </c>
    </row>
    <row r="521" spans="1:12" x14ac:dyDescent="0.3">
      <c r="A521" s="1">
        <v>1519</v>
      </c>
      <c r="B521" s="2">
        <v>44420</v>
      </c>
      <c r="C521" s="1" t="s">
        <v>10</v>
      </c>
      <c r="D521" s="1" t="s">
        <v>49</v>
      </c>
      <c r="E521" s="1" t="s">
        <v>12</v>
      </c>
      <c r="F521" s="1">
        <v>3717.54</v>
      </c>
      <c r="G521" s="1" t="s">
        <v>197</v>
      </c>
      <c r="H521" s="2">
        <v>26001</v>
      </c>
      <c r="I521" s="2">
        <v>44430</v>
      </c>
      <c r="J521" s="1">
        <v>27.61</v>
      </c>
      <c r="K521" s="4">
        <f t="shared" si="19"/>
        <v>1026.4127940000001</v>
      </c>
      <c r="L521" s="4">
        <f t="shared" si="20"/>
        <v>2691.1272060000001</v>
      </c>
    </row>
    <row r="522" spans="1:12" x14ac:dyDescent="0.3">
      <c r="A522" s="1">
        <v>1520</v>
      </c>
      <c r="B522" s="2">
        <v>44433</v>
      </c>
      <c r="C522" s="1" t="s">
        <v>26</v>
      </c>
      <c r="D522" s="1" t="s">
        <v>22</v>
      </c>
      <c r="E522" s="1" t="s">
        <v>19</v>
      </c>
      <c r="F522" s="1">
        <v>2034.68</v>
      </c>
      <c r="G522" s="1" t="s">
        <v>112</v>
      </c>
      <c r="H522" s="2">
        <v>38171</v>
      </c>
      <c r="I522" s="2">
        <v>44443</v>
      </c>
      <c r="J522" s="1">
        <v>30.93</v>
      </c>
      <c r="K522" s="4">
        <f t="shared" si="19"/>
        <v>629.32652400000006</v>
      </c>
      <c r="L522" s="4">
        <f t="shared" si="20"/>
        <v>1405.353476</v>
      </c>
    </row>
    <row r="523" spans="1:12" x14ac:dyDescent="0.3">
      <c r="A523" s="1">
        <v>1521</v>
      </c>
      <c r="B523" s="2">
        <v>44931</v>
      </c>
      <c r="C523" s="1" t="s">
        <v>26</v>
      </c>
      <c r="D523" s="1" t="s">
        <v>73</v>
      </c>
      <c r="E523" s="1" t="s">
        <v>28</v>
      </c>
      <c r="F523" s="1">
        <v>1919.95</v>
      </c>
      <c r="G523" s="1" t="s">
        <v>288</v>
      </c>
      <c r="H523" s="2">
        <v>29810</v>
      </c>
      <c r="I523" s="2">
        <v>44934</v>
      </c>
      <c r="J523" s="1">
        <v>19.54</v>
      </c>
      <c r="K523" s="4">
        <f t="shared" si="19"/>
        <v>375.15823</v>
      </c>
      <c r="L523" s="4">
        <f t="shared" si="20"/>
        <v>1544.79177</v>
      </c>
    </row>
    <row r="524" spans="1:12" x14ac:dyDescent="0.3">
      <c r="A524" s="1">
        <v>1522</v>
      </c>
      <c r="B524" s="2">
        <v>44205</v>
      </c>
      <c r="C524" s="1" t="s">
        <v>35</v>
      </c>
      <c r="D524" s="1" t="s">
        <v>49</v>
      </c>
      <c r="E524" s="1" t="s">
        <v>12</v>
      </c>
      <c r="F524" s="1">
        <v>512.12</v>
      </c>
      <c r="G524" s="1" t="s">
        <v>289</v>
      </c>
      <c r="H524" s="2">
        <v>21923</v>
      </c>
      <c r="I524" s="2">
        <v>44219</v>
      </c>
      <c r="J524" s="1">
        <v>11.52</v>
      </c>
      <c r="K524" s="4">
        <f t="shared" si="19"/>
        <v>58.996223999999998</v>
      </c>
      <c r="L524" s="4">
        <f t="shared" si="20"/>
        <v>453.12377600000002</v>
      </c>
    </row>
    <row r="525" spans="1:12" x14ac:dyDescent="0.3">
      <c r="A525" s="1">
        <v>1523</v>
      </c>
      <c r="B525" s="2">
        <v>44336</v>
      </c>
      <c r="C525" s="1" t="s">
        <v>26</v>
      </c>
      <c r="D525" s="1" t="s">
        <v>38</v>
      </c>
      <c r="E525" s="1" t="s">
        <v>28</v>
      </c>
      <c r="F525" s="1">
        <v>4331.62</v>
      </c>
      <c r="G525" s="1" t="s">
        <v>169</v>
      </c>
      <c r="H525" s="2">
        <v>37894</v>
      </c>
      <c r="I525" s="2">
        <v>44338</v>
      </c>
      <c r="J525" s="1">
        <v>42.1</v>
      </c>
      <c r="K525" s="4">
        <f t="shared" si="19"/>
        <v>1823.61202</v>
      </c>
      <c r="L525" s="4">
        <f t="shared" si="20"/>
        <v>2508.0079799999999</v>
      </c>
    </row>
    <row r="526" spans="1:12" x14ac:dyDescent="0.3">
      <c r="A526" s="1">
        <v>1524</v>
      </c>
      <c r="B526" s="2">
        <v>45705</v>
      </c>
      <c r="C526" s="1" t="s">
        <v>21</v>
      </c>
      <c r="D526" s="1" t="s">
        <v>53</v>
      </c>
      <c r="E526" s="1" t="s">
        <v>28</v>
      </c>
      <c r="F526" s="1">
        <v>3743.49</v>
      </c>
      <c r="G526" s="1" t="s">
        <v>113</v>
      </c>
      <c r="H526" s="2">
        <v>25579</v>
      </c>
      <c r="I526" s="2">
        <v>45707</v>
      </c>
      <c r="J526" s="1">
        <v>41.5</v>
      </c>
      <c r="K526" s="4">
        <f t="shared" si="19"/>
        <v>1553.5483499999998</v>
      </c>
      <c r="L526" s="4">
        <f t="shared" si="20"/>
        <v>2189.9416499999998</v>
      </c>
    </row>
    <row r="527" spans="1:12" x14ac:dyDescent="0.3">
      <c r="A527" s="1">
        <v>1525</v>
      </c>
      <c r="B527" s="2">
        <v>44123</v>
      </c>
      <c r="C527" s="1" t="s">
        <v>35</v>
      </c>
      <c r="D527" s="1" t="s">
        <v>11</v>
      </c>
      <c r="E527" s="1" t="s">
        <v>12</v>
      </c>
      <c r="F527" s="1">
        <v>2623.35</v>
      </c>
      <c r="G527" s="1" t="s">
        <v>63</v>
      </c>
      <c r="H527" s="2">
        <v>25430</v>
      </c>
      <c r="I527" s="2">
        <v>44133</v>
      </c>
      <c r="J527" s="1">
        <v>33.46</v>
      </c>
      <c r="K527" s="4">
        <f t="shared" si="19"/>
        <v>877.77291000000002</v>
      </c>
      <c r="L527" s="4">
        <f t="shared" si="20"/>
        <v>1745.5770899999998</v>
      </c>
    </row>
    <row r="528" spans="1:12" x14ac:dyDescent="0.3">
      <c r="A528" s="1">
        <v>1526</v>
      </c>
      <c r="B528" s="2">
        <v>44476</v>
      </c>
      <c r="C528" s="1" t="s">
        <v>26</v>
      </c>
      <c r="D528" s="1" t="s">
        <v>27</v>
      </c>
      <c r="E528" s="1" t="s">
        <v>28</v>
      </c>
      <c r="F528" s="1">
        <v>651.98</v>
      </c>
      <c r="G528" s="1" t="s">
        <v>190</v>
      </c>
      <c r="H528" s="2">
        <v>33354</v>
      </c>
      <c r="I528" s="2">
        <v>44487</v>
      </c>
      <c r="J528" s="1">
        <v>41.88</v>
      </c>
      <c r="K528" s="4">
        <f t="shared" si="19"/>
        <v>273.04922400000004</v>
      </c>
      <c r="L528" s="4">
        <f t="shared" si="20"/>
        <v>378.93077599999998</v>
      </c>
    </row>
    <row r="529" spans="1:12" x14ac:dyDescent="0.3">
      <c r="A529" s="1">
        <v>1527</v>
      </c>
      <c r="B529" s="2">
        <v>44847</v>
      </c>
      <c r="C529" s="1" t="s">
        <v>26</v>
      </c>
      <c r="D529" s="1" t="s">
        <v>30</v>
      </c>
      <c r="E529" s="1" t="s">
        <v>31</v>
      </c>
      <c r="F529" s="1">
        <v>2401.7800000000002</v>
      </c>
      <c r="G529" s="1" t="s">
        <v>154</v>
      </c>
      <c r="H529" s="2">
        <v>32146</v>
      </c>
      <c r="I529" s="2">
        <v>44849</v>
      </c>
      <c r="J529" s="1">
        <v>21.01</v>
      </c>
      <c r="K529" s="4">
        <f t="shared" si="19"/>
        <v>504.61397800000009</v>
      </c>
      <c r="L529" s="4">
        <f t="shared" si="20"/>
        <v>1897.1660220000001</v>
      </c>
    </row>
    <row r="530" spans="1:12" x14ac:dyDescent="0.3">
      <c r="A530" s="1">
        <v>1528</v>
      </c>
      <c r="B530" s="2">
        <v>44800</v>
      </c>
      <c r="C530" s="1" t="s">
        <v>35</v>
      </c>
      <c r="D530" s="1" t="s">
        <v>15</v>
      </c>
      <c r="E530" s="1" t="s">
        <v>16</v>
      </c>
      <c r="F530" s="1">
        <v>4140.24</v>
      </c>
      <c r="G530" s="1" t="s">
        <v>290</v>
      </c>
      <c r="H530" s="2">
        <v>31764</v>
      </c>
      <c r="I530" s="2">
        <v>44810</v>
      </c>
      <c r="J530" s="1">
        <v>30.47</v>
      </c>
      <c r="K530" s="4">
        <f t="shared" si="19"/>
        <v>1261.5311279999999</v>
      </c>
      <c r="L530" s="4">
        <f t="shared" si="20"/>
        <v>2878.7088720000002</v>
      </c>
    </row>
    <row r="531" spans="1:12" x14ac:dyDescent="0.3">
      <c r="A531" s="1">
        <v>1529</v>
      </c>
      <c r="B531" s="2">
        <v>44511</v>
      </c>
      <c r="C531" s="1" t="s">
        <v>21</v>
      </c>
      <c r="D531" s="1" t="s">
        <v>30</v>
      </c>
      <c r="E531" s="1" t="s">
        <v>31</v>
      </c>
      <c r="F531" s="1">
        <v>620.05999999999995</v>
      </c>
      <c r="G531" s="1" t="s">
        <v>188</v>
      </c>
      <c r="H531" s="2">
        <v>31467</v>
      </c>
      <c r="I531" s="2">
        <v>44514</v>
      </c>
      <c r="J531" s="1">
        <v>43.35</v>
      </c>
      <c r="K531" s="4">
        <f t="shared" si="19"/>
        <v>268.79600999999997</v>
      </c>
      <c r="L531" s="4">
        <f t="shared" si="20"/>
        <v>351.26398999999998</v>
      </c>
    </row>
    <row r="532" spans="1:12" x14ac:dyDescent="0.3">
      <c r="A532" s="1">
        <v>1530</v>
      </c>
      <c r="B532" s="2">
        <v>44286</v>
      </c>
      <c r="C532" s="1" t="s">
        <v>26</v>
      </c>
      <c r="D532" s="1" t="s">
        <v>61</v>
      </c>
      <c r="E532" s="1" t="s">
        <v>19</v>
      </c>
      <c r="F532" s="1">
        <v>4265.28</v>
      </c>
      <c r="G532" s="1" t="s">
        <v>80</v>
      </c>
      <c r="H532" s="2">
        <v>31578</v>
      </c>
      <c r="I532" s="2">
        <v>44287</v>
      </c>
      <c r="J532" s="1">
        <v>41.11</v>
      </c>
      <c r="K532" s="4">
        <f t="shared" si="19"/>
        <v>1753.456608</v>
      </c>
      <c r="L532" s="4">
        <f t="shared" si="20"/>
        <v>2511.8233919999998</v>
      </c>
    </row>
    <row r="533" spans="1:12" x14ac:dyDescent="0.3">
      <c r="A533" s="1">
        <v>1531</v>
      </c>
      <c r="B533" s="2">
        <v>45495</v>
      </c>
      <c r="C533" s="1" t="s">
        <v>14</v>
      </c>
      <c r="D533" s="1" t="s">
        <v>36</v>
      </c>
      <c r="E533" s="1" t="s">
        <v>28</v>
      </c>
      <c r="F533" s="1">
        <v>1451.33</v>
      </c>
      <c r="G533" s="1" t="s">
        <v>149</v>
      </c>
      <c r="H533" s="2">
        <v>26155</v>
      </c>
      <c r="I533" s="2">
        <v>45498</v>
      </c>
      <c r="J533" s="1">
        <v>13.34</v>
      </c>
      <c r="K533" s="4">
        <f t="shared" si="19"/>
        <v>193.60742199999999</v>
      </c>
      <c r="L533" s="4">
        <f t="shared" si="20"/>
        <v>1257.7225779999999</v>
      </c>
    </row>
    <row r="534" spans="1:12" x14ac:dyDescent="0.3">
      <c r="A534" s="1">
        <v>1532</v>
      </c>
      <c r="B534" s="2">
        <v>44104</v>
      </c>
      <c r="C534" s="1" t="s">
        <v>26</v>
      </c>
      <c r="D534" s="1" t="s">
        <v>27</v>
      </c>
      <c r="E534" s="1" t="s">
        <v>28</v>
      </c>
      <c r="F534" s="1">
        <v>4840.1400000000003</v>
      </c>
      <c r="G534" s="1" t="s">
        <v>291</v>
      </c>
      <c r="H534" s="2">
        <v>36645</v>
      </c>
      <c r="I534" s="2">
        <v>44111</v>
      </c>
      <c r="J534" s="1">
        <v>37.380000000000003</v>
      </c>
      <c r="K534" s="4">
        <f t="shared" si="19"/>
        <v>1809.2443320000002</v>
      </c>
      <c r="L534" s="4">
        <f t="shared" si="20"/>
        <v>3030.8956680000001</v>
      </c>
    </row>
    <row r="535" spans="1:12" x14ac:dyDescent="0.3">
      <c r="A535" s="1">
        <v>1533</v>
      </c>
      <c r="B535" s="2">
        <v>45442</v>
      </c>
      <c r="C535" s="1" t="s">
        <v>10</v>
      </c>
      <c r="D535" s="1" t="s">
        <v>44</v>
      </c>
      <c r="E535" s="1" t="s">
        <v>16</v>
      </c>
      <c r="F535" s="1">
        <v>342.76</v>
      </c>
      <c r="G535" s="1" t="s">
        <v>224</v>
      </c>
      <c r="H535" s="2">
        <v>35405</v>
      </c>
      <c r="I535" s="2">
        <v>45450</v>
      </c>
      <c r="J535" s="1">
        <v>4.42</v>
      </c>
      <c r="K535" s="4">
        <f t="shared" si="19"/>
        <v>15.149991999999997</v>
      </c>
      <c r="L535" s="4">
        <f t="shared" si="20"/>
        <v>327.61000799999999</v>
      </c>
    </row>
    <row r="536" spans="1:12" x14ac:dyDescent="0.3">
      <c r="A536" s="1">
        <v>1534</v>
      </c>
      <c r="B536" s="2">
        <v>45712</v>
      </c>
      <c r="C536" s="1" t="s">
        <v>26</v>
      </c>
      <c r="D536" s="1" t="s">
        <v>88</v>
      </c>
      <c r="E536" s="1" t="s">
        <v>16</v>
      </c>
      <c r="F536" s="1">
        <v>344.01</v>
      </c>
      <c r="G536" s="1" t="s">
        <v>156</v>
      </c>
      <c r="H536" s="2">
        <v>38693</v>
      </c>
      <c r="I536" s="2">
        <v>45713</v>
      </c>
      <c r="J536" s="1">
        <v>49.39</v>
      </c>
      <c r="K536" s="4">
        <f t="shared" si="19"/>
        <v>169.90653900000001</v>
      </c>
      <c r="L536" s="4">
        <f t="shared" si="20"/>
        <v>174.10346099999998</v>
      </c>
    </row>
    <row r="537" spans="1:12" x14ac:dyDescent="0.3">
      <c r="A537" s="1">
        <v>1535</v>
      </c>
      <c r="B537" s="2">
        <v>45849</v>
      </c>
      <c r="C537" s="1" t="s">
        <v>26</v>
      </c>
      <c r="D537" s="1" t="s">
        <v>15</v>
      </c>
      <c r="E537" s="1" t="s">
        <v>16</v>
      </c>
      <c r="F537" s="1">
        <v>2039.1</v>
      </c>
      <c r="G537" s="1" t="s">
        <v>264</v>
      </c>
      <c r="H537" s="2">
        <v>30232</v>
      </c>
      <c r="I537" s="2">
        <v>45851</v>
      </c>
      <c r="J537" s="1">
        <v>27.95</v>
      </c>
      <c r="K537" s="4">
        <f t="shared" si="19"/>
        <v>569.92844999999988</v>
      </c>
      <c r="L537" s="4">
        <f t="shared" si="20"/>
        <v>1469.17155</v>
      </c>
    </row>
    <row r="538" spans="1:12" x14ac:dyDescent="0.3">
      <c r="A538" s="1">
        <v>1536</v>
      </c>
      <c r="B538" s="2">
        <v>44997</v>
      </c>
      <c r="C538" s="1" t="s">
        <v>10</v>
      </c>
      <c r="D538" s="1" t="s">
        <v>69</v>
      </c>
      <c r="E538" s="1" t="s">
        <v>31</v>
      </c>
      <c r="F538" s="1">
        <v>3137.31</v>
      </c>
      <c r="G538" s="1" t="s">
        <v>174</v>
      </c>
      <c r="H538" s="2">
        <v>38118</v>
      </c>
      <c r="I538" s="2">
        <v>45008</v>
      </c>
      <c r="J538" s="1">
        <v>43.28</v>
      </c>
      <c r="K538" s="4">
        <f t="shared" si="19"/>
        <v>1357.8277680000001</v>
      </c>
      <c r="L538" s="4">
        <f t="shared" si="20"/>
        <v>1779.4822319999998</v>
      </c>
    </row>
    <row r="539" spans="1:12" x14ac:dyDescent="0.3">
      <c r="A539" s="1">
        <v>1537</v>
      </c>
      <c r="B539" s="2">
        <v>45670</v>
      </c>
      <c r="C539" s="1" t="s">
        <v>21</v>
      </c>
      <c r="D539" s="1" t="s">
        <v>22</v>
      </c>
      <c r="E539" s="1" t="s">
        <v>19</v>
      </c>
      <c r="F539" s="1">
        <v>4731.1400000000003</v>
      </c>
      <c r="G539" s="1" t="s">
        <v>292</v>
      </c>
      <c r="H539" s="2">
        <v>27118</v>
      </c>
      <c r="I539" s="2">
        <v>45683</v>
      </c>
      <c r="J539" s="1">
        <v>4</v>
      </c>
      <c r="K539" s="4">
        <f t="shared" si="19"/>
        <v>189.24560000000002</v>
      </c>
      <c r="L539" s="4">
        <f t="shared" si="20"/>
        <v>4541.8944000000001</v>
      </c>
    </row>
    <row r="540" spans="1:12" x14ac:dyDescent="0.3">
      <c r="A540" s="1">
        <v>1538</v>
      </c>
      <c r="B540" s="2">
        <v>45003</v>
      </c>
      <c r="C540" s="1" t="s">
        <v>35</v>
      </c>
      <c r="D540" s="1" t="s">
        <v>36</v>
      </c>
      <c r="E540" s="1" t="s">
        <v>28</v>
      </c>
      <c r="F540" s="1">
        <v>4083.61</v>
      </c>
      <c r="G540" s="1" t="s">
        <v>293</v>
      </c>
      <c r="H540" s="2">
        <v>26379</v>
      </c>
      <c r="I540" s="2">
        <v>45017</v>
      </c>
      <c r="J540" s="1">
        <v>7.1</v>
      </c>
      <c r="K540" s="4">
        <f t="shared" si="19"/>
        <v>289.93630999999999</v>
      </c>
      <c r="L540" s="4">
        <f t="shared" si="20"/>
        <v>3793.6736900000001</v>
      </c>
    </row>
    <row r="541" spans="1:12" x14ac:dyDescent="0.3">
      <c r="A541" s="1">
        <v>1539</v>
      </c>
      <c r="B541" s="2">
        <v>44926</v>
      </c>
      <c r="C541" s="1" t="s">
        <v>21</v>
      </c>
      <c r="D541" s="1" t="s">
        <v>55</v>
      </c>
      <c r="E541" s="1" t="s">
        <v>31</v>
      </c>
      <c r="F541" s="1">
        <v>1595.77</v>
      </c>
      <c r="G541" s="1" t="s">
        <v>74</v>
      </c>
      <c r="H541" s="2">
        <v>31224</v>
      </c>
      <c r="I541" s="2">
        <v>44933</v>
      </c>
      <c r="J541" s="1">
        <v>47.83</v>
      </c>
      <c r="K541" s="4">
        <f t="shared" si="19"/>
        <v>763.25679100000002</v>
      </c>
      <c r="L541" s="4">
        <f t="shared" si="20"/>
        <v>832.51320899999996</v>
      </c>
    </row>
    <row r="542" spans="1:12" x14ac:dyDescent="0.3">
      <c r="A542" s="1">
        <v>1540</v>
      </c>
      <c r="B542" s="2">
        <v>44137</v>
      </c>
      <c r="C542" s="1" t="s">
        <v>26</v>
      </c>
      <c r="D542" s="1" t="s">
        <v>36</v>
      </c>
      <c r="E542" s="1" t="s">
        <v>28</v>
      </c>
      <c r="F542" s="1">
        <v>2078.6</v>
      </c>
      <c r="G542" s="1" t="s">
        <v>294</v>
      </c>
      <c r="H542" s="2">
        <v>36037</v>
      </c>
      <c r="I542" s="2">
        <v>44149</v>
      </c>
      <c r="J542" s="1">
        <v>41.62</v>
      </c>
      <c r="K542" s="4">
        <f t="shared" si="19"/>
        <v>865.11331999999993</v>
      </c>
      <c r="L542" s="4">
        <f t="shared" si="20"/>
        <v>1213.48668</v>
      </c>
    </row>
    <row r="543" spans="1:12" x14ac:dyDescent="0.3">
      <c r="A543" s="1">
        <v>1541</v>
      </c>
      <c r="B543" s="2">
        <v>45380</v>
      </c>
      <c r="C543" s="1" t="s">
        <v>21</v>
      </c>
      <c r="D543" s="1" t="s">
        <v>40</v>
      </c>
      <c r="E543" s="1" t="s">
        <v>16</v>
      </c>
      <c r="F543" s="1">
        <v>3053.54</v>
      </c>
      <c r="G543" s="1" t="s">
        <v>101</v>
      </c>
      <c r="H543" s="2">
        <v>31331</v>
      </c>
      <c r="I543" s="2">
        <v>45386</v>
      </c>
      <c r="J543" s="1">
        <v>0.66</v>
      </c>
      <c r="K543" s="4">
        <f t="shared" si="19"/>
        <v>20.153364</v>
      </c>
      <c r="L543" s="4">
        <f t="shared" si="20"/>
        <v>3033.3866360000002</v>
      </c>
    </row>
    <row r="544" spans="1:12" x14ac:dyDescent="0.3">
      <c r="A544" s="1">
        <v>1542</v>
      </c>
      <c r="B544" s="2">
        <v>44107</v>
      </c>
      <c r="C544" s="1" t="s">
        <v>35</v>
      </c>
      <c r="D544" s="1" t="s">
        <v>55</v>
      </c>
      <c r="E544" s="1" t="s">
        <v>31</v>
      </c>
      <c r="F544" s="1">
        <v>3842.31</v>
      </c>
      <c r="G544" s="1" t="s">
        <v>275</v>
      </c>
      <c r="H544" s="2">
        <v>38510</v>
      </c>
      <c r="I544" s="2">
        <v>44115</v>
      </c>
      <c r="J544" s="1">
        <v>7.26</v>
      </c>
      <c r="K544" s="4">
        <f t="shared" si="19"/>
        <v>278.951706</v>
      </c>
      <c r="L544" s="4">
        <f t="shared" si="20"/>
        <v>3563.3582940000001</v>
      </c>
    </row>
    <row r="545" spans="1:12" x14ac:dyDescent="0.3">
      <c r="A545" s="1">
        <v>1543</v>
      </c>
      <c r="B545" s="2">
        <v>45180</v>
      </c>
      <c r="C545" s="1" t="s">
        <v>26</v>
      </c>
      <c r="D545" s="1" t="s">
        <v>33</v>
      </c>
      <c r="E545" s="1" t="s">
        <v>16</v>
      </c>
      <c r="F545" s="1">
        <v>3234.76</v>
      </c>
      <c r="G545" s="1" t="s">
        <v>260</v>
      </c>
      <c r="H545" s="2">
        <v>38628</v>
      </c>
      <c r="I545" s="2">
        <v>45184</v>
      </c>
      <c r="J545" s="1">
        <v>43.21</v>
      </c>
      <c r="K545" s="4">
        <f t="shared" si="19"/>
        <v>1397.7397960000001</v>
      </c>
      <c r="L545" s="4">
        <f t="shared" si="20"/>
        <v>1837.0202040000001</v>
      </c>
    </row>
    <row r="546" spans="1:12" x14ac:dyDescent="0.3">
      <c r="A546" s="1">
        <v>1544</v>
      </c>
      <c r="B546" s="2">
        <v>45705</v>
      </c>
      <c r="C546" s="1" t="s">
        <v>35</v>
      </c>
      <c r="D546" s="1" t="s">
        <v>24</v>
      </c>
      <c r="E546" s="1" t="s">
        <v>19</v>
      </c>
      <c r="F546" s="1">
        <v>741.45</v>
      </c>
      <c r="G546" s="1" t="s">
        <v>246</v>
      </c>
      <c r="H546" s="2">
        <v>25815</v>
      </c>
      <c r="I546" s="2">
        <v>45711</v>
      </c>
      <c r="J546" s="1">
        <v>42.1</v>
      </c>
      <c r="K546" s="4">
        <f t="shared" si="19"/>
        <v>312.15045000000003</v>
      </c>
      <c r="L546" s="4">
        <f t="shared" si="20"/>
        <v>429.29955000000001</v>
      </c>
    </row>
    <row r="547" spans="1:12" x14ac:dyDescent="0.3">
      <c r="A547" s="1">
        <v>1545</v>
      </c>
      <c r="B547" s="2">
        <v>44914</v>
      </c>
      <c r="C547" s="1" t="s">
        <v>10</v>
      </c>
      <c r="D547" s="1" t="s">
        <v>15</v>
      </c>
      <c r="E547" s="1" t="s">
        <v>16</v>
      </c>
      <c r="F547" s="1">
        <v>758.42</v>
      </c>
      <c r="G547" s="1" t="s">
        <v>268</v>
      </c>
      <c r="H547" s="2">
        <v>25103</v>
      </c>
      <c r="I547" s="2">
        <v>44918</v>
      </c>
      <c r="J547" s="1">
        <v>29.58</v>
      </c>
      <c r="K547" s="4">
        <f t="shared" si="19"/>
        <v>224.34063599999999</v>
      </c>
      <c r="L547" s="4">
        <f t="shared" si="20"/>
        <v>534.07936399999994</v>
      </c>
    </row>
    <row r="548" spans="1:12" x14ac:dyDescent="0.3">
      <c r="A548" s="1">
        <v>1546</v>
      </c>
      <c r="B548" s="2">
        <v>45115</v>
      </c>
      <c r="C548" s="1" t="s">
        <v>10</v>
      </c>
      <c r="D548" s="1" t="s">
        <v>65</v>
      </c>
      <c r="E548" s="1" t="s">
        <v>19</v>
      </c>
      <c r="F548" s="1">
        <v>2231.37</v>
      </c>
      <c r="G548" s="1" t="s">
        <v>43</v>
      </c>
      <c r="H548" s="2">
        <v>30054</v>
      </c>
      <c r="I548" s="2">
        <v>45119</v>
      </c>
      <c r="J548" s="1">
        <v>27.76</v>
      </c>
      <c r="K548" s="4">
        <f t="shared" si="19"/>
        <v>619.42831200000001</v>
      </c>
      <c r="L548" s="4">
        <f t="shared" si="20"/>
        <v>1611.9416879999999</v>
      </c>
    </row>
    <row r="549" spans="1:12" x14ac:dyDescent="0.3">
      <c r="A549" s="1">
        <v>1547</v>
      </c>
      <c r="B549" s="2">
        <v>44852</v>
      </c>
      <c r="C549" s="1" t="s">
        <v>21</v>
      </c>
      <c r="D549" s="1" t="s">
        <v>49</v>
      </c>
      <c r="E549" s="1" t="s">
        <v>12</v>
      </c>
      <c r="F549" s="1">
        <v>3146.45</v>
      </c>
      <c r="G549" s="1" t="s">
        <v>260</v>
      </c>
      <c r="H549" s="2">
        <v>38628</v>
      </c>
      <c r="I549" s="2">
        <v>44856</v>
      </c>
      <c r="J549" s="1">
        <v>22.43</v>
      </c>
      <c r="K549" s="4">
        <f t="shared" si="19"/>
        <v>705.74873500000001</v>
      </c>
      <c r="L549" s="4">
        <f t="shared" si="20"/>
        <v>2440.7012649999997</v>
      </c>
    </row>
    <row r="550" spans="1:12" x14ac:dyDescent="0.3">
      <c r="A550" s="1">
        <v>1548</v>
      </c>
      <c r="B550" s="2">
        <v>45135</v>
      </c>
      <c r="C550" s="1" t="s">
        <v>10</v>
      </c>
      <c r="D550" s="1" t="s">
        <v>47</v>
      </c>
      <c r="E550" s="1" t="s">
        <v>12</v>
      </c>
      <c r="F550" s="1">
        <v>2867.29</v>
      </c>
      <c r="G550" s="1" t="s">
        <v>238</v>
      </c>
      <c r="H550" s="2">
        <v>31880</v>
      </c>
      <c r="I550" s="2">
        <v>45144</v>
      </c>
      <c r="J550" s="1">
        <v>27.85</v>
      </c>
      <c r="K550" s="4">
        <f t="shared" si="19"/>
        <v>798.54026500000009</v>
      </c>
      <c r="L550" s="4">
        <f t="shared" si="20"/>
        <v>2068.7497349999999</v>
      </c>
    </row>
    <row r="551" spans="1:12" x14ac:dyDescent="0.3">
      <c r="A551" s="1">
        <v>1549</v>
      </c>
      <c r="B551" s="2">
        <v>45554</v>
      </c>
      <c r="C551" s="1" t="s">
        <v>10</v>
      </c>
      <c r="D551" s="1" t="s">
        <v>69</v>
      </c>
      <c r="E551" s="1" t="s">
        <v>31</v>
      </c>
      <c r="F551" s="1">
        <v>3780.34</v>
      </c>
      <c r="G551" s="1" t="s">
        <v>80</v>
      </c>
      <c r="H551" s="2">
        <v>31578</v>
      </c>
      <c r="I551" s="2">
        <v>45562</v>
      </c>
      <c r="J551" s="1">
        <v>24.49</v>
      </c>
      <c r="K551" s="4">
        <f t="shared" si="19"/>
        <v>925.80526599999996</v>
      </c>
      <c r="L551" s="4">
        <f t="shared" si="20"/>
        <v>2854.5347340000003</v>
      </c>
    </row>
    <row r="552" spans="1:12" x14ac:dyDescent="0.3">
      <c r="A552" s="1">
        <v>1550</v>
      </c>
      <c r="B552" s="2">
        <v>44477</v>
      </c>
      <c r="C552" s="1" t="s">
        <v>21</v>
      </c>
      <c r="D552" s="1" t="s">
        <v>11</v>
      </c>
      <c r="E552" s="1" t="s">
        <v>12</v>
      </c>
      <c r="F552" s="1">
        <v>710.65</v>
      </c>
      <c r="G552" s="1" t="s">
        <v>151</v>
      </c>
      <c r="H552" s="2">
        <v>34427</v>
      </c>
      <c r="I552" s="2">
        <v>44489</v>
      </c>
      <c r="J552" s="1">
        <v>37.58</v>
      </c>
      <c r="K552" s="4">
        <f t="shared" si="19"/>
        <v>267.06226999999996</v>
      </c>
      <c r="L552" s="4">
        <f t="shared" si="20"/>
        <v>443.58773000000002</v>
      </c>
    </row>
    <row r="553" spans="1:12" x14ac:dyDescent="0.3">
      <c r="A553" s="1">
        <v>1551</v>
      </c>
      <c r="B553" s="2">
        <v>45270</v>
      </c>
      <c r="C553" s="1" t="s">
        <v>35</v>
      </c>
      <c r="D553" s="1" t="s">
        <v>24</v>
      </c>
      <c r="E553" s="1" t="s">
        <v>19</v>
      </c>
      <c r="F553" s="1">
        <v>2344.4299999999998</v>
      </c>
      <c r="G553" s="1" t="s">
        <v>135</v>
      </c>
      <c r="H553" s="2">
        <v>38018</v>
      </c>
      <c r="I553" s="2">
        <v>45273</v>
      </c>
      <c r="J553" s="1">
        <v>39.96</v>
      </c>
      <c r="K553" s="4">
        <f t="shared" si="19"/>
        <v>936.83422799999994</v>
      </c>
      <c r="L553" s="4">
        <f t="shared" si="20"/>
        <v>1407.5957719999999</v>
      </c>
    </row>
    <row r="554" spans="1:12" x14ac:dyDescent="0.3">
      <c r="A554" s="1">
        <v>1552</v>
      </c>
      <c r="B554" s="2">
        <v>45467</v>
      </c>
      <c r="C554" s="1" t="s">
        <v>35</v>
      </c>
      <c r="D554" s="1" t="s">
        <v>73</v>
      </c>
      <c r="E554" s="1" t="s">
        <v>28</v>
      </c>
      <c r="F554" s="1">
        <v>1735.59</v>
      </c>
      <c r="G554" s="1" t="s">
        <v>168</v>
      </c>
      <c r="H554" s="2">
        <v>37674</v>
      </c>
      <c r="I554" s="2">
        <v>45481</v>
      </c>
      <c r="J554" s="1">
        <v>35.090000000000003</v>
      </c>
      <c r="K554" s="4">
        <f t="shared" si="19"/>
        <v>609.01853100000005</v>
      </c>
      <c r="L554" s="4">
        <f t="shared" si="20"/>
        <v>1126.571469</v>
      </c>
    </row>
    <row r="555" spans="1:12" x14ac:dyDescent="0.3">
      <c r="A555" s="1">
        <v>1553</v>
      </c>
      <c r="B555" s="2">
        <v>44373</v>
      </c>
      <c r="C555" s="1" t="s">
        <v>26</v>
      </c>
      <c r="D555" s="1" t="s">
        <v>44</v>
      </c>
      <c r="E555" s="1" t="s">
        <v>16</v>
      </c>
      <c r="F555" s="1">
        <v>2287.91</v>
      </c>
      <c r="G555" s="1" t="s">
        <v>115</v>
      </c>
      <c r="H555" s="2">
        <v>29486</v>
      </c>
      <c r="I555" s="2">
        <v>44377</v>
      </c>
      <c r="J555" s="1">
        <v>26.95</v>
      </c>
      <c r="K555" s="4">
        <f t="shared" si="19"/>
        <v>616.59174499999995</v>
      </c>
      <c r="L555" s="4">
        <f t="shared" si="20"/>
        <v>1671.3182549999999</v>
      </c>
    </row>
    <row r="556" spans="1:12" x14ac:dyDescent="0.3">
      <c r="A556" s="1">
        <v>1554</v>
      </c>
      <c r="B556" s="2">
        <v>44493</v>
      </c>
      <c r="C556" s="1" t="s">
        <v>21</v>
      </c>
      <c r="D556" s="1" t="s">
        <v>49</v>
      </c>
      <c r="E556" s="1" t="s">
        <v>12</v>
      </c>
      <c r="F556" s="1">
        <v>1994.35</v>
      </c>
      <c r="G556" s="1" t="s">
        <v>175</v>
      </c>
      <c r="H556" s="2">
        <v>36623</v>
      </c>
      <c r="I556" s="2">
        <v>44502</v>
      </c>
      <c r="J556" s="1">
        <v>19.809999999999999</v>
      </c>
      <c r="K556" s="4">
        <f t="shared" si="19"/>
        <v>395.080735</v>
      </c>
      <c r="L556" s="4">
        <f t="shared" si="20"/>
        <v>1599.2692649999999</v>
      </c>
    </row>
    <row r="557" spans="1:12" x14ac:dyDescent="0.3">
      <c r="A557" s="1">
        <v>1555</v>
      </c>
      <c r="B557" s="2">
        <v>45185</v>
      </c>
      <c r="C557" s="1" t="s">
        <v>26</v>
      </c>
      <c r="D557" s="1" t="s">
        <v>53</v>
      </c>
      <c r="E557" s="1" t="s">
        <v>28</v>
      </c>
      <c r="F557" s="1">
        <v>1096.3800000000001</v>
      </c>
      <c r="G557" s="1" t="s">
        <v>87</v>
      </c>
      <c r="H557" s="2">
        <v>36012</v>
      </c>
      <c r="I557" s="2">
        <v>45195</v>
      </c>
      <c r="J557" s="1">
        <v>6.24</v>
      </c>
      <c r="K557" s="4">
        <f t="shared" si="19"/>
        <v>68.414112000000017</v>
      </c>
      <c r="L557" s="4">
        <f t="shared" si="20"/>
        <v>1027.9658880000002</v>
      </c>
    </row>
    <row r="558" spans="1:12" x14ac:dyDescent="0.3">
      <c r="A558" s="1">
        <v>1556</v>
      </c>
      <c r="B558" s="2">
        <v>44847</v>
      </c>
      <c r="C558" s="1" t="s">
        <v>14</v>
      </c>
      <c r="D558" s="1" t="s">
        <v>55</v>
      </c>
      <c r="E558" s="1" t="s">
        <v>31</v>
      </c>
      <c r="F558" s="1">
        <v>441.91</v>
      </c>
      <c r="G558" s="1" t="s">
        <v>271</v>
      </c>
      <c r="H558" s="2">
        <v>22796</v>
      </c>
      <c r="I558" s="2">
        <v>44861</v>
      </c>
      <c r="J558" s="1">
        <v>19.23</v>
      </c>
      <c r="K558" s="4">
        <f t="shared" si="19"/>
        <v>84.979292999999998</v>
      </c>
      <c r="L558" s="4">
        <f t="shared" si="20"/>
        <v>356.93070700000004</v>
      </c>
    </row>
    <row r="559" spans="1:12" x14ac:dyDescent="0.3">
      <c r="A559" s="1">
        <v>1557</v>
      </c>
      <c r="B559" s="2">
        <v>45717</v>
      </c>
      <c r="C559" s="1" t="s">
        <v>14</v>
      </c>
      <c r="D559" s="1" t="s">
        <v>47</v>
      </c>
      <c r="E559" s="1" t="s">
        <v>12</v>
      </c>
      <c r="F559" s="1">
        <v>4784.0600000000004</v>
      </c>
      <c r="G559" s="1" t="s">
        <v>244</v>
      </c>
      <c r="H559" s="2">
        <v>30356</v>
      </c>
      <c r="I559" s="2">
        <v>45729</v>
      </c>
      <c r="J559" s="1">
        <v>23.56</v>
      </c>
      <c r="K559" s="4">
        <f t="shared" si="19"/>
        <v>1127.124536</v>
      </c>
      <c r="L559" s="4">
        <f t="shared" si="20"/>
        <v>3656.9354640000001</v>
      </c>
    </row>
    <row r="560" spans="1:12" x14ac:dyDescent="0.3">
      <c r="A560" s="1">
        <v>1558</v>
      </c>
      <c r="B560" s="2">
        <v>44837</v>
      </c>
      <c r="C560" s="1" t="s">
        <v>21</v>
      </c>
      <c r="D560" s="1" t="s">
        <v>38</v>
      </c>
      <c r="E560" s="1" t="s">
        <v>28</v>
      </c>
      <c r="F560" s="1">
        <v>930.18</v>
      </c>
      <c r="G560" s="1" t="s">
        <v>97</v>
      </c>
      <c r="H560" s="2">
        <v>24706</v>
      </c>
      <c r="I560" s="2">
        <v>44842</v>
      </c>
      <c r="J560" s="1">
        <v>23.94</v>
      </c>
      <c r="K560" s="4">
        <f t="shared" si="19"/>
        <v>222.685092</v>
      </c>
      <c r="L560" s="4">
        <f t="shared" si="20"/>
        <v>707.4949079999999</v>
      </c>
    </row>
    <row r="561" spans="1:12" x14ac:dyDescent="0.3">
      <c r="A561" s="1">
        <v>1559</v>
      </c>
      <c r="B561" s="2">
        <v>44310</v>
      </c>
      <c r="C561" s="1" t="s">
        <v>26</v>
      </c>
      <c r="D561" s="1" t="s">
        <v>73</v>
      </c>
      <c r="E561" s="1" t="s">
        <v>28</v>
      </c>
      <c r="F561" s="1">
        <v>2973.2</v>
      </c>
      <c r="G561" s="1" t="s">
        <v>93</v>
      </c>
      <c r="H561" s="2">
        <v>33984</v>
      </c>
      <c r="I561" s="2">
        <v>44312</v>
      </c>
      <c r="J561" s="1">
        <v>43.08</v>
      </c>
      <c r="K561" s="4">
        <f t="shared" si="19"/>
        <v>1280.8545599999998</v>
      </c>
      <c r="L561" s="4">
        <f t="shared" si="20"/>
        <v>1692.3454400000001</v>
      </c>
    </row>
    <row r="562" spans="1:12" x14ac:dyDescent="0.3">
      <c r="A562" s="1">
        <v>1560</v>
      </c>
      <c r="B562" s="2">
        <v>44451</v>
      </c>
      <c r="C562" s="1" t="s">
        <v>10</v>
      </c>
      <c r="D562" s="1" t="s">
        <v>65</v>
      </c>
      <c r="E562" s="1" t="s">
        <v>19</v>
      </c>
      <c r="F562" s="1">
        <v>1662.62</v>
      </c>
      <c r="G562" s="1" t="s">
        <v>295</v>
      </c>
      <c r="H562" s="2">
        <v>23369</v>
      </c>
      <c r="I562" s="2">
        <v>44454</v>
      </c>
      <c r="J562" s="1">
        <v>44.39</v>
      </c>
      <c r="K562" s="4">
        <f t="shared" si="19"/>
        <v>738.03701799999999</v>
      </c>
      <c r="L562" s="4">
        <f t="shared" si="20"/>
        <v>924.5829819999999</v>
      </c>
    </row>
    <row r="563" spans="1:12" x14ac:dyDescent="0.3">
      <c r="A563" s="1">
        <v>1561</v>
      </c>
      <c r="B563" s="2">
        <v>44315</v>
      </c>
      <c r="C563" s="1" t="s">
        <v>26</v>
      </c>
      <c r="D563" s="1" t="s">
        <v>27</v>
      </c>
      <c r="E563" s="1" t="s">
        <v>28</v>
      </c>
      <c r="F563" s="1">
        <v>4446.5200000000004</v>
      </c>
      <c r="G563" s="1" t="s">
        <v>226</v>
      </c>
      <c r="H563" s="2">
        <v>33332</v>
      </c>
      <c r="I563" s="2">
        <v>44318</v>
      </c>
      <c r="J563" s="1">
        <v>11.97</v>
      </c>
      <c r="K563" s="4">
        <f t="shared" si="19"/>
        <v>532.24844400000006</v>
      </c>
      <c r="L563" s="4">
        <f t="shared" si="20"/>
        <v>3914.2715560000006</v>
      </c>
    </row>
    <row r="564" spans="1:12" x14ac:dyDescent="0.3">
      <c r="A564" s="1">
        <v>1562</v>
      </c>
      <c r="B564" s="2">
        <v>44212</v>
      </c>
      <c r="C564" s="1" t="s">
        <v>21</v>
      </c>
      <c r="D564" s="1" t="s">
        <v>22</v>
      </c>
      <c r="E564" s="1" t="s">
        <v>19</v>
      </c>
      <c r="F564" s="1">
        <v>4265.46</v>
      </c>
      <c r="G564" s="1" t="s">
        <v>192</v>
      </c>
      <c r="H564" s="2">
        <v>33626</v>
      </c>
      <c r="I564" s="2">
        <v>44223</v>
      </c>
      <c r="J564" s="1">
        <v>0.21</v>
      </c>
      <c r="K564" s="4">
        <f t="shared" si="19"/>
        <v>8.9574660000000002</v>
      </c>
      <c r="L564" s="4">
        <f t="shared" si="20"/>
        <v>4256.5025340000002</v>
      </c>
    </row>
    <row r="565" spans="1:12" x14ac:dyDescent="0.3">
      <c r="A565" s="1">
        <v>1563</v>
      </c>
      <c r="B565" s="2">
        <v>44096</v>
      </c>
      <c r="C565" s="1" t="s">
        <v>10</v>
      </c>
      <c r="D565" s="1" t="s">
        <v>53</v>
      </c>
      <c r="E565" s="1" t="s">
        <v>28</v>
      </c>
      <c r="F565" s="1">
        <v>3498</v>
      </c>
      <c r="G565" s="1" t="s">
        <v>123</v>
      </c>
      <c r="H565" s="2">
        <v>36120</v>
      </c>
      <c r="I565" s="2">
        <v>44109</v>
      </c>
      <c r="J565" s="1">
        <v>36.71</v>
      </c>
      <c r="K565" s="4">
        <f t="shared" si="19"/>
        <v>1284.1158</v>
      </c>
      <c r="L565" s="4">
        <f t="shared" si="20"/>
        <v>2213.8842</v>
      </c>
    </row>
    <row r="566" spans="1:12" x14ac:dyDescent="0.3">
      <c r="A566" s="1">
        <v>1564</v>
      </c>
      <c r="B566" s="2">
        <v>44837</v>
      </c>
      <c r="C566" s="1" t="s">
        <v>14</v>
      </c>
      <c r="D566" s="1" t="s">
        <v>88</v>
      </c>
      <c r="E566" s="1" t="s">
        <v>16</v>
      </c>
      <c r="F566" s="1">
        <v>1713.91</v>
      </c>
      <c r="G566" s="1" t="s">
        <v>56</v>
      </c>
      <c r="H566" s="2">
        <v>25712</v>
      </c>
      <c r="I566" s="2">
        <v>44841</v>
      </c>
      <c r="J566" s="1">
        <v>23.44</v>
      </c>
      <c r="K566" s="4">
        <f t="shared" si="19"/>
        <v>401.74050400000004</v>
      </c>
      <c r="L566" s="4">
        <f t="shared" si="20"/>
        <v>1312.169496</v>
      </c>
    </row>
    <row r="567" spans="1:12" x14ac:dyDescent="0.3">
      <c r="A567" s="1">
        <v>1565</v>
      </c>
      <c r="B567" s="2">
        <v>44649</v>
      </c>
      <c r="C567" s="1" t="s">
        <v>21</v>
      </c>
      <c r="D567" s="1" t="s">
        <v>27</v>
      </c>
      <c r="E567" s="1" t="s">
        <v>28</v>
      </c>
      <c r="F567" s="1">
        <v>4205.53</v>
      </c>
      <c r="G567" s="1" t="s">
        <v>60</v>
      </c>
      <c r="H567" s="2">
        <v>33482</v>
      </c>
      <c r="I567" s="2">
        <v>44660</v>
      </c>
      <c r="J567" s="1">
        <v>33.07</v>
      </c>
      <c r="K567" s="4">
        <f t="shared" si="19"/>
        <v>1390.7687709999998</v>
      </c>
      <c r="L567" s="4">
        <f t="shared" si="20"/>
        <v>2814.7612289999997</v>
      </c>
    </row>
    <row r="568" spans="1:12" x14ac:dyDescent="0.3">
      <c r="A568" s="1">
        <v>1566</v>
      </c>
      <c r="B568" s="2">
        <v>45022</v>
      </c>
      <c r="C568" s="1" t="s">
        <v>10</v>
      </c>
      <c r="D568" s="1" t="s">
        <v>27</v>
      </c>
      <c r="E568" s="1" t="s">
        <v>28</v>
      </c>
      <c r="F568" s="1">
        <v>1608.38</v>
      </c>
      <c r="G568" s="1" t="s">
        <v>296</v>
      </c>
      <c r="H568" s="2">
        <v>39045</v>
      </c>
      <c r="I568" s="2">
        <v>45029</v>
      </c>
      <c r="J568" s="1">
        <v>11.05</v>
      </c>
      <c r="K568" s="4">
        <f t="shared" si="19"/>
        <v>177.72599000000002</v>
      </c>
      <c r="L568" s="4">
        <f t="shared" si="20"/>
        <v>1430.6540100000002</v>
      </c>
    </row>
    <row r="569" spans="1:12" x14ac:dyDescent="0.3">
      <c r="A569" s="1">
        <v>1567</v>
      </c>
      <c r="B569" s="2">
        <v>44130</v>
      </c>
      <c r="C569" s="1" t="s">
        <v>35</v>
      </c>
      <c r="D569" s="1" t="s">
        <v>71</v>
      </c>
      <c r="E569" s="1" t="s">
        <v>31</v>
      </c>
      <c r="F569" s="1">
        <v>4057.09</v>
      </c>
      <c r="G569" s="1" t="s">
        <v>238</v>
      </c>
      <c r="H569" s="2">
        <v>31880</v>
      </c>
      <c r="I569" s="2">
        <v>44137</v>
      </c>
      <c r="J569" s="1">
        <v>10.09</v>
      </c>
      <c r="K569" s="4">
        <f t="shared" si="19"/>
        <v>409.36038100000002</v>
      </c>
      <c r="L569" s="4">
        <f t="shared" si="20"/>
        <v>3647.7296190000002</v>
      </c>
    </row>
    <row r="570" spans="1:12" x14ac:dyDescent="0.3">
      <c r="A570" s="1">
        <v>1568</v>
      </c>
      <c r="B570" s="2">
        <v>45202</v>
      </c>
      <c r="C570" s="1" t="s">
        <v>10</v>
      </c>
      <c r="D570" s="1" t="s">
        <v>49</v>
      </c>
      <c r="E570" s="1" t="s">
        <v>12</v>
      </c>
      <c r="F570" s="1">
        <v>4062.14</v>
      </c>
      <c r="G570" s="1" t="s">
        <v>268</v>
      </c>
      <c r="H570" s="2">
        <v>25103</v>
      </c>
      <c r="I570" s="2">
        <v>45205</v>
      </c>
      <c r="J570" s="1">
        <v>46.2</v>
      </c>
      <c r="K570" s="4">
        <f t="shared" si="19"/>
        <v>1876.70868</v>
      </c>
      <c r="L570" s="4">
        <f t="shared" si="20"/>
        <v>2185.4313199999997</v>
      </c>
    </row>
    <row r="571" spans="1:12" x14ac:dyDescent="0.3">
      <c r="A571" s="1">
        <v>1569</v>
      </c>
      <c r="B571" s="2">
        <v>45147</v>
      </c>
      <c r="C571" s="1" t="s">
        <v>26</v>
      </c>
      <c r="D571" s="1" t="s">
        <v>38</v>
      </c>
      <c r="E571" s="1" t="s">
        <v>28</v>
      </c>
      <c r="F571" s="1">
        <v>3171.39</v>
      </c>
      <c r="G571" s="1" t="s">
        <v>297</v>
      </c>
      <c r="H571" s="2">
        <v>35410</v>
      </c>
      <c r="I571" s="2">
        <v>45153</v>
      </c>
      <c r="J571" s="1">
        <v>25.58</v>
      </c>
      <c r="K571" s="4">
        <f t="shared" si="19"/>
        <v>811.24156199999993</v>
      </c>
      <c r="L571" s="4">
        <f t="shared" si="20"/>
        <v>2360.1484380000002</v>
      </c>
    </row>
    <row r="572" spans="1:12" x14ac:dyDescent="0.3">
      <c r="A572" s="1">
        <v>1570</v>
      </c>
      <c r="B572" s="2">
        <v>45406</v>
      </c>
      <c r="C572" s="1" t="s">
        <v>26</v>
      </c>
      <c r="D572" s="1" t="s">
        <v>58</v>
      </c>
      <c r="E572" s="1" t="s">
        <v>31</v>
      </c>
      <c r="F572" s="1">
        <v>2853.87</v>
      </c>
      <c r="G572" s="1" t="s">
        <v>298</v>
      </c>
      <c r="H572" s="2">
        <v>30410</v>
      </c>
      <c r="I572" s="2">
        <v>45411</v>
      </c>
      <c r="J572" s="1">
        <v>13.21</v>
      </c>
      <c r="K572" s="4">
        <f t="shared" si="19"/>
        <v>376.99622699999998</v>
      </c>
      <c r="L572" s="4">
        <f t="shared" si="20"/>
        <v>2476.8737729999998</v>
      </c>
    </row>
    <row r="573" spans="1:12" x14ac:dyDescent="0.3">
      <c r="A573" s="1">
        <v>1571</v>
      </c>
      <c r="B573" s="2">
        <v>44079</v>
      </c>
      <c r="C573" s="1" t="s">
        <v>10</v>
      </c>
      <c r="D573" s="1" t="s">
        <v>44</v>
      </c>
      <c r="E573" s="1" t="s">
        <v>16</v>
      </c>
      <c r="F573" s="1">
        <v>4690.1099999999997</v>
      </c>
      <c r="G573" s="1" t="s">
        <v>118</v>
      </c>
      <c r="H573" s="2">
        <v>22599</v>
      </c>
      <c r="I573" s="2">
        <v>44082</v>
      </c>
      <c r="J573" s="1">
        <v>11.39</v>
      </c>
      <c r="K573" s="4">
        <f t="shared" si="19"/>
        <v>534.203529</v>
      </c>
      <c r="L573" s="4">
        <f t="shared" si="20"/>
        <v>4155.9064709999993</v>
      </c>
    </row>
    <row r="574" spans="1:12" x14ac:dyDescent="0.3">
      <c r="A574" s="1">
        <v>1572</v>
      </c>
      <c r="B574" s="2">
        <v>44528</v>
      </c>
      <c r="C574" s="1" t="s">
        <v>35</v>
      </c>
      <c r="D574" s="1" t="s">
        <v>15</v>
      </c>
      <c r="E574" s="1" t="s">
        <v>16</v>
      </c>
      <c r="F574" s="1">
        <v>381.09</v>
      </c>
      <c r="G574" s="1" t="s">
        <v>297</v>
      </c>
      <c r="H574" s="2">
        <v>35410</v>
      </c>
      <c r="I574" s="2">
        <v>44529</v>
      </c>
      <c r="J574" s="1">
        <v>23.63</v>
      </c>
      <c r="K574" s="4">
        <f t="shared" si="19"/>
        <v>90.051566999999991</v>
      </c>
      <c r="L574" s="4">
        <f t="shared" si="20"/>
        <v>291.038433</v>
      </c>
    </row>
    <row r="575" spans="1:12" x14ac:dyDescent="0.3">
      <c r="A575" s="1">
        <v>1573</v>
      </c>
      <c r="B575" s="2">
        <v>45595</v>
      </c>
      <c r="C575" s="1" t="s">
        <v>35</v>
      </c>
      <c r="D575" s="1" t="s">
        <v>40</v>
      </c>
      <c r="E575" s="1" t="s">
        <v>16</v>
      </c>
      <c r="F575" s="1">
        <v>3658.88</v>
      </c>
      <c r="G575" s="1" t="s">
        <v>121</v>
      </c>
      <c r="H575" s="2">
        <v>24580</v>
      </c>
      <c r="I575" s="2">
        <v>45598</v>
      </c>
      <c r="J575" s="1">
        <v>30.79</v>
      </c>
      <c r="K575" s="4">
        <f t="shared" si="19"/>
        <v>1126.569152</v>
      </c>
      <c r="L575" s="4">
        <f t="shared" si="20"/>
        <v>2532.3108480000001</v>
      </c>
    </row>
    <row r="576" spans="1:12" x14ac:dyDescent="0.3">
      <c r="A576" s="1">
        <v>1574</v>
      </c>
      <c r="B576" s="2">
        <v>44420</v>
      </c>
      <c r="C576" s="1" t="s">
        <v>14</v>
      </c>
      <c r="D576" s="1" t="s">
        <v>36</v>
      </c>
      <c r="E576" s="1" t="s">
        <v>28</v>
      </c>
      <c r="F576" s="1">
        <v>3509.16</v>
      </c>
      <c r="G576" s="1" t="s">
        <v>91</v>
      </c>
      <c r="H576" s="2">
        <v>34220</v>
      </c>
      <c r="I576" s="2">
        <v>44431</v>
      </c>
      <c r="J576" s="1">
        <v>45.18</v>
      </c>
      <c r="K576" s="4">
        <f t="shared" si="19"/>
        <v>1585.4384879999998</v>
      </c>
      <c r="L576" s="4">
        <f t="shared" si="20"/>
        <v>1923.7215120000001</v>
      </c>
    </row>
    <row r="577" spans="1:12" x14ac:dyDescent="0.3">
      <c r="A577" s="1">
        <v>1575</v>
      </c>
      <c r="B577" s="2">
        <v>44274</v>
      </c>
      <c r="C577" s="1" t="s">
        <v>26</v>
      </c>
      <c r="D577" s="1" t="s">
        <v>30</v>
      </c>
      <c r="E577" s="1" t="s">
        <v>31</v>
      </c>
      <c r="F577" s="1">
        <v>800.68</v>
      </c>
      <c r="G577" s="1" t="s">
        <v>196</v>
      </c>
      <c r="H577" s="2">
        <v>26300</v>
      </c>
      <c r="I577" s="2">
        <v>44275</v>
      </c>
      <c r="J577" s="1">
        <v>32.299999999999997</v>
      </c>
      <c r="K577" s="4">
        <f t="shared" si="19"/>
        <v>258.61963999999995</v>
      </c>
      <c r="L577" s="4">
        <f t="shared" si="20"/>
        <v>542.06035999999995</v>
      </c>
    </row>
    <row r="578" spans="1:12" x14ac:dyDescent="0.3">
      <c r="A578" s="1">
        <v>1576</v>
      </c>
      <c r="B578" s="2">
        <v>45873</v>
      </c>
      <c r="C578" s="1" t="s">
        <v>26</v>
      </c>
      <c r="D578" s="1" t="s">
        <v>15</v>
      </c>
      <c r="E578" s="1" t="s">
        <v>16</v>
      </c>
      <c r="F578" s="1">
        <v>1436.09</v>
      </c>
      <c r="G578" s="1" t="s">
        <v>127</v>
      </c>
      <c r="H578" s="2">
        <v>31846</v>
      </c>
      <c r="I578" s="2">
        <v>45885</v>
      </c>
      <c r="J578" s="1">
        <v>39.520000000000003</v>
      </c>
      <c r="K578" s="4">
        <f t="shared" si="19"/>
        <v>567.54276800000002</v>
      </c>
      <c r="L578" s="4">
        <f t="shared" si="20"/>
        <v>868.54723199999989</v>
      </c>
    </row>
    <row r="579" spans="1:12" x14ac:dyDescent="0.3">
      <c r="A579" s="1">
        <v>1577</v>
      </c>
      <c r="B579" s="2">
        <v>44397</v>
      </c>
      <c r="C579" s="1" t="s">
        <v>10</v>
      </c>
      <c r="D579" s="1" t="s">
        <v>65</v>
      </c>
      <c r="E579" s="1" t="s">
        <v>19</v>
      </c>
      <c r="F579" s="1">
        <v>2793.83</v>
      </c>
      <c r="G579" s="1" t="s">
        <v>215</v>
      </c>
      <c r="H579" s="2">
        <v>31386</v>
      </c>
      <c r="I579" s="2">
        <v>44407</v>
      </c>
      <c r="J579" s="1">
        <v>41.17</v>
      </c>
      <c r="K579" s="4">
        <f t="shared" ref="K579:K642" si="21">F579*J579%</f>
        <v>1150.2198109999999</v>
      </c>
      <c r="L579" s="4">
        <f t="shared" ref="L579:L642" si="22">F579-K579</f>
        <v>1643.610189</v>
      </c>
    </row>
    <row r="580" spans="1:12" x14ac:dyDescent="0.3">
      <c r="A580" s="1">
        <v>1578</v>
      </c>
      <c r="B580" s="2">
        <v>45821</v>
      </c>
      <c r="C580" s="1" t="s">
        <v>21</v>
      </c>
      <c r="D580" s="1" t="s">
        <v>58</v>
      </c>
      <c r="E580" s="1" t="s">
        <v>31</v>
      </c>
      <c r="F580" s="1">
        <v>1162.24</v>
      </c>
      <c r="G580" s="1" t="s">
        <v>108</v>
      </c>
      <c r="H580" s="2">
        <v>33413</v>
      </c>
      <c r="I580" s="2">
        <v>45824</v>
      </c>
      <c r="J580" s="1">
        <v>5.94</v>
      </c>
      <c r="K580" s="4">
        <f t="shared" si="21"/>
        <v>69.037056000000007</v>
      </c>
      <c r="L580" s="4">
        <f t="shared" si="22"/>
        <v>1093.2029440000001</v>
      </c>
    </row>
    <row r="581" spans="1:12" x14ac:dyDescent="0.3">
      <c r="A581" s="1">
        <v>1579</v>
      </c>
      <c r="B581" s="2">
        <v>45282</v>
      </c>
      <c r="C581" s="1" t="s">
        <v>21</v>
      </c>
      <c r="D581" s="1" t="s">
        <v>18</v>
      </c>
      <c r="E581" s="1" t="s">
        <v>19</v>
      </c>
      <c r="F581" s="1">
        <v>2127.64</v>
      </c>
      <c r="G581" s="1" t="s">
        <v>17</v>
      </c>
      <c r="H581" s="2">
        <v>26484</v>
      </c>
      <c r="I581" s="2">
        <v>45287</v>
      </c>
      <c r="J581" s="1">
        <v>21.3</v>
      </c>
      <c r="K581" s="4">
        <f t="shared" si="21"/>
        <v>453.18731999999994</v>
      </c>
      <c r="L581" s="4">
        <f t="shared" si="22"/>
        <v>1674.4526799999999</v>
      </c>
    </row>
    <row r="582" spans="1:12" x14ac:dyDescent="0.3">
      <c r="A582" s="1">
        <v>1580</v>
      </c>
      <c r="B582" s="2">
        <v>44976</v>
      </c>
      <c r="C582" s="1" t="s">
        <v>35</v>
      </c>
      <c r="D582" s="1" t="s">
        <v>88</v>
      </c>
      <c r="E582" s="1" t="s">
        <v>16</v>
      </c>
      <c r="F582" s="1">
        <v>3313.85</v>
      </c>
      <c r="G582" s="1" t="s">
        <v>299</v>
      </c>
      <c r="H582" s="2">
        <v>25863</v>
      </c>
      <c r="I582" s="2">
        <v>44990</v>
      </c>
      <c r="J582" s="1">
        <v>24.43</v>
      </c>
      <c r="K582" s="4">
        <f t="shared" si="21"/>
        <v>809.57355499999994</v>
      </c>
      <c r="L582" s="4">
        <f t="shared" si="22"/>
        <v>2504.276445</v>
      </c>
    </row>
    <row r="583" spans="1:12" x14ac:dyDescent="0.3">
      <c r="A583" s="1">
        <v>1581</v>
      </c>
      <c r="B583" s="2">
        <v>45712</v>
      </c>
      <c r="C583" s="1" t="s">
        <v>26</v>
      </c>
      <c r="D583" s="1" t="s">
        <v>55</v>
      </c>
      <c r="E583" s="1" t="s">
        <v>31</v>
      </c>
      <c r="F583" s="1">
        <v>922.77</v>
      </c>
      <c r="G583" s="1" t="s">
        <v>124</v>
      </c>
      <c r="H583" s="2">
        <v>30786</v>
      </c>
      <c r="I583" s="2">
        <v>45720</v>
      </c>
      <c r="J583" s="1">
        <v>45.36</v>
      </c>
      <c r="K583" s="4">
        <f t="shared" si="21"/>
        <v>418.56847199999999</v>
      </c>
      <c r="L583" s="4">
        <f t="shared" si="22"/>
        <v>504.201528</v>
      </c>
    </row>
    <row r="584" spans="1:12" x14ac:dyDescent="0.3">
      <c r="A584" s="1">
        <v>1582</v>
      </c>
      <c r="B584" s="2">
        <v>45808</v>
      </c>
      <c r="C584" s="1" t="s">
        <v>14</v>
      </c>
      <c r="D584" s="1" t="s">
        <v>69</v>
      </c>
      <c r="E584" s="1" t="s">
        <v>12</v>
      </c>
      <c r="F584" s="1">
        <v>4511.01</v>
      </c>
      <c r="G584" s="1" t="s">
        <v>39</v>
      </c>
      <c r="H584" s="2">
        <v>26282</v>
      </c>
      <c r="I584" s="2">
        <v>45812</v>
      </c>
      <c r="J584" s="1">
        <v>24.51</v>
      </c>
      <c r="K584" s="4">
        <f t="shared" si="21"/>
        <v>1105.648551</v>
      </c>
      <c r="L584" s="4">
        <f t="shared" si="22"/>
        <v>3405.361449</v>
      </c>
    </row>
    <row r="585" spans="1:12" x14ac:dyDescent="0.3">
      <c r="A585" s="1">
        <v>1583</v>
      </c>
      <c r="B585" s="2">
        <v>45423</v>
      </c>
      <c r="C585" s="1" t="s">
        <v>21</v>
      </c>
      <c r="D585" s="1" t="s">
        <v>58</v>
      </c>
      <c r="E585" s="1" t="s">
        <v>31</v>
      </c>
      <c r="F585" s="1">
        <v>3081.64</v>
      </c>
      <c r="G585" s="1" t="s">
        <v>120</v>
      </c>
      <c r="H585" s="2">
        <v>30820</v>
      </c>
      <c r="I585" s="2">
        <v>45430</v>
      </c>
      <c r="J585" s="1">
        <v>41.94</v>
      </c>
      <c r="K585" s="4">
        <f t="shared" si="21"/>
        <v>1292.4398159999998</v>
      </c>
      <c r="L585" s="4">
        <f t="shared" si="22"/>
        <v>1789.200184</v>
      </c>
    </row>
    <row r="586" spans="1:12" x14ac:dyDescent="0.3">
      <c r="A586" s="1">
        <v>1584</v>
      </c>
      <c r="B586" s="2">
        <v>44929</v>
      </c>
      <c r="C586" s="1" t="s">
        <v>10</v>
      </c>
      <c r="D586" s="1" t="s">
        <v>15</v>
      </c>
      <c r="E586" s="1" t="s">
        <v>16</v>
      </c>
      <c r="F586" s="1">
        <v>2668.64</v>
      </c>
      <c r="G586" s="1" t="s">
        <v>247</v>
      </c>
      <c r="H586" s="2">
        <v>23735</v>
      </c>
      <c r="I586" s="2">
        <v>44932</v>
      </c>
      <c r="J586" s="1">
        <v>16.489999999999998</v>
      </c>
      <c r="K586" s="4">
        <f t="shared" si="21"/>
        <v>440.05873599999995</v>
      </c>
      <c r="L586" s="4">
        <f t="shared" si="22"/>
        <v>2228.5812639999999</v>
      </c>
    </row>
    <row r="587" spans="1:12" x14ac:dyDescent="0.3">
      <c r="A587" s="1">
        <v>1585</v>
      </c>
      <c r="B587" s="2">
        <v>45316</v>
      </c>
      <c r="C587" s="1" t="s">
        <v>35</v>
      </c>
      <c r="D587" s="1" t="s">
        <v>22</v>
      </c>
      <c r="E587" s="1" t="s">
        <v>19</v>
      </c>
      <c r="F587" s="1">
        <v>3581.16</v>
      </c>
      <c r="G587" s="1" t="s">
        <v>199</v>
      </c>
      <c r="H587" s="2">
        <v>25341</v>
      </c>
      <c r="I587" s="2">
        <v>45323</v>
      </c>
      <c r="J587" s="1">
        <v>5.05</v>
      </c>
      <c r="K587" s="4">
        <f t="shared" si="21"/>
        <v>180.84857999999997</v>
      </c>
      <c r="L587" s="4">
        <f t="shared" si="22"/>
        <v>3400.31142</v>
      </c>
    </row>
    <row r="588" spans="1:12" x14ac:dyDescent="0.3">
      <c r="A588" s="1">
        <v>1586</v>
      </c>
      <c r="B588" s="2">
        <v>44354</v>
      </c>
      <c r="C588" s="1" t="s">
        <v>21</v>
      </c>
      <c r="D588" s="1" t="s">
        <v>18</v>
      </c>
      <c r="E588" s="1" t="s">
        <v>19</v>
      </c>
      <c r="F588" s="1">
        <v>1927.4</v>
      </c>
      <c r="G588" s="1" t="s">
        <v>256</v>
      </c>
      <c r="H588" s="2">
        <v>34537</v>
      </c>
      <c r="I588" s="2">
        <v>44362</v>
      </c>
      <c r="J588" s="1">
        <v>49.21</v>
      </c>
      <c r="K588" s="4">
        <f t="shared" si="21"/>
        <v>948.47353999999996</v>
      </c>
      <c r="L588" s="4">
        <f t="shared" si="22"/>
        <v>978.92646000000013</v>
      </c>
    </row>
    <row r="589" spans="1:12" x14ac:dyDescent="0.3">
      <c r="A589" s="1">
        <v>1587</v>
      </c>
      <c r="B589" s="2">
        <v>44896</v>
      </c>
      <c r="C589" s="1" t="s">
        <v>35</v>
      </c>
      <c r="D589" s="1" t="s">
        <v>58</v>
      </c>
      <c r="E589" s="1" t="s">
        <v>31</v>
      </c>
      <c r="F589" s="1">
        <v>3073.98</v>
      </c>
      <c r="G589" s="1" t="s">
        <v>276</v>
      </c>
      <c r="H589" s="2">
        <v>33394</v>
      </c>
      <c r="I589" s="2">
        <v>44899</v>
      </c>
      <c r="J589" s="1">
        <v>2.78</v>
      </c>
      <c r="K589" s="4">
        <f t="shared" si="21"/>
        <v>85.456643999999997</v>
      </c>
      <c r="L589" s="4">
        <f t="shared" si="22"/>
        <v>2988.5233560000001</v>
      </c>
    </row>
    <row r="590" spans="1:12" x14ac:dyDescent="0.3">
      <c r="A590" s="1">
        <v>1588</v>
      </c>
      <c r="B590" s="2">
        <v>44612</v>
      </c>
      <c r="C590" s="1" t="s">
        <v>35</v>
      </c>
      <c r="D590" s="1" t="s">
        <v>88</v>
      </c>
      <c r="E590" s="1" t="s">
        <v>16</v>
      </c>
      <c r="F590" s="1">
        <v>2770.97</v>
      </c>
      <c r="G590" s="1" t="s">
        <v>160</v>
      </c>
      <c r="H590" s="2">
        <v>35321</v>
      </c>
      <c r="I590" s="2">
        <v>44621</v>
      </c>
      <c r="J590" s="1">
        <v>13.64</v>
      </c>
      <c r="K590" s="4">
        <f t="shared" si="21"/>
        <v>377.96030799999994</v>
      </c>
      <c r="L590" s="4">
        <f t="shared" si="22"/>
        <v>2393.0096919999996</v>
      </c>
    </row>
    <row r="591" spans="1:12" x14ac:dyDescent="0.3">
      <c r="A591" s="1">
        <v>1589</v>
      </c>
      <c r="B591" s="2">
        <v>45390</v>
      </c>
      <c r="C591" s="1" t="s">
        <v>21</v>
      </c>
      <c r="D591" s="1" t="s">
        <v>69</v>
      </c>
      <c r="E591" s="1" t="s">
        <v>31</v>
      </c>
      <c r="F591" s="1">
        <v>2776.4</v>
      </c>
      <c r="G591" s="1" t="s">
        <v>176</v>
      </c>
      <c r="H591" s="2">
        <v>33282</v>
      </c>
      <c r="I591" s="2">
        <v>45392</v>
      </c>
      <c r="J591" s="1">
        <v>18.579999999999998</v>
      </c>
      <c r="K591" s="4">
        <f t="shared" si="21"/>
        <v>515.85511999999994</v>
      </c>
      <c r="L591" s="4">
        <f t="shared" si="22"/>
        <v>2260.5448800000004</v>
      </c>
    </row>
    <row r="592" spans="1:12" x14ac:dyDescent="0.3">
      <c r="A592" s="1">
        <v>1590</v>
      </c>
      <c r="B592" s="2">
        <v>44460</v>
      </c>
      <c r="C592" s="1" t="s">
        <v>21</v>
      </c>
      <c r="D592" s="1" t="s">
        <v>11</v>
      </c>
      <c r="E592" s="1" t="s">
        <v>12</v>
      </c>
      <c r="F592" s="1">
        <v>341.81</v>
      </c>
      <c r="G592" s="1" t="s">
        <v>139</v>
      </c>
      <c r="H592" s="2">
        <v>29381</v>
      </c>
      <c r="I592" s="2">
        <v>44466</v>
      </c>
      <c r="J592" s="1">
        <v>19.75</v>
      </c>
      <c r="K592" s="4">
        <f t="shared" si="21"/>
        <v>67.507474999999999</v>
      </c>
      <c r="L592" s="4">
        <f t="shared" si="22"/>
        <v>274.302525</v>
      </c>
    </row>
    <row r="593" spans="1:12" x14ac:dyDescent="0.3">
      <c r="A593" s="1">
        <v>1591</v>
      </c>
      <c r="B593" s="2">
        <v>44923</v>
      </c>
      <c r="C593" s="1" t="s">
        <v>35</v>
      </c>
      <c r="D593" s="1" t="s">
        <v>22</v>
      </c>
      <c r="E593" s="1" t="s">
        <v>19</v>
      </c>
      <c r="F593" s="1">
        <v>1301.82</v>
      </c>
      <c r="G593" s="1" t="s">
        <v>207</v>
      </c>
      <c r="H593" s="2">
        <v>23988</v>
      </c>
      <c r="I593" s="2">
        <v>44928</v>
      </c>
      <c r="J593" s="1">
        <v>30.44</v>
      </c>
      <c r="K593" s="4">
        <f t="shared" si="21"/>
        <v>396.27400799999998</v>
      </c>
      <c r="L593" s="4">
        <f t="shared" si="22"/>
        <v>905.54599199999996</v>
      </c>
    </row>
    <row r="594" spans="1:12" x14ac:dyDescent="0.3">
      <c r="A594" s="1">
        <v>1592</v>
      </c>
      <c r="B594" s="2">
        <v>45242</v>
      </c>
      <c r="C594" s="1" t="s">
        <v>35</v>
      </c>
      <c r="D594" s="1" t="s">
        <v>40</v>
      </c>
      <c r="E594" s="1" t="s">
        <v>16</v>
      </c>
      <c r="F594" s="1">
        <v>1354.64</v>
      </c>
      <c r="G594" s="1" t="s">
        <v>289</v>
      </c>
      <c r="H594" s="2">
        <v>21923</v>
      </c>
      <c r="I594" s="2">
        <v>45248</v>
      </c>
      <c r="J594" s="1">
        <v>49.02</v>
      </c>
      <c r="K594" s="4">
        <f t="shared" si="21"/>
        <v>664.04452800000013</v>
      </c>
      <c r="L594" s="4">
        <f t="shared" si="22"/>
        <v>690.59547199999997</v>
      </c>
    </row>
    <row r="595" spans="1:12" x14ac:dyDescent="0.3">
      <c r="A595" s="1">
        <v>1593</v>
      </c>
      <c r="B595" s="2">
        <v>45688</v>
      </c>
      <c r="C595" s="1" t="s">
        <v>26</v>
      </c>
      <c r="D595" s="1" t="s">
        <v>73</v>
      </c>
      <c r="E595" s="1" t="s">
        <v>28</v>
      </c>
      <c r="F595" s="1">
        <v>4679.8599999999997</v>
      </c>
      <c r="G595" s="1" t="s">
        <v>37</v>
      </c>
      <c r="H595" s="2">
        <v>27534</v>
      </c>
      <c r="I595" s="2">
        <v>45692</v>
      </c>
      <c r="J595" s="1">
        <v>10.66</v>
      </c>
      <c r="K595" s="4">
        <f t="shared" si="21"/>
        <v>498.87307599999997</v>
      </c>
      <c r="L595" s="4">
        <f t="shared" si="22"/>
        <v>4180.9869239999998</v>
      </c>
    </row>
    <row r="596" spans="1:12" x14ac:dyDescent="0.3">
      <c r="A596" s="1">
        <v>1594</v>
      </c>
      <c r="B596" s="2">
        <v>44911</v>
      </c>
      <c r="C596" s="1" t="s">
        <v>35</v>
      </c>
      <c r="D596" s="1" t="s">
        <v>33</v>
      </c>
      <c r="E596" s="1" t="s">
        <v>16</v>
      </c>
      <c r="F596" s="1">
        <v>2530.5</v>
      </c>
      <c r="G596" s="1" t="s">
        <v>276</v>
      </c>
      <c r="H596" s="2">
        <v>33394</v>
      </c>
      <c r="I596" s="2">
        <v>44917</v>
      </c>
      <c r="J596" s="1">
        <v>32.81</v>
      </c>
      <c r="K596" s="4">
        <f t="shared" si="21"/>
        <v>830.25705000000005</v>
      </c>
      <c r="L596" s="4">
        <f t="shared" si="22"/>
        <v>1700.2429499999998</v>
      </c>
    </row>
    <row r="597" spans="1:12" x14ac:dyDescent="0.3">
      <c r="A597" s="1">
        <v>1595</v>
      </c>
      <c r="B597" s="2">
        <v>45142</v>
      </c>
      <c r="C597" s="1" t="s">
        <v>35</v>
      </c>
      <c r="D597" s="1" t="s">
        <v>18</v>
      </c>
      <c r="E597" s="1" t="s">
        <v>19</v>
      </c>
      <c r="F597" s="1">
        <v>153.46</v>
      </c>
      <c r="G597" s="1" t="s">
        <v>120</v>
      </c>
      <c r="H597" s="2">
        <v>30820</v>
      </c>
      <c r="I597" s="2">
        <v>45145</v>
      </c>
      <c r="J597" s="1">
        <v>37.5</v>
      </c>
      <c r="K597" s="4">
        <f t="shared" si="21"/>
        <v>57.547499999999999</v>
      </c>
      <c r="L597" s="4">
        <f t="shared" si="22"/>
        <v>95.912500000000009</v>
      </c>
    </row>
    <row r="598" spans="1:12" x14ac:dyDescent="0.3">
      <c r="A598" s="1">
        <v>1596</v>
      </c>
      <c r="B598" s="2">
        <v>45749</v>
      </c>
      <c r="C598" s="1" t="s">
        <v>35</v>
      </c>
      <c r="D598" s="1" t="s">
        <v>58</v>
      </c>
      <c r="E598" s="1" t="s">
        <v>31</v>
      </c>
      <c r="F598" s="1">
        <v>3280.76</v>
      </c>
      <c r="G598" s="1" t="s">
        <v>215</v>
      </c>
      <c r="H598" s="2">
        <v>31386</v>
      </c>
      <c r="I598" s="2">
        <v>45763</v>
      </c>
      <c r="J598" s="1">
        <v>44.88</v>
      </c>
      <c r="K598" s="4">
        <f t="shared" si="21"/>
        <v>1472.4050880000002</v>
      </c>
      <c r="L598" s="4">
        <f t="shared" si="22"/>
        <v>1808.354912</v>
      </c>
    </row>
    <row r="599" spans="1:12" x14ac:dyDescent="0.3">
      <c r="A599" s="1">
        <v>1597</v>
      </c>
      <c r="B599" s="2">
        <v>45427</v>
      </c>
      <c r="C599" s="1" t="s">
        <v>21</v>
      </c>
      <c r="D599" s="1" t="s">
        <v>27</v>
      </c>
      <c r="E599" s="1" t="s">
        <v>28</v>
      </c>
      <c r="F599" s="1">
        <v>4720</v>
      </c>
      <c r="G599" s="1" t="s">
        <v>119</v>
      </c>
      <c r="H599" s="2">
        <v>34954</v>
      </c>
      <c r="I599" s="2">
        <v>45439</v>
      </c>
      <c r="J599" s="1">
        <v>0.59</v>
      </c>
      <c r="K599" s="4">
        <f t="shared" si="21"/>
        <v>27.847999999999999</v>
      </c>
      <c r="L599" s="4">
        <f t="shared" si="22"/>
        <v>4692.152</v>
      </c>
    </row>
    <row r="600" spans="1:12" x14ac:dyDescent="0.3">
      <c r="A600" s="1">
        <v>1598</v>
      </c>
      <c r="B600" s="2">
        <v>44229</v>
      </c>
      <c r="C600" s="1" t="s">
        <v>14</v>
      </c>
      <c r="D600" s="1" t="s">
        <v>53</v>
      </c>
      <c r="E600" s="1" t="s">
        <v>28</v>
      </c>
      <c r="F600" s="1">
        <v>4004.86</v>
      </c>
      <c r="G600" s="1" t="s">
        <v>188</v>
      </c>
      <c r="H600" s="2">
        <v>31467</v>
      </c>
      <c r="I600" s="2">
        <v>44234</v>
      </c>
      <c r="J600" s="1">
        <v>10.119999999999999</v>
      </c>
      <c r="K600" s="4">
        <f t="shared" si="21"/>
        <v>405.291832</v>
      </c>
      <c r="L600" s="4">
        <f t="shared" si="22"/>
        <v>3599.5681680000002</v>
      </c>
    </row>
    <row r="601" spans="1:12" x14ac:dyDescent="0.3">
      <c r="A601" s="1">
        <v>1599</v>
      </c>
      <c r="B601" s="2">
        <v>45019</v>
      </c>
      <c r="C601" s="1" t="s">
        <v>35</v>
      </c>
      <c r="D601" s="1" t="s">
        <v>38</v>
      </c>
      <c r="E601" s="1" t="s">
        <v>28</v>
      </c>
      <c r="F601" s="1">
        <v>4965.5600000000004</v>
      </c>
      <c r="G601" s="1" t="s">
        <v>121</v>
      </c>
      <c r="H601" s="2">
        <v>24580</v>
      </c>
      <c r="I601" s="2">
        <v>45026</v>
      </c>
      <c r="J601" s="1">
        <v>27.76</v>
      </c>
      <c r="K601" s="4">
        <f t="shared" si="21"/>
        <v>1378.4394560000003</v>
      </c>
      <c r="L601" s="4">
        <f t="shared" si="22"/>
        <v>3587.1205440000003</v>
      </c>
    </row>
    <row r="602" spans="1:12" x14ac:dyDescent="0.3">
      <c r="A602" s="1">
        <v>1600</v>
      </c>
      <c r="B602" s="2">
        <v>45120</v>
      </c>
      <c r="C602" s="1" t="s">
        <v>35</v>
      </c>
      <c r="D602" s="1" t="s">
        <v>61</v>
      </c>
      <c r="E602" s="1" t="s">
        <v>19</v>
      </c>
      <c r="F602" s="1">
        <v>4869.33</v>
      </c>
      <c r="G602" s="1" t="s">
        <v>230</v>
      </c>
      <c r="H602" s="2">
        <v>35642</v>
      </c>
      <c r="I602" s="2">
        <v>45125</v>
      </c>
      <c r="J602" s="1">
        <v>43.72</v>
      </c>
      <c r="K602" s="4">
        <f t="shared" si="21"/>
        <v>2128.8710759999999</v>
      </c>
      <c r="L602" s="4">
        <f t="shared" si="22"/>
        <v>2740.458924</v>
      </c>
    </row>
    <row r="603" spans="1:12" x14ac:dyDescent="0.3">
      <c r="A603" s="1">
        <v>1601</v>
      </c>
      <c r="B603" s="2">
        <v>45387</v>
      </c>
      <c r="C603" s="1" t="s">
        <v>26</v>
      </c>
      <c r="D603" s="1" t="s">
        <v>33</v>
      </c>
      <c r="E603" s="1" t="s">
        <v>16</v>
      </c>
      <c r="F603" s="1">
        <v>4672.42</v>
      </c>
      <c r="G603" s="1" t="s">
        <v>255</v>
      </c>
      <c r="H603" s="2">
        <v>22646</v>
      </c>
      <c r="I603" s="2">
        <v>45391</v>
      </c>
      <c r="J603" s="1">
        <v>31.77</v>
      </c>
      <c r="K603" s="4">
        <f t="shared" si="21"/>
        <v>1484.4278339999998</v>
      </c>
      <c r="L603" s="4">
        <f t="shared" si="22"/>
        <v>3187.992166</v>
      </c>
    </row>
    <row r="604" spans="1:12" x14ac:dyDescent="0.3">
      <c r="A604" s="1">
        <v>1602</v>
      </c>
      <c r="B604" s="2">
        <v>45090</v>
      </c>
      <c r="C604" s="1" t="s">
        <v>21</v>
      </c>
      <c r="D604" s="1" t="s">
        <v>22</v>
      </c>
      <c r="E604" s="1" t="s">
        <v>19</v>
      </c>
      <c r="F604" s="1">
        <v>3353.57</v>
      </c>
      <c r="G604" s="1" t="s">
        <v>118</v>
      </c>
      <c r="H604" s="2">
        <v>22599</v>
      </c>
      <c r="I604" s="2">
        <v>45095</v>
      </c>
      <c r="J604" s="1">
        <v>37.700000000000003</v>
      </c>
      <c r="K604" s="4">
        <f t="shared" si="21"/>
        <v>1264.2958900000001</v>
      </c>
      <c r="L604" s="4">
        <f t="shared" si="22"/>
        <v>2089.2741100000003</v>
      </c>
    </row>
    <row r="605" spans="1:12" x14ac:dyDescent="0.3">
      <c r="A605" s="1">
        <v>1603</v>
      </c>
      <c r="B605" s="2">
        <v>44250</v>
      </c>
      <c r="C605" s="1" t="s">
        <v>26</v>
      </c>
      <c r="D605" s="1" t="s">
        <v>27</v>
      </c>
      <c r="E605" s="1" t="s">
        <v>28</v>
      </c>
      <c r="F605" s="1">
        <v>3665.39</v>
      </c>
      <c r="G605" s="1" t="s">
        <v>103</v>
      </c>
      <c r="H605" s="2">
        <v>30923</v>
      </c>
      <c r="I605" s="2">
        <v>44254</v>
      </c>
      <c r="J605" s="1">
        <v>16.36</v>
      </c>
      <c r="K605" s="4">
        <f t="shared" si="21"/>
        <v>599.65780399999994</v>
      </c>
      <c r="L605" s="4">
        <f t="shared" si="22"/>
        <v>3065.7321959999999</v>
      </c>
    </row>
    <row r="606" spans="1:12" x14ac:dyDescent="0.3">
      <c r="A606" s="1">
        <v>1604</v>
      </c>
      <c r="B606" s="2">
        <v>44827</v>
      </c>
      <c r="C606" s="1" t="s">
        <v>35</v>
      </c>
      <c r="D606" s="1" t="s">
        <v>18</v>
      </c>
      <c r="E606" s="1" t="s">
        <v>19</v>
      </c>
      <c r="F606" s="1">
        <v>3004.02</v>
      </c>
      <c r="G606" s="1" t="s">
        <v>290</v>
      </c>
      <c r="H606" s="2">
        <v>31764</v>
      </c>
      <c r="I606" s="2">
        <v>44835</v>
      </c>
      <c r="J606" s="1">
        <v>44.09</v>
      </c>
      <c r="K606" s="4">
        <f t="shared" si="21"/>
        <v>1324.4724180000001</v>
      </c>
      <c r="L606" s="4">
        <f t="shared" si="22"/>
        <v>1679.5475819999999</v>
      </c>
    </row>
    <row r="607" spans="1:12" x14ac:dyDescent="0.3">
      <c r="A607" s="1">
        <v>1605</v>
      </c>
      <c r="B607" s="2">
        <v>45700</v>
      </c>
      <c r="C607" s="1" t="s">
        <v>10</v>
      </c>
      <c r="D607" s="1" t="s">
        <v>69</v>
      </c>
      <c r="E607" s="1" t="s">
        <v>31</v>
      </c>
      <c r="F607" s="1">
        <v>1214.72</v>
      </c>
      <c r="G607" s="1" t="s">
        <v>233</v>
      </c>
      <c r="H607" s="2">
        <v>38826</v>
      </c>
      <c r="I607" s="2">
        <v>45710</v>
      </c>
      <c r="J607" s="1">
        <v>5.04</v>
      </c>
      <c r="K607" s="4">
        <f t="shared" si="21"/>
        <v>61.221888</v>
      </c>
      <c r="L607" s="4">
        <f t="shared" si="22"/>
        <v>1153.498112</v>
      </c>
    </row>
    <row r="608" spans="1:12" x14ac:dyDescent="0.3">
      <c r="A608" s="1">
        <v>1606</v>
      </c>
      <c r="B608" s="2">
        <v>45887</v>
      </c>
      <c r="C608" s="1" t="s">
        <v>35</v>
      </c>
      <c r="D608" s="1" t="s">
        <v>73</v>
      </c>
      <c r="E608" s="1" t="s">
        <v>28</v>
      </c>
      <c r="F608" s="1">
        <v>2043.99</v>
      </c>
      <c r="G608" s="1" t="s">
        <v>146</v>
      </c>
      <c r="H608" s="2">
        <v>24961</v>
      </c>
      <c r="I608" s="2">
        <v>45891</v>
      </c>
      <c r="J608" s="1">
        <v>4.74</v>
      </c>
      <c r="K608" s="4">
        <f t="shared" si="21"/>
        <v>96.885126000000014</v>
      </c>
      <c r="L608" s="4">
        <f t="shared" si="22"/>
        <v>1947.1048740000001</v>
      </c>
    </row>
    <row r="609" spans="1:12" x14ac:dyDescent="0.3">
      <c r="A609" s="1">
        <v>1607</v>
      </c>
      <c r="B609" s="2">
        <v>45642</v>
      </c>
      <c r="C609" s="1" t="s">
        <v>10</v>
      </c>
      <c r="D609" s="1" t="s">
        <v>44</v>
      </c>
      <c r="E609" s="1" t="s">
        <v>16</v>
      </c>
      <c r="F609" s="1">
        <v>3540.67</v>
      </c>
      <c r="G609" s="1" t="s">
        <v>29</v>
      </c>
      <c r="H609" s="2">
        <v>24033</v>
      </c>
      <c r="I609" s="2">
        <v>45652</v>
      </c>
      <c r="J609" s="1">
        <v>24.78</v>
      </c>
      <c r="K609" s="4">
        <f t="shared" si="21"/>
        <v>877.37802600000009</v>
      </c>
      <c r="L609" s="4">
        <f t="shared" si="22"/>
        <v>2663.2919739999998</v>
      </c>
    </row>
    <row r="610" spans="1:12" x14ac:dyDescent="0.3">
      <c r="A610" s="1">
        <v>1608</v>
      </c>
      <c r="B610" s="2">
        <v>45403</v>
      </c>
      <c r="C610" s="1" t="s">
        <v>21</v>
      </c>
      <c r="D610" s="1" t="s">
        <v>30</v>
      </c>
      <c r="E610" s="1" t="s">
        <v>31</v>
      </c>
      <c r="F610" s="1">
        <v>2213.81</v>
      </c>
      <c r="G610" s="1" t="s">
        <v>166</v>
      </c>
      <c r="H610" s="2">
        <v>27879</v>
      </c>
      <c r="I610" s="2">
        <v>45414</v>
      </c>
      <c r="J610" s="1">
        <v>27.09</v>
      </c>
      <c r="K610" s="4">
        <f t="shared" si="21"/>
        <v>599.72112899999991</v>
      </c>
      <c r="L610" s="4">
        <f t="shared" si="22"/>
        <v>1614.0888709999999</v>
      </c>
    </row>
    <row r="611" spans="1:12" x14ac:dyDescent="0.3">
      <c r="A611" s="1">
        <v>1609</v>
      </c>
      <c r="B611" s="2">
        <v>45381</v>
      </c>
      <c r="C611" s="1" t="s">
        <v>14</v>
      </c>
      <c r="D611" s="1" t="s">
        <v>53</v>
      </c>
      <c r="E611" s="1" t="s">
        <v>28</v>
      </c>
      <c r="F611" s="1">
        <v>4495.8500000000004</v>
      </c>
      <c r="G611" s="1" t="s">
        <v>300</v>
      </c>
      <c r="H611" s="2">
        <v>24322</v>
      </c>
      <c r="I611" s="2">
        <v>45384</v>
      </c>
      <c r="J611" s="1">
        <v>20.09</v>
      </c>
      <c r="K611" s="4">
        <f t="shared" si="21"/>
        <v>903.21626500000002</v>
      </c>
      <c r="L611" s="4">
        <f t="shared" si="22"/>
        <v>3592.6337350000003</v>
      </c>
    </row>
    <row r="612" spans="1:12" x14ac:dyDescent="0.3">
      <c r="A612" s="1">
        <v>1610</v>
      </c>
      <c r="B612" s="2">
        <v>45786</v>
      </c>
      <c r="C612" s="1" t="s">
        <v>14</v>
      </c>
      <c r="D612" s="1" t="s">
        <v>73</v>
      </c>
      <c r="E612" s="1" t="s">
        <v>28</v>
      </c>
      <c r="F612" s="1">
        <v>1801.24</v>
      </c>
      <c r="G612" s="1" t="s">
        <v>190</v>
      </c>
      <c r="H612" s="2">
        <v>33354</v>
      </c>
      <c r="I612" s="2">
        <v>45796</v>
      </c>
      <c r="J612" s="1">
        <v>41.81</v>
      </c>
      <c r="K612" s="4">
        <f t="shared" si="21"/>
        <v>753.09844400000009</v>
      </c>
      <c r="L612" s="4">
        <f t="shared" si="22"/>
        <v>1048.141556</v>
      </c>
    </row>
    <row r="613" spans="1:12" x14ac:dyDescent="0.3">
      <c r="A613" s="1">
        <v>1611</v>
      </c>
      <c r="B613" s="2">
        <v>44397</v>
      </c>
      <c r="C613" s="1" t="s">
        <v>21</v>
      </c>
      <c r="D613" s="1" t="s">
        <v>11</v>
      </c>
      <c r="E613" s="1" t="s">
        <v>12</v>
      </c>
      <c r="F613" s="1">
        <v>2961.27</v>
      </c>
      <c r="G613" s="1" t="s">
        <v>279</v>
      </c>
      <c r="H613" s="2">
        <v>38934</v>
      </c>
      <c r="I613" s="2">
        <v>44399</v>
      </c>
      <c r="J613" s="1">
        <v>0.68</v>
      </c>
      <c r="K613" s="4">
        <f t="shared" si="21"/>
        <v>20.136636000000003</v>
      </c>
      <c r="L613" s="4">
        <f t="shared" si="22"/>
        <v>2941.1333639999998</v>
      </c>
    </row>
    <row r="614" spans="1:12" x14ac:dyDescent="0.3">
      <c r="A614" s="1">
        <v>1612</v>
      </c>
      <c r="B614" s="2">
        <v>45577</v>
      </c>
      <c r="C614" s="1" t="s">
        <v>10</v>
      </c>
      <c r="D614" s="1" t="s">
        <v>44</v>
      </c>
      <c r="E614" s="1" t="s">
        <v>16</v>
      </c>
      <c r="F614" s="1">
        <v>4247.75</v>
      </c>
      <c r="G614" s="1" t="s">
        <v>218</v>
      </c>
      <c r="H614" s="2">
        <v>29792</v>
      </c>
      <c r="I614" s="2">
        <v>45584</v>
      </c>
      <c r="J614" s="1">
        <v>5.75</v>
      </c>
      <c r="K614" s="4">
        <f t="shared" si="21"/>
        <v>244.24562500000002</v>
      </c>
      <c r="L614" s="4">
        <f t="shared" si="22"/>
        <v>4003.504375</v>
      </c>
    </row>
    <row r="615" spans="1:12" x14ac:dyDescent="0.3">
      <c r="A615" s="1">
        <v>1613</v>
      </c>
      <c r="B615" s="2">
        <v>44391</v>
      </c>
      <c r="C615" s="1" t="s">
        <v>10</v>
      </c>
      <c r="D615" s="1" t="s">
        <v>33</v>
      </c>
      <c r="E615" s="1" t="s">
        <v>16</v>
      </c>
      <c r="F615" s="1">
        <v>1981.39</v>
      </c>
      <c r="G615" s="1" t="s">
        <v>45</v>
      </c>
      <c r="H615" s="2">
        <v>34367</v>
      </c>
      <c r="I615" s="2">
        <v>44402</v>
      </c>
      <c r="J615" s="1">
        <v>38.67</v>
      </c>
      <c r="K615" s="4">
        <f t="shared" si="21"/>
        <v>766.20351300000016</v>
      </c>
      <c r="L615" s="4">
        <f t="shared" si="22"/>
        <v>1215.1864869999999</v>
      </c>
    </row>
    <row r="616" spans="1:12" x14ac:dyDescent="0.3">
      <c r="A616" s="1">
        <v>1614</v>
      </c>
      <c r="B616" s="2">
        <v>45413</v>
      </c>
      <c r="C616" s="1" t="s">
        <v>26</v>
      </c>
      <c r="D616" s="1" t="s">
        <v>71</v>
      </c>
      <c r="E616" s="1" t="s">
        <v>31</v>
      </c>
      <c r="F616" s="1">
        <v>747.04</v>
      </c>
      <c r="G616" s="1" t="s">
        <v>274</v>
      </c>
      <c r="H616" s="2">
        <v>34557</v>
      </c>
      <c r="I616" s="2">
        <v>45415</v>
      </c>
      <c r="J616" s="1">
        <v>8.34</v>
      </c>
      <c r="K616" s="4">
        <f t="shared" si="21"/>
        <v>62.303135999999995</v>
      </c>
      <c r="L616" s="4">
        <f t="shared" si="22"/>
        <v>684.73686399999997</v>
      </c>
    </row>
    <row r="617" spans="1:12" x14ac:dyDescent="0.3">
      <c r="A617" s="1">
        <v>1615</v>
      </c>
      <c r="B617" s="2">
        <v>44232</v>
      </c>
      <c r="C617" s="1" t="s">
        <v>21</v>
      </c>
      <c r="D617" s="1" t="s">
        <v>22</v>
      </c>
      <c r="E617" s="1" t="s">
        <v>19</v>
      </c>
      <c r="F617" s="1">
        <v>4743.6499999999996</v>
      </c>
      <c r="G617" s="1" t="s">
        <v>62</v>
      </c>
      <c r="H617" s="2">
        <v>22870</v>
      </c>
      <c r="I617" s="2">
        <v>44246</v>
      </c>
      <c r="J617" s="1">
        <v>6.24</v>
      </c>
      <c r="K617" s="4">
        <f t="shared" si="21"/>
        <v>296.00376</v>
      </c>
      <c r="L617" s="4">
        <f t="shared" si="22"/>
        <v>4447.64624</v>
      </c>
    </row>
    <row r="618" spans="1:12" x14ac:dyDescent="0.3">
      <c r="A618" s="1">
        <v>1616</v>
      </c>
      <c r="B618" s="2">
        <v>44472</v>
      </c>
      <c r="C618" s="1" t="s">
        <v>35</v>
      </c>
      <c r="D618" s="1" t="s">
        <v>61</v>
      </c>
      <c r="E618" s="1" t="s">
        <v>19</v>
      </c>
      <c r="F618" s="1">
        <v>4597.1000000000004</v>
      </c>
      <c r="G618" s="1" t="s">
        <v>301</v>
      </c>
      <c r="H618" s="2">
        <v>31775</v>
      </c>
      <c r="I618" s="2">
        <v>44482</v>
      </c>
      <c r="J618" s="1">
        <v>13.79</v>
      </c>
      <c r="K618" s="4">
        <f t="shared" si="21"/>
        <v>633.94009000000005</v>
      </c>
      <c r="L618" s="4">
        <f t="shared" si="22"/>
        <v>3963.1599100000003</v>
      </c>
    </row>
    <row r="619" spans="1:12" x14ac:dyDescent="0.3">
      <c r="A619" s="1">
        <v>1617</v>
      </c>
      <c r="B619" s="2">
        <v>44533</v>
      </c>
      <c r="C619" s="1" t="s">
        <v>21</v>
      </c>
      <c r="D619" s="1" t="s">
        <v>71</v>
      </c>
      <c r="E619" s="1" t="s">
        <v>31</v>
      </c>
      <c r="F619" s="1">
        <v>3648.56</v>
      </c>
      <c r="G619" s="1" t="s">
        <v>236</v>
      </c>
      <c r="H619" s="2">
        <v>36099</v>
      </c>
      <c r="I619" s="2">
        <v>44539</v>
      </c>
      <c r="J619" s="1">
        <v>26.36</v>
      </c>
      <c r="K619" s="4">
        <f t="shared" si="21"/>
        <v>961.76041599999996</v>
      </c>
      <c r="L619" s="4">
        <f t="shared" si="22"/>
        <v>2686.7995839999999</v>
      </c>
    </row>
    <row r="620" spans="1:12" x14ac:dyDescent="0.3">
      <c r="A620" s="1">
        <v>1618</v>
      </c>
      <c r="B620" s="2">
        <v>44117</v>
      </c>
      <c r="C620" s="1" t="s">
        <v>26</v>
      </c>
      <c r="D620" s="1" t="s">
        <v>49</v>
      </c>
      <c r="E620" s="1" t="s">
        <v>12</v>
      </c>
      <c r="F620" s="1">
        <v>2586.81</v>
      </c>
      <c r="G620" s="1" t="s">
        <v>270</v>
      </c>
      <c r="H620" s="2">
        <v>23245</v>
      </c>
      <c r="I620" s="2">
        <v>44122</v>
      </c>
      <c r="J620" s="1">
        <v>38.119999999999997</v>
      </c>
      <c r="K620" s="4">
        <f t="shared" si="21"/>
        <v>986.09197199999994</v>
      </c>
      <c r="L620" s="4">
        <f t="shared" si="22"/>
        <v>1600.718028</v>
      </c>
    </row>
    <row r="621" spans="1:12" x14ac:dyDescent="0.3">
      <c r="A621" s="1">
        <v>1619</v>
      </c>
      <c r="B621" s="2">
        <v>44190</v>
      </c>
      <c r="C621" s="1" t="s">
        <v>26</v>
      </c>
      <c r="D621" s="1" t="s">
        <v>61</v>
      </c>
      <c r="E621" s="1" t="s">
        <v>19</v>
      </c>
      <c r="F621" s="1">
        <v>3181.4</v>
      </c>
      <c r="G621" s="1" t="s">
        <v>257</v>
      </c>
      <c r="H621" s="2">
        <v>31685</v>
      </c>
      <c r="I621" s="2">
        <v>44198</v>
      </c>
      <c r="J621" s="1">
        <v>46.85</v>
      </c>
      <c r="K621" s="4">
        <f t="shared" si="21"/>
        <v>1490.4859000000001</v>
      </c>
      <c r="L621" s="4">
        <f t="shared" si="22"/>
        <v>1690.9141</v>
      </c>
    </row>
    <row r="622" spans="1:12" x14ac:dyDescent="0.3">
      <c r="A622" s="1">
        <v>1620</v>
      </c>
      <c r="B622" s="2">
        <v>44638</v>
      </c>
      <c r="C622" s="1" t="s">
        <v>35</v>
      </c>
      <c r="D622" s="1" t="s">
        <v>44</v>
      </c>
      <c r="E622" s="1" t="s">
        <v>16</v>
      </c>
      <c r="F622" s="1">
        <v>4939.3</v>
      </c>
      <c r="G622" s="1" t="s">
        <v>25</v>
      </c>
      <c r="H622" s="2">
        <v>33386</v>
      </c>
      <c r="I622" s="2">
        <v>44650</v>
      </c>
      <c r="J622" s="1">
        <v>46.46</v>
      </c>
      <c r="K622" s="4">
        <f t="shared" si="21"/>
        <v>2294.7987800000001</v>
      </c>
      <c r="L622" s="4">
        <f t="shared" si="22"/>
        <v>2644.5012200000001</v>
      </c>
    </row>
    <row r="623" spans="1:12" x14ac:dyDescent="0.3">
      <c r="A623" s="1">
        <v>1621</v>
      </c>
      <c r="B623" s="2">
        <v>45283</v>
      </c>
      <c r="C623" s="1" t="s">
        <v>21</v>
      </c>
      <c r="D623" s="1" t="s">
        <v>22</v>
      </c>
      <c r="E623" s="1" t="s">
        <v>19</v>
      </c>
      <c r="F623" s="1">
        <v>3704.72</v>
      </c>
      <c r="G623" s="1" t="s">
        <v>25</v>
      </c>
      <c r="H623" s="2">
        <v>33386</v>
      </c>
      <c r="I623" s="2">
        <v>45285</v>
      </c>
      <c r="J623" s="1">
        <v>15.38</v>
      </c>
      <c r="K623" s="4">
        <f t="shared" si="21"/>
        <v>569.78593599999999</v>
      </c>
      <c r="L623" s="4">
        <f t="shared" si="22"/>
        <v>3134.934064</v>
      </c>
    </row>
    <row r="624" spans="1:12" x14ac:dyDescent="0.3">
      <c r="A624" s="1">
        <v>1622</v>
      </c>
      <c r="B624" s="2">
        <v>45784</v>
      </c>
      <c r="C624" s="1" t="s">
        <v>21</v>
      </c>
      <c r="D624" s="1" t="s">
        <v>69</v>
      </c>
      <c r="E624" s="1" t="s">
        <v>31</v>
      </c>
      <c r="F624" s="1">
        <v>2113.2199999999998</v>
      </c>
      <c r="G624" s="1" t="s">
        <v>134</v>
      </c>
      <c r="H624" s="2">
        <v>30299</v>
      </c>
      <c r="I624" s="2">
        <v>45789</v>
      </c>
      <c r="J624" s="1">
        <v>47.05</v>
      </c>
      <c r="K624" s="4">
        <f t="shared" si="21"/>
        <v>994.27000999999984</v>
      </c>
      <c r="L624" s="4">
        <f t="shared" si="22"/>
        <v>1118.9499900000001</v>
      </c>
    </row>
    <row r="625" spans="1:12" x14ac:dyDescent="0.3">
      <c r="A625" s="1">
        <v>1623</v>
      </c>
      <c r="B625" s="2">
        <v>44110</v>
      </c>
      <c r="C625" s="1" t="s">
        <v>26</v>
      </c>
      <c r="D625" s="1" t="s">
        <v>33</v>
      </c>
      <c r="E625" s="1" t="s">
        <v>16</v>
      </c>
      <c r="F625" s="1">
        <v>3514.62</v>
      </c>
      <c r="G625" s="1" t="s">
        <v>233</v>
      </c>
      <c r="H625" s="2">
        <v>38826</v>
      </c>
      <c r="I625" s="2">
        <v>44121</v>
      </c>
      <c r="J625" s="1">
        <v>30.34</v>
      </c>
      <c r="K625" s="4">
        <f t="shared" si="21"/>
        <v>1066.3357080000001</v>
      </c>
      <c r="L625" s="4">
        <f t="shared" si="22"/>
        <v>2448.2842919999998</v>
      </c>
    </row>
    <row r="626" spans="1:12" x14ac:dyDescent="0.3">
      <c r="A626" s="1">
        <v>1624</v>
      </c>
      <c r="B626" s="2">
        <v>44248</v>
      </c>
      <c r="C626" s="1" t="s">
        <v>26</v>
      </c>
      <c r="D626" s="1" t="s">
        <v>69</v>
      </c>
      <c r="E626" s="1" t="s">
        <v>31</v>
      </c>
      <c r="F626" s="1">
        <v>628.28</v>
      </c>
      <c r="G626" s="1" t="s">
        <v>67</v>
      </c>
      <c r="H626" s="2">
        <v>34016</v>
      </c>
      <c r="I626" s="2">
        <v>44251</v>
      </c>
      <c r="J626" s="1">
        <v>48.63</v>
      </c>
      <c r="K626" s="4">
        <f t="shared" si="21"/>
        <v>305.53256399999998</v>
      </c>
      <c r="L626" s="4">
        <f t="shared" si="22"/>
        <v>322.74743599999999</v>
      </c>
    </row>
    <row r="627" spans="1:12" x14ac:dyDescent="0.3">
      <c r="A627" s="1">
        <v>1625</v>
      </c>
      <c r="B627" s="2">
        <v>45113</v>
      </c>
      <c r="C627" s="1" t="s">
        <v>14</v>
      </c>
      <c r="D627" s="1" t="s">
        <v>61</v>
      </c>
      <c r="E627" s="1" t="s">
        <v>19</v>
      </c>
      <c r="F627" s="1">
        <v>4914.7</v>
      </c>
      <c r="G627" s="1" t="s">
        <v>141</v>
      </c>
      <c r="H627" s="2">
        <v>35559</v>
      </c>
      <c r="I627" s="2">
        <v>45127</v>
      </c>
      <c r="J627" s="1">
        <v>31.73</v>
      </c>
      <c r="K627" s="4">
        <f t="shared" si="21"/>
        <v>1559.4343100000001</v>
      </c>
      <c r="L627" s="4">
        <f t="shared" si="22"/>
        <v>3355.2656899999997</v>
      </c>
    </row>
    <row r="628" spans="1:12" x14ac:dyDescent="0.3">
      <c r="A628" s="1">
        <v>1626</v>
      </c>
      <c r="B628" s="2">
        <v>44331</v>
      </c>
      <c r="C628" s="1" t="s">
        <v>35</v>
      </c>
      <c r="D628" s="1" t="s">
        <v>24</v>
      </c>
      <c r="E628" s="1" t="s">
        <v>19</v>
      </c>
      <c r="F628" s="1">
        <v>3711.17</v>
      </c>
      <c r="G628" s="1" t="s">
        <v>124</v>
      </c>
      <c r="H628" s="2">
        <v>30786</v>
      </c>
      <c r="I628" s="2">
        <v>44333</v>
      </c>
      <c r="J628" s="1">
        <v>2.41</v>
      </c>
      <c r="K628" s="4">
        <f t="shared" si="21"/>
        <v>89.439197000000007</v>
      </c>
      <c r="L628" s="4">
        <f t="shared" si="22"/>
        <v>3621.7308029999999</v>
      </c>
    </row>
    <row r="629" spans="1:12" x14ac:dyDescent="0.3">
      <c r="A629" s="1">
        <v>1627</v>
      </c>
      <c r="B629" s="2">
        <v>44274</v>
      </c>
      <c r="C629" s="1" t="s">
        <v>10</v>
      </c>
      <c r="D629" s="1" t="s">
        <v>69</v>
      </c>
      <c r="E629" s="1" t="s">
        <v>31</v>
      </c>
      <c r="F629" s="1">
        <v>639.01</v>
      </c>
      <c r="G629" s="1" t="s">
        <v>164</v>
      </c>
      <c r="H629" s="2">
        <v>28046</v>
      </c>
      <c r="I629" s="2">
        <v>44277</v>
      </c>
      <c r="J629" s="1">
        <v>25.46</v>
      </c>
      <c r="K629" s="4">
        <f t="shared" si="21"/>
        <v>162.691946</v>
      </c>
      <c r="L629" s="4">
        <f t="shared" si="22"/>
        <v>476.31805399999996</v>
      </c>
    </row>
    <row r="630" spans="1:12" x14ac:dyDescent="0.3">
      <c r="A630" s="1">
        <v>1628</v>
      </c>
      <c r="B630" s="2">
        <v>45783</v>
      </c>
      <c r="C630" s="1" t="s">
        <v>35</v>
      </c>
      <c r="D630" s="1" t="s">
        <v>49</v>
      </c>
      <c r="E630" s="1" t="s">
        <v>12</v>
      </c>
      <c r="F630" s="1">
        <v>1286.6300000000001</v>
      </c>
      <c r="G630" s="1" t="s">
        <v>302</v>
      </c>
      <c r="H630" s="2">
        <v>32940</v>
      </c>
      <c r="I630" s="2">
        <v>45790</v>
      </c>
      <c r="J630" s="1">
        <v>25.57</v>
      </c>
      <c r="K630" s="4">
        <f t="shared" si="21"/>
        <v>328.99129099999999</v>
      </c>
      <c r="L630" s="4">
        <f t="shared" si="22"/>
        <v>957.63870900000006</v>
      </c>
    </row>
    <row r="631" spans="1:12" x14ac:dyDescent="0.3">
      <c r="A631" s="1">
        <v>1629</v>
      </c>
      <c r="B631" s="2">
        <v>45475</v>
      </c>
      <c r="C631" s="1" t="s">
        <v>26</v>
      </c>
      <c r="D631" s="1" t="s">
        <v>49</v>
      </c>
      <c r="E631" s="1" t="s">
        <v>12</v>
      </c>
      <c r="F631" s="1">
        <v>363.78</v>
      </c>
      <c r="G631" s="1" t="s">
        <v>124</v>
      </c>
      <c r="H631" s="2">
        <v>30786</v>
      </c>
      <c r="I631" s="2">
        <v>45482</v>
      </c>
      <c r="J631" s="1">
        <v>34.58</v>
      </c>
      <c r="K631" s="4">
        <f t="shared" si="21"/>
        <v>125.79512399999999</v>
      </c>
      <c r="L631" s="4">
        <f t="shared" si="22"/>
        <v>237.98487599999999</v>
      </c>
    </row>
    <row r="632" spans="1:12" x14ac:dyDescent="0.3">
      <c r="A632" s="1">
        <v>1630</v>
      </c>
      <c r="B632" s="2">
        <v>45715</v>
      </c>
      <c r="C632" s="1" t="s">
        <v>21</v>
      </c>
      <c r="D632" s="1" t="s">
        <v>24</v>
      </c>
      <c r="E632" s="1" t="s">
        <v>19</v>
      </c>
      <c r="F632" s="1">
        <v>348.83</v>
      </c>
      <c r="G632" s="1" t="s">
        <v>269</v>
      </c>
      <c r="H632" s="2">
        <v>30976</v>
      </c>
      <c r="I632" s="2">
        <v>45718</v>
      </c>
      <c r="J632" s="1">
        <v>15.94</v>
      </c>
      <c r="K632" s="4">
        <f t="shared" si="21"/>
        <v>55.603501999999992</v>
      </c>
      <c r="L632" s="4">
        <f t="shared" si="22"/>
        <v>293.22649799999999</v>
      </c>
    </row>
    <row r="633" spans="1:12" x14ac:dyDescent="0.3">
      <c r="A633" s="1">
        <v>1631</v>
      </c>
      <c r="B633" s="2">
        <v>45537</v>
      </c>
      <c r="C633" s="1" t="s">
        <v>26</v>
      </c>
      <c r="D633" s="1" t="s">
        <v>27</v>
      </c>
      <c r="E633" s="1" t="s">
        <v>28</v>
      </c>
      <c r="F633" s="1">
        <v>3800.43</v>
      </c>
      <c r="G633" s="1" t="s">
        <v>143</v>
      </c>
      <c r="H633" s="2">
        <v>37490</v>
      </c>
      <c r="I633" s="2">
        <v>45538</v>
      </c>
      <c r="J633" s="1">
        <v>7.33</v>
      </c>
      <c r="K633" s="4">
        <f t="shared" si="21"/>
        <v>278.57151900000002</v>
      </c>
      <c r="L633" s="4">
        <f t="shared" si="22"/>
        <v>3521.8584809999998</v>
      </c>
    </row>
    <row r="634" spans="1:12" x14ac:dyDescent="0.3">
      <c r="A634" s="1">
        <v>1632</v>
      </c>
      <c r="B634" s="2">
        <v>44856</v>
      </c>
      <c r="C634" s="1" t="s">
        <v>14</v>
      </c>
      <c r="D634" s="1" t="s">
        <v>73</v>
      </c>
      <c r="E634" s="1" t="s">
        <v>28</v>
      </c>
      <c r="F634" s="1">
        <v>3721.15</v>
      </c>
      <c r="G634" s="1" t="s">
        <v>121</v>
      </c>
      <c r="H634" s="2">
        <v>24580</v>
      </c>
      <c r="I634" s="2">
        <v>44862</v>
      </c>
      <c r="J634" s="1">
        <v>36.840000000000003</v>
      </c>
      <c r="K634" s="4">
        <f t="shared" si="21"/>
        <v>1370.8716600000002</v>
      </c>
      <c r="L634" s="4">
        <f t="shared" si="22"/>
        <v>2350.2783399999998</v>
      </c>
    </row>
    <row r="635" spans="1:12" x14ac:dyDescent="0.3">
      <c r="A635" s="1">
        <v>1633</v>
      </c>
      <c r="B635" s="2">
        <v>45644</v>
      </c>
      <c r="C635" s="1" t="s">
        <v>35</v>
      </c>
      <c r="D635" s="1" t="s">
        <v>73</v>
      </c>
      <c r="E635" s="1" t="s">
        <v>28</v>
      </c>
      <c r="F635" s="1">
        <v>4920.09</v>
      </c>
      <c r="G635" s="1" t="s">
        <v>230</v>
      </c>
      <c r="H635" s="2">
        <v>35642</v>
      </c>
      <c r="I635" s="2">
        <v>45645</v>
      </c>
      <c r="J635" s="1">
        <v>33.64</v>
      </c>
      <c r="K635" s="4">
        <f t="shared" si="21"/>
        <v>1655.1182760000002</v>
      </c>
      <c r="L635" s="4">
        <f t="shared" si="22"/>
        <v>3264.971724</v>
      </c>
    </row>
    <row r="636" spans="1:12" x14ac:dyDescent="0.3">
      <c r="A636" s="1">
        <v>1634</v>
      </c>
      <c r="B636" s="2">
        <v>44307</v>
      </c>
      <c r="C636" s="1" t="s">
        <v>21</v>
      </c>
      <c r="D636" s="1" t="s">
        <v>36</v>
      </c>
      <c r="E636" s="1" t="s">
        <v>28</v>
      </c>
      <c r="F636" s="1">
        <v>2036.85</v>
      </c>
      <c r="G636" s="1" t="s">
        <v>264</v>
      </c>
      <c r="H636" s="2">
        <v>30232</v>
      </c>
      <c r="I636" s="2">
        <v>44315</v>
      </c>
      <c r="J636" s="1">
        <v>45.65</v>
      </c>
      <c r="K636" s="4">
        <f t="shared" si="21"/>
        <v>929.82202499999983</v>
      </c>
      <c r="L636" s="4">
        <f t="shared" si="22"/>
        <v>1107.027975</v>
      </c>
    </row>
    <row r="637" spans="1:12" x14ac:dyDescent="0.3">
      <c r="A637" s="1">
        <v>1635</v>
      </c>
      <c r="B637" s="2">
        <v>44704</v>
      </c>
      <c r="C637" s="1" t="s">
        <v>21</v>
      </c>
      <c r="D637" s="1" t="s">
        <v>73</v>
      </c>
      <c r="E637" s="1" t="s">
        <v>28</v>
      </c>
      <c r="F637" s="1">
        <v>792.31</v>
      </c>
      <c r="G637" s="1" t="s">
        <v>46</v>
      </c>
      <c r="H637" s="2">
        <v>24670</v>
      </c>
      <c r="I637" s="2">
        <v>44713</v>
      </c>
      <c r="J637" s="1">
        <v>10.91</v>
      </c>
      <c r="K637" s="4">
        <f t="shared" si="21"/>
        <v>86.441020999999992</v>
      </c>
      <c r="L637" s="4">
        <f t="shared" si="22"/>
        <v>705.86897899999997</v>
      </c>
    </row>
    <row r="638" spans="1:12" x14ac:dyDescent="0.3">
      <c r="A638" s="1">
        <v>1636</v>
      </c>
      <c r="B638" s="2">
        <v>45358</v>
      </c>
      <c r="C638" s="1" t="s">
        <v>14</v>
      </c>
      <c r="D638" s="1" t="s">
        <v>44</v>
      </c>
      <c r="E638" s="1" t="s">
        <v>16</v>
      </c>
      <c r="F638" s="1">
        <v>2263.83</v>
      </c>
      <c r="G638" s="1" t="s">
        <v>298</v>
      </c>
      <c r="H638" s="2">
        <v>30410</v>
      </c>
      <c r="I638" s="2">
        <v>45367</v>
      </c>
      <c r="J638" s="1">
        <v>22.05</v>
      </c>
      <c r="K638" s="4">
        <f t="shared" si="21"/>
        <v>499.17451499999999</v>
      </c>
      <c r="L638" s="4">
        <f t="shared" si="22"/>
        <v>1764.655485</v>
      </c>
    </row>
    <row r="639" spans="1:12" x14ac:dyDescent="0.3">
      <c r="A639" s="1">
        <v>1637</v>
      </c>
      <c r="B639" s="2">
        <v>45883</v>
      </c>
      <c r="C639" s="1" t="s">
        <v>21</v>
      </c>
      <c r="D639" s="1" t="s">
        <v>73</v>
      </c>
      <c r="E639" s="1" t="s">
        <v>28</v>
      </c>
      <c r="F639" s="1">
        <v>515.75</v>
      </c>
      <c r="G639" s="1" t="s">
        <v>293</v>
      </c>
      <c r="H639" s="2">
        <v>26379</v>
      </c>
      <c r="I639" s="2">
        <v>45892</v>
      </c>
      <c r="J639" s="1">
        <v>44.38</v>
      </c>
      <c r="K639" s="4">
        <f t="shared" si="21"/>
        <v>228.88985000000002</v>
      </c>
      <c r="L639" s="4">
        <f t="shared" si="22"/>
        <v>286.86014999999998</v>
      </c>
    </row>
    <row r="640" spans="1:12" x14ac:dyDescent="0.3">
      <c r="A640" s="1">
        <v>1638</v>
      </c>
      <c r="B640" s="2">
        <v>45552</v>
      </c>
      <c r="C640" s="1" t="s">
        <v>14</v>
      </c>
      <c r="D640" s="1" t="s">
        <v>15</v>
      </c>
      <c r="E640" s="1" t="s">
        <v>16</v>
      </c>
      <c r="F640" s="1">
        <v>2138.29</v>
      </c>
      <c r="G640" s="1" t="s">
        <v>119</v>
      </c>
      <c r="H640" s="2">
        <v>34954</v>
      </c>
      <c r="I640" s="2">
        <v>45558</v>
      </c>
      <c r="J640" s="1">
        <v>4.1399999999999997</v>
      </c>
      <c r="K640" s="4">
        <f t="shared" si="21"/>
        <v>88.525205999999997</v>
      </c>
      <c r="L640" s="4">
        <f t="shared" si="22"/>
        <v>2049.7647940000002</v>
      </c>
    </row>
    <row r="641" spans="1:12" x14ac:dyDescent="0.3">
      <c r="A641" s="1">
        <v>1639</v>
      </c>
      <c r="B641" s="2">
        <v>44586</v>
      </c>
      <c r="C641" s="1" t="s">
        <v>21</v>
      </c>
      <c r="D641" s="1" t="s">
        <v>24</v>
      </c>
      <c r="E641" s="1" t="s">
        <v>19</v>
      </c>
      <c r="F641" s="1">
        <v>2315.33</v>
      </c>
      <c r="G641" s="1" t="s">
        <v>180</v>
      </c>
      <c r="H641" s="2">
        <v>25163</v>
      </c>
      <c r="I641" s="2">
        <v>44597</v>
      </c>
      <c r="J641" s="1">
        <v>34.07</v>
      </c>
      <c r="K641" s="4">
        <f t="shared" si="21"/>
        <v>788.83293100000003</v>
      </c>
      <c r="L641" s="4">
        <f t="shared" si="22"/>
        <v>1526.497069</v>
      </c>
    </row>
    <row r="642" spans="1:12" x14ac:dyDescent="0.3">
      <c r="A642" s="1">
        <v>1640</v>
      </c>
      <c r="B642" s="2">
        <v>45661</v>
      </c>
      <c r="C642" s="1" t="s">
        <v>35</v>
      </c>
      <c r="D642" s="1" t="s">
        <v>15</v>
      </c>
      <c r="E642" s="1" t="s">
        <v>16</v>
      </c>
      <c r="F642" s="1">
        <v>3804.9</v>
      </c>
      <c r="G642" s="1" t="s">
        <v>298</v>
      </c>
      <c r="H642" s="2">
        <v>30410</v>
      </c>
      <c r="I642" s="2">
        <v>45663</v>
      </c>
      <c r="J642" s="1">
        <v>6.91</v>
      </c>
      <c r="K642" s="4">
        <f t="shared" si="21"/>
        <v>262.91858999999999</v>
      </c>
      <c r="L642" s="4">
        <f t="shared" si="22"/>
        <v>3541.9814100000003</v>
      </c>
    </row>
    <row r="643" spans="1:12" x14ac:dyDescent="0.3">
      <c r="A643" s="1">
        <v>1641</v>
      </c>
      <c r="B643" s="2">
        <v>45770</v>
      </c>
      <c r="C643" s="1" t="s">
        <v>26</v>
      </c>
      <c r="D643" s="1" t="s">
        <v>44</v>
      </c>
      <c r="E643" s="1" t="s">
        <v>16</v>
      </c>
      <c r="F643" s="1">
        <v>1233.6500000000001</v>
      </c>
      <c r="G643" s="1" t="s">
        <v>233</v>
      </c>
      <c r="H643" s="2">
        <v>38826</v>
      </c>
      <c r="I643" s="2">
        <v>45782</v>
      </c>
      <c r="J643" s="1">
        <v>7.16</v>
      </c>
      <c r="K643" s="4">
        <f t="shared" ref="K643:K706" si="23">F643*J643%</f>
        <v>88.329340000000002</v>
      </c>
      <c r="L643" s="4">
        <f t="shared" ref="L643:L706" si="24">F643-K643</f>
        <v>1145.3206600000001</v>
      </c>
    </row>
    <row r="644" spans="1:12" x14ac:dyDescent="0.3">
      <c r="A644" s="1">
        <v>1642</v>
      </c>
      <c r="B644" s="2">
        <v>45094</v>
      </c>
      <c r="C644" s="1" t="s">
        <v>35</v>
      </c>
      <c r="D644" s="1" t="s">
        <v>44</v>
      </c>
      <c r="E644" s="1" t="s">
        <v>16</v>
      </c>
      <c r="F644" s="1">
        <v>2282.48</v>
      </c>
      <c r="G644" s="1" t="s">
        <v>144</v>
      </c>
      <c r="H644" s="2">
        <v>34571</v>
      </c>
      <c r="I644" s="2">
        <v>45095</v>
      </c>
      <c r="J644" s="1">
        <v>1.72</v>
      </c>
      <c r="K644" s="4">
        <f t="shared" si="23"/>
        <v>39.258656000000002</v>
      </c>
      <c r="L644" s="4">
        <f t="shared" si="24"/>
        <v>2243.221344</v>
      </c>
    </row>
    <row r="645" spans="1:12" x14ac:dyDescent="0.3">
      <c r="A645" s="1">
        <v>1643</v>
      </c>
      <c r="B645" s="2">
        <v>44347</v>
      </c>
      <c r="C645" s="1" t="s">
        <v>26</v>
      </c>
      <c r="D645" s="1" t="s">
        <v>30</v>
      </c>
      <c r="E645" s="1" t="s">
        <v>31</v>
      </c>
      <c r="F645" s="1">
        <v>4221.93</v>
      </c>
      <c r="G645" s="1" t="s">
        <v>37</v>
      </c>
      <c r="H645" s="2">
        <v>27534</v>
      </c>
      <c r="I645" s="2">
        <v>44356</v>
      </c>
      <c r="J645" s="1">
        <v>31.97</v>
      </c>
      <c r="K645" s="4">
        <f t="shared" si="23"/>
        <v>1349.751021</v>
      </c>
      <c r="L645" s="4">
        <f t="shared" si="24"/>
        <v>2872.1789790000003</v>
      </c>
    </row>
    <row r="646" spans="1:12" x14ac:dyDescent="0.3">
      <c r="A646" s="1">
        <v>1644</v>
      </c>
      <c r="B646" s="2">
        <v>44353</v>
      </c>
      <c r="C646" s="1" t="s">
        <v>10</v>
      </c>
      <c r="D646" s="1" t="s">
        <v>65</v>
      </c>
      <c r="E646" s="1" t="s">
        <v>19</v>
      </c>
      <c r="F646" s="1">
        <v>2669.73</v>
      </c>
      <c r="G646" s="1" t="s">
        <v>301</v>
      </c>
      <c r="H646" s="2">
        <v>31775</v>
      </c>
      <c r="I646" s="2">
        <v>44358</v>
      </c>
      <c r="J646" s="1">
        <v>41.87</v>
      </c>
      <c r="K646" s="4">
        <f t="shared" si="23"/>
        <v>1117.8159509999998</v>
      </c>
      <c r="L646" s="4">
        <f t="shared" si="24"/>
        <v>1551.9140490000002</v>
      </c>
    </row>
    <row r="647" spans="1:12" x14ac:dyDescent="0.3">
      <c r="A647" s="1">
        <v>1645</v>
      </c>
      <c r="B647" s="2">
        <v>44100</v>
      </c>
      <c r="C647" s="1" t="s">
        <v>21</v>
      </c>
      <c r="D647" s="1" t="s">
        <v>38</v>
      </c>
      <c r="E647" s="1" t="s">
        <v>28</v>
      </c>
      <c r="F647" s="1">
        <v>1691.89</v>
      </c>
      <c r="G647" s="1" t="s">
        <v>191</v>
      </c>
      <c r="H647" s="2">
        <v>37495</v>
      </c>
      <c r="I647" s="2">
        <v>44107</v>
      </c>
      <c r="J647" s="1">
        <v>15.04</v>
      </c>
      <c r="K647" s="4">
        <f t="shared" si="23"/>
        <v>254.46025599999999</v>
      </c>
      <c r="L647" s="4">
        <f t="shared" si="24"/>
        <v>1437.429744</v>
      </c>
    </row>
    <row r="648" spans="1:12" x14ac:dyDescent="0.3">
      <c r="A648" s="1">
        <v>1646</v>
      </c>
      <c r="B648" s="2">
        <v>45630</v>
      </c>
      <c r="C648" s="1" t="s">
        <v>10</v>
      </c>
      <c r="D648" s="1" t="s">
        <v>33</v>
      </c>
      <c r="E648" s="1" t="s">
        <v>16</v>
      </c>
      <c r="F648" s="1">
        <v>830.37</v>
      </c>
      <c r="G648" s="1" t="s">
        <v>261</v>
      </c>
      <c r="H648" s="2">
        <v>23920</v>
      </c>
      <c r="I648" s="2">
        <v>45636</v>
      </c>
      <c r="J648" s="1">
        <v>4.28</v>
      </c>
      <c r="K648" s="4">
        <f t="shared" si="23"/>
        <v>35.539836000000001</v>
      </c>
      <c r="L648" s="4">
        <f t="shared" si="24"/>
        <v>794.83016399999997</v>
      </c>
    </row>
    <row r="649" spans="1:12" x14ac:dyDescent="0.3">
      <c r="A649" s="1">
        <v>1647</v>
      </c>
      <c r="B649" s="2">
        <v>45397</v>
      </c>
      <c r="C649" s="1" t="s">
        <v>10</v>
      </c>
      <c r="D649" s="1" t="s">
        <v>36</v>
      </c>
      <c r="E649" s="1" t="s">
        <v>28</v>
      </c>
      <c r="F649" s="1">
        <v>3017.29</v>
      </c>
      <c r="G649" s="1" t="s">
        <v>50</v>
      </c>
      <c r="H649" s="2">
        <v>22594</v>
      </c>
      <c r="I649" s="2">
        <v>45408</v>
      </c>
      <c r="J649" s="1">
        <v>40.770000000000003</v>
      </c>
      <c r="K649" s="4">
        <f t="shared" si="23"/>
        <v>1230.1491329999999</v>
      </c>
      <c r="L649" s="4">
        <f t="shared" si="24"/>
        <v>1787.1408670000001</v>
      </c>
    </row>
    <row r="650" spans="1:12" x14ac:dyDescent="0.3">
      <c r="A650" s="1">
        <v>1648</v>
      </c>
      <c r="B650" s="2">
        <v>44377</v>
      </c>
      <c r="C650" s="1" t="s">
        <v>35</v>
      </c>
      <c r="D650" s="1" t="s">
        <v>18</v>
      </c>
      <c r="E650" s="1" t="s">
        <v>19</v>
      </c>
      <c r="F650" s="1">
        <v>1210.22</v>
      </c>
      <c r="G650" s="1" t="s">
        <v>303</v>
      </c>
      <c r="H650" s="2">
        <v>30474</v>
      </c>
      <c r="I650" s="2">
        <v>44382</v>
      </c>
      <c r="J650" s="1">
        <v>46.37</v>
      </c>
      <c r="K650" s="4">
        <f t="shared" si="23"/>
        <v>561.17901400000005</v>
      </c>
      <c r="L650" s="4">
        <f t="shared" si="24"/>
        <v>649.04098599999998</v>
      </c>
    </row>
    <row r="651" spans="1:12" x14ac:dyDescent="0.3">
      <c r="A651" s="1">
        <v>1649</v>
      </c>
      <c r="B651" s="2">
        <v>44132</v>
      </c>
      <c r="C651" s="1" t="s">
        <v>35</v>
      </c>
      <c r="D651" s="1" t="s">
        <v>73</v>
      </c>
      <c r="E651" s="1" t="s">
        <v>28</v>
      </c>
      <c r="F651" s="1">
        <v>4753.34</v>
      </c>
      <c r="G651" s="1" t="s">
        <v>222</v>
      </c>
      <c r="H651" s="2">
        <v>28619</v>
      </c>
      <c r="I651" s="2">
        <v>44140</v>
      </c>
      <c r="J651" s="1">
        <v>6.29</v>
      </c>
      <c r="K651" s="4">
        <f t="shared" si="23"/>
        <v>298.98508600000002</v>
      </c>
      <c r="L651" s="4">
        <f t="shared" si="24"/>
        <v>4454.3549140000005</v>
      </c>
    </row>
    <row r="652" spans="1:12" x14ac:dyDescent="0.3">
      <c r="A652" s="1">
        <v>1650</v>
      </c>
      <c r="B652" s="2">
        <v>44820</v>
      </c>
      <c r="C652" s="1" t="s">
        <v>26</v>
      </c>
      <c r="D652" s="1" t="s">
        <v>33</v>
      </c>
      <c r="E652" s="1" t="s">
        <v>16</v>
      </c>
      <c r="F652" s="1">
        <v>981.87</v>
      </c>
      <c r="G652" s="1" t="s">
        <v>165</v>
      </c>
      <c r="H652" s="2">
        <v>29887</v>
      </c>
      <c r="I652" s="2">
        <v>44827</v>
      </c>
      <c r="J652" s="1">
        <v>0.65</v>
      </c>
      <c r="K652" s="4">
        <f t="shared" si="23"/>
        <v>6.3821550000000009</v>
      </c>
      <c r="L652" s="4">
        <f t="shared" si="24"/>
        <v>975.48784499999999</v>
      </c>
    </row>
    <row r="653" spans="1:12" x14ac:dyDescent="0.3">
      <c r="A653" s="1">
        <v>1651</v>
      </c>
      <c r="B653" s="2">
        <v>44720</v>
      </c>
      <c r="C653" s="1" t="s">
        <v>10</v>
      </c>
      <c r="D653" s="1" t="s">
        <v>65</v>
      </c>
      <c r="E653" s="1" t="s">
        <v>19</v>
      </c>
      <c r="F653" s="1">
        <v>563.67999999999995</v>
      </c>
      <c r="G653" s="1" t="s">
        <v>143</v>
      </c>
      <c r="H653" s="2">
        <v>37490</v>
      </c>
      <c r="I653" s="2">
        <v>44724</v>
      </c>
      <c r="J653" s="1">
        <v>18.170000000000002</v>
      </c>
      <c r="K653" s="4">
        <f t="shared" si="23"/>
        <v>102.42065600000001</v>
      </c>
      <c r="L653" s="4">
        <f t="shared" si="24"/>
        <v>461.25934399999994</v>
      </c>
    </row>
    <row r="654" spans="1:12" x14ac:dyDescent="0.3">
      <c r="A654" s="1">
        <v>1652</v>
      </c>
      <c r="B654" s="2">
        <v>44476</v>
      </c>
      <c r="C654" s="1" t="s">
        <v>10</v>
      </c>
      <c r="D654" s="1" t="s">
        <v>58</v>
      </c>
      <c r="E654" s="1" t="s">
        <v>31</v>
      </c>
      <c r="F654" s="1">
        <v>1065.97</v>
      </c>
      <c r="G654" s="1" t="s">
        <v>135</v>
      </c>
      <c r="H654" s="2">
        <v>38018</v>
      </c>
      <c r="I654" s="2">
        <v>44489</v>
      </c>
      <c r="J654" s="1">
        <v>16.690000000000001</v>
      </c>
      <c r="K654" s="4">
        <f t="shared" si="23"/>
        <v>177.91039300000003</v>
      </c>
      <c r="L654" s="4">
        <f t="shared" si="24"/>
        <v>888.05960700000003</v>
      </c>
    </row>
    <row r="655" spans="1:12" x14ac:dyDescent="0.3">
      <c r="A655" s="1">
        <v>1653</v>
      </c>
      <c r="B655" s="2">
        <v>44374</v>
      </c>
      <c r="C655" s="1" t="s">
        <v>14</v>
      </c>
      <c r="D655" s="1" t="s">
        <v>36</v>
      </c>
      <c r="E655" s="1" t="s">
        <v>28</v>
      </c>
      <c r="F655" s="1">
        <v>1898.29</v>
      </c>
      <c r="G655" s="1" t="s">
        <v>304</v>
      </c>
      <c r="H655" s="2">
        <v>36246</v>
      </c>
      <c r="I655" s="2">
        <v>44386</v>
      </c>
      <c r="J655" s="1">
        <v>30.32</v>
      </c>
      <c r="K655" s="4">
        <f t="shared" si="23"/>
        <v>575.56152800000007</v>
      </c>
      <c r="L655" s="4">
        <f t="shared" si="24"/>
        <v>1322.7284719999998</v>
      </c>
    </row>
    <row r="656" spans="1:12" x14ac:dyDescent="0.3">
      <c r="A656" s="1">
        <v>1654</v>
      </c>
      <c r="B656" s="2">
        <v>44437</v>
      </c>
      <c r="C656" s="1" t="s">
        <v>26</v>
      </c>
      <c r="D656" s="1" t="s">
        <v>30</v>
      </c>
      <c r="E656" s="1" t="s">
        <v>31</v>
      </c>
      <c r="F656" s="1">
        <v>2209.92</v>
      </c>
      <c r="G656" s="1" t="s">
        <v>238</v>
      </c>
      <c r="H656" s="2">
        <v>31880</v>
      </c>
      <c r="I656" s="2">
        <v>44450</v>
      </c>
      <c r="J656" s="1">
        <v>4.3099999999999996</v>
      </c>
      <c r="K656" s="4">
        <f t="shared" si="23"/>
        <v>95.247551999999999</v>
      </c>
      <c r="L656" s="4">
        <f t="shared" si="24"/>
        <v>2114.6724480000003</v>
      </c>
    </row>
    <row r="657" spans="1:12" x14ac:dyDescent="0.3">
      <c r="A657" s="1">
        <v>1655</v>
      </c>
      <c r="B657" s="2">
        <v>44345</v>
      </c>
      <c r="C657" s="1" t="s">
        <v>26</v>
      </c>
      <c r="D657" s="1" t="s">
        <v>22</v>
      </c>
      <c r="E657" s="1" t="s">
        <v>19</v>
      </c>
      <c r="F657" s="1">
        <v>2307.13</v>
      </c>
      <c r="G657" s="1" t="s">
        <v>171</v>
      </c>
      <c r="H657" s="2">
        <v>31261</v>
      </c>
      <c r="I657" s="2">
        <v>44354</v>
      </c>
      <c r="J657" s="1">
        <v>37.06</v>
      </c>
      <c r="K657" s="4">
        <f t="shared" si="23"/>
        <v>855.02237800000012</v>
      </c>
      <c r="L657" s="4">
        <f t="shared" si="24"/>
        <v>1452.107622</v>
      </c>
    </row>
    <row r="658" spans="1:12" x14ac:dyDescent="0.3">
      <c r="A658" s="1">
        <v>1656</v>
      </c>
      <c r="B658" s="2">
        <v>44918</v>
      </c>
      <c r="C658" s="1" t="s">
        <v>35</v>
      </c>
      <c r="D658" s="1" t="s">
        <v>88</v>
      </c>
      <c r="E658" s="1" t="s">
        <v>16</v>
      </c>
      <c r="F658" s="1">
        <v>1309.18</v>
      </c>
      <c r="G658" s="1" t="s">
        <v>130</v>
      </c>
      <c r="H658" s="2">
        <v>38750</v>
      </c>
      <c r="I658" s="2">
        <v>44928</v>
      </c>
      <c r="J658" s="1">
        <v>26.82</v>
      </c>
      <c r="K658" s="4">
        <f t="shared" si="23"/>
        <v>351.12207599999999</v>
      </c>
      <c r="L658" s="4">
        <f t="shared" si="24"/>
        <v>958.05792400000007</v>
      </c>
    </row>
    <row r="659" spans="1:12" x14ac:dyDescent="0.3">
      <c r="A659" s="1">
        <v>1657</v>
      </c>
      <c r="B659" s="2">
        <v>44362</v>
      </c>
      <c r="C659" s="1" t="s">
        <v>10</v>
      </c>
      <c r="D659" s="1" t="s">
        <v>55</v>
      </c>
      <c r="E659" s="1" t="s">
        <v>31</v>
      </c>
      <c r="F659" s="1">
        <v>528.41999999999996</v>
      </c>
      <c r="G659" s="1" t="s">
        <v>108</v>
      </c>
      <c r="H659" s="2">
        <v>33413</v>
      </c>
      <c r="I659" s="2">
        <v>44371</v>
      </c>
      <c r="J659" s="1">
        <v>23.23</v>
      </c>
      <c r="K659" s="4">
        <f t="shared" si="23"/>
        <v>122.751966</v>
      </c>
      <c r="L659" s="4">
        <f t="shared" si="24"/>
        <v>405.66803399999998</v>
      </c>
    </row>
    <row r="660" spans="1:12" x14ac:dyDescent="0.3">
      <c r="A660" s="1">
        <v>1658</v>
      </c>
      <c r="B660" s="2">
        <v>44430</v>
      </c>
      <c r="C660" s="1" t="s">
        <v>35</v>
      </c>
      <c r="D660" s="1" t="s">
        <v>49</v>
      </c>
      <c r="E660" s="1" t="s">
        <v>12</v>
      </c>
      <c r="F660" s="1">
        <v>2670.17</v>
      </c>
      <c r="G660" s="1" t="s">
        <v>288</v>
      </c>
      <c r="H660" s="2">
        <v>29810</v>
      </c>
      <c r="I660" s="2">
        <v>44441</v>
      </c>
      <c r="J660" s="1">
        <v>15.3</v>
      </c>
      <c r="K660" s="4">
        <f t="shared" si="23"/>
        <v>408.53600999999998</v>
      </c>
      <c r="L660" s="4">
        <f t="shared" si="24"/>
        <v>2261.6339900000003</v>
      </c>
    </row>
    <row r="661" spans="1:12" x14ac:dyDescent="0.3">
      <c r="A661" s="1">
        <v>1659</v>
      </c>
      <c r="B661" s="2">
        <v>45036</v>
      </c>
      <c r="C661" s="1" t="s">
        <v>21</v>
      </c>
      <c r="D661" s="1" t="s">
        <v>71</v>
      </c>
      <c r="E661" s="1" t="s">
        <v>31</v>
      </c>
      <c r="F661" s="1">
        <v>2555.38</v>
      </c>
      <c r="G661" s="1" t="s">
        <v>305</v>
      </c>
      <c r="H661" s="2">
        <v>21940</v>
      </c>
      <c r="I661" s="2">
        <v>45041</v>
      </c>
      <c r="J661" s="1">
        <v>19.41</v>
      </c>
      <c r="K661" s="4">
        <f t="shared" si="23"/>
        <v>495.999258</v>
      </c>
      <c r="L661" s="4">
        <f t="shared" si="24"/>
        <v>2059.3807420000003</v>
      </c>
    </row>
    <row r="662" spans="1:12" x14ac:dyDescent="0.3">
      <c r="A662" s="1">
        <v>1660</v>
      </c>
      <c r="B662" s="2">
        <v>44120</v>
      </c>
      <c r="C662" s="1" t="s">
        <v>26</v>
      </c>
      <c r="D662" s="1" t="s">
        <v>55</v>
      </c>
      <c r="E662" s="1" t="s">
        <v>31</v>
      </c>
      <c r="F662" s="1">
        <v>4831.3999999999996</v>
      </c>
      <c r="G662" s="1" t="s">
        <v>163</v>
      </c>
      <c r="H662" s="2">
        <v>30364</v>
      </c>
      <c r="I662" s="2">
        <v>44127</v>
      </c>
      <c r="J662" s="1">
        <v>19.36</v>
      </c>
      <c r="K662" s="4">
        <f t="shared" si="23"/>
        <v>935.35903999999994</v>
      </c>
      <c r="L662" s="4">
        <f t="shared" si="24"/>
        <v>3896.0409599999998</v>
      </c>
    </row>
    <row r="663" spans="1:12" x14ac:dyDescent="0.3">
      <c r="A663" s="1">
        <v>1661</v>
      </c>
      <c r="B663" s="2">
        <v>45816</v>
      </c>
      <c r="C663" s="1" t="s">
        <v>14</v>
      </c>
      <c r="D663" s="1" t="s">
        <v>22</v>
      </c>
      <c r="E663" s="1" t="s">
        <v>19</v>
      </c>
      <c r="F663" s="1">
        <v>4672.3599999999997</v>
      </c>
      <c r="G663" s="1" t="s">
        <v>189</v>
      </c>
      <c r="H663" s="2">
        <v>34164</v>
      </c>
      <c r="I663" s="2">
        <v>45827</v>
      </c>
      <c r="J663" s="1">
        <v>14.4</v>
      </c>
      <c r="K663" s="4">
        <f t="shared" si="23"/>
        <v>672.81984</v>
      </c>
      <c r="L663" s="4">
        <f t="shared" si="24"/>
        <v>3999.5401599999996</v>
      </c>
    </row>
    <row r="664" spans="1:12" x14ac:dyDescent="0.3">
      <c r="A664" s="1">
        <v>1662</v>
      </c>
      <c r="B664" s="2">
        <v>44407</v>
      </c>
      <c r="C664" s="1" t="s">
        <v>26</v>
      </c>
      <c r="D664" s="1" t="s">
        <v>38</v>
      </c>
      <c r="E664" s="1" t="s">
        <v>28</v>
      </c>
      <c r="F664" s="1">
        <v>849.78</v>
      </c>
      <c r="G664" s="1" t="s">
        <v>262</v>
      </c>
      <c r="H664" s="2">
        <v>36590</v>
      </c>
      <c r="I664" s="2">
        <v>44420</v>
      </c>
      <c r="J664" s="1">
        <v>1.58</v>
      </c>
      <c r="K664" s="4">
        <f t="shared" si="23"/>
        <v>13.426524000000001</v>
      </c>
      <c r="L664" s="4">
        <f t="shared" si="24"/>
        <v>836.353476</v>
      </c>
    </row>
    <row r="665" spans="1:12" x14ac:dyDescent="0.3">
      <c r="A665" s="1">
        <v>1663</v>
      </c>
      <c r="B665" s="2">
        <v>44120</v>
      </c>
      <c r="C665" s="1" t="s">
        <v>21</v>
      </c>
      <c r="D665" s="1" t="s">
        <v>88</v>
      </c>
      <c r="E665" s="1" t="s">
        <v>16</v>
      </c>
      <c r="F665" s="1">
        <v>1174.31</v>
      </c>
      <c r="G665" s="1" t="s">
        <v>300</v>
      </c>
      <c r="H665" s="2">
        <v>24322</v>
      </c>
      <c r="I665" s="2">
        <v>44129</v>
      </c>
      <c r="J665" s="1">
        <v>14.95</v>
      </c>
      <c r="K665" s="4">
        <f t="shared" si="23"/>
        <v>175.55934499999998</v>
      </c>
      <c r="L665" s="4">
        <f t="shared" si="24"/>
        <v>998.75065499999994</v>
      </c>
    </row>
    <row r="666" spans="1:12" x14ac:dyDescent="0.3">
      <c r="A666" s="1">
        <v>1664</v>
      </c>
      <c r="B666" s="2">
        <v>45789</v>
      </c>
      <c r="C666" s="1" t="s">
        <v>14</v>
      </c>
      <c r="D666" s="1" t="s">
        <v>27</v>
      </c>
      <c r="E666" s="1" t="s">
        <v>28</v>
      </c>
      <c r="F666" s="1">
        <v>209.13</v>
      </c>
      <c r="G666" s="1" t="s">
        <v>149</v>
      </c>
      <c r="H666" s="2">
        <v>26155</v>
      </c>
      <c r="I666" s="2">
        <v>45793</v>
      </c>
      <c r="J666" s="1">
        <v>19.75</v>
      </c>
      <c r="K666" s="4">
        <f t="shared" si="23"/>
        <v>41.303175000000003</v>
      </c>
      <c r="L666" s="4">
        <f t="shared" si="24"/>
        <v>167.82682499999999</v>
      </c>
    </row>
    <row r="667" spans="1:12" x14ac:dyDescent="0.3">
      <c r="A667" s="1">
        <v>1665</v>
      </c>
      <c r="B667" s="2">
        <v>44583</v>
      </c>
      <c r="C667" s="1" t="s">
        <v>26</v>
      </c>
      <c r="D667" s="1" t="s">
        <v>11</v>
      </c>
      <c r="E667" s="1" t="s">
        <v>12</v>
      </c>
      <c r="F667" s="1">
        <v>4882.18</v>
      </c>
      <c r="G667" s="1" t="s">
        <v>169</v>
      </c>
      <c r="H667" s="2">
        <v>37894</v>
      </c>
      <c r="I667" s="2">
        <v>44590</v>
      </c>
      <c r="J667" s="1">
        <v>28.88</v>
      </c>
      <c r="K667" s="4">
        <f t="shared" si="23"/>
        <v>1409.9735840000001</v>
      </c>
      <c r="L667" s="4">
        <f t="shared" si="24"/>
        <v>3472.206416</v>
      </c>
    </row>
    <row r="668" spans="1:12" x14ac:dyDescent="0.3">
      <c r="A668" s="1">
        <v>1666</v>
      </c>
      <c r="B668" s="2">
        <v>45636</v>
      </c>
      <c r="C668" s="1" t="s">
        <v>10</v>
      </c>
      <c r="D668" s="1" t="s">
        <v>71</v>
      </c>
      <c r="E668" s="1" t="s">
        <v>31</v>
      </c>
      <c r="F668" s="1">
        <v>639.63</v>
      </c>
      <c r="G668" s="1" t="s">
        <v>301</v>
      </c>
      <c r="H668" s="2">
        <v>31775</v>
      </c>
      <c r="I668" s="2">
        <v>45641</v>
      </c>
      <c r="J668" s="1">
        <v>41.11</v>
      </c>
      <c r="K668" s="4">
        <f t="shared" si="23"/>
        <v>262.95189299999998</v>
      </c>
      <c r="L668" s="4">
        <f t="shared" si="24"/>
        <v>376.67810700000001</v>
      </c>
    </row>
    <row r="669" spans="1:12" x14ac:dyDescent="0.3">
      <c r="A669" s="1">
        <v>1667</v>
      </c>
      <c r="B669" s="2">
        <v>44932</v>
      </c>
      <c r="C669" s="1" t="s">
        <v>35</v>
      </c>
      <c r="D669" s="1" t="s">
        <v>24</v>
      </c>
      <c r="E669" s="1" t="s">
        <v>19</v>
      </c>
      <c r="F669" s="1">
        <v>2188.62</v>
      </c>
      <c r="G669" s="1" t="s">
        <v>136</v>
      </c>
      <c r="H669" s="2">
        <v>23704</v>
      </c>
      <c r="I669" s="2">
        <v>44942</v>
      </c>
      <c r="J669" s="1">
        <v>30.97</v>
      </c>
      <c r="K669" s="4">
        <f t="shared" si="23"/>
        <v>677.81561399999987</v>
      </c>
      <c r="L669" s="4">
        <f t="shared" si="24"/>
        <v>1510.804386</v>
      </c>
    </row>
    <row r="670" spans="1:12" x14ac:dyDescent="0.3">
      <c r="A670" s="1">
        <v>1668</v>
      </c>
      <c r="B670" s="2">
        <v>44744</v>
      </c>
      <c r="C670" s="1" t="s">
        <v>35</v>
      </c>
      <c r="D670" s="1" t="s">
        <v>69</v>
      </c>
      <c r="E670" s="1" t="s">
        <v>12</v>
      </c>
      <c r="F670" s="1">
        <v>789.74</v>
      </c>
      <c r="G670" s="1" t="s">
        <v>89</v>
      </c>
      <c r="H670" s="2">
        <v>37141</v>
      </c>
      <c r="I670" s="2">
        <v>44749</v>
      </c>
      <c r="J670" s="1">
        <v>5.84</v>
      </c>
      <c r="K670" s="4">
        <f t="shared" si="23"/>
        <v>46.120815999999998</v>
      </c>
      <c r="L670" s="4">
        <f t="shared" si="24"/>
        <v>743.61918400000002</v>
      </c>
    </row>
    <row r="671" spans="1:12" x14ac:dyDescent="0.3">
      <c r="A671" s="1">
        <v>1669</v>
      </c>
      <c r="B671" s="2">
        <v>44270</v>
      </c>
      <c r="C671" s="1" t="s">
        <v>26</v>
      </c>
      <c r="D671" s="1" t="s">
        <v>65</v>
      </c>
      <c r="E671" s="1" t="s">
        <v>19</v>
      </c>
      <c r="F671" s="1">
        <v>3669.41</v>
      </c>
      <c r="G671" s="1" t="s">
        <v>207</v>
      </c>
      <c r="H671" s="2">
        <v>23988</v>
      </c>
      <c r="I671" s="2">
        <v>44284</v>
      </c>
      <c r="J671" s="1">
        <v>42.15</v>
      </c>
      <c r="K671" s="4">
        <f t="shared" si="23"/>
        <v>1546.6563149999999</v>
      </c>
      <c r="L671" s="4">
        <f t="shared" si="24"/>
        <v>2122.7536849999997</v>
      </c>
    </row>
    <row r="672" spans="1:12" x14ac:dyDescent="0.3">
      <c r="A672" s="1">
        <v>1670</v>
      </c>
      <c r="B672" s="2">
        <v>45041</v>
      </c>
      <c r="C672" s="1" t="s">
        <v>21</v>
      </c>
      <c r="D672" s="1" t="s">
        <v>69</v>
      </c>
      <c r="E672" s="1" t="s">
        <v>31</v>
      </c>
      <c r="F672" s="1">
        <v>2238.67</v>
      </c>
      <c r="G672" s="1" t="s">
        <v>142</v>
      </c>
      <c r="H672" s="2">
        <v>29541</v>
      </c>
      <c r="I672" s="2">
        <v>45049</v>
      </c>
      <c r="J672" s="1">
        <v>12.27</v>
      </c>
      <c r="K672" s="4">
        <f t="shared" si="23"/>
        <v>274.68480899999997</v>
      </c>
      <c r="L672" s="4">
        <f t="shared" si="24"/>
        <v>1963.9851910000002</v>
      </c>
    </row>
    <row r="673" spans="1:12" x14ac:dyDescent="0.3">
      <c r="A673" s="1">
        <v>1671</v>
      </c>
      <c r="B673" s="2">
        <v>45412</v>
      </c>
      <c r="C673" s="1" t="s">
        <v>10</v>
      </c>
      <c r="D673" s="1" t="s">
        <v>15</v>
      </c>
      <c r="E673" s="1" t="s">
        <v>16</v>
      </c>
      <c r="F673" s="1">
        <v>1138.79</v>
      </c>
      <c r="G673" s="1" t="s">
        <v>85</v>
      </c>
      <c r="H673" s="2">
        <v>37236</v>
      </c>
      <c r="I673" s="2">
        <v>45422</v>
      </c>
      <c r="J673" s="1">
        <v>32.72</v>
      </c>
      <c r="K673" s="4">
        <f t="shared" si="23"/>
        <v>372.61208799999997</v>
      </c>
      <c r="L673" s="4">
        <f t="shared" si="24"/>
        <v>766.17791199999999</v>
      </c>
    </row>
    <row r="674" spans="1:12" x14ac:dyDescent="0.3">
      <c r="A674" s="1">
        <v>1672</v>
      </c>
      <c r="B674" s="2">
        <v>45872</v>
      </c>
      <c r="C674" s="1" t="s">
        <v>21</v>
      </c>
      <c r="D674" s="1" t="s">
        <v>11</v>
      </c>
      <c r="E674" s="1" t="s">
        <v>12</v>
      </c>
      <c r="F674" s="1">
        <v>1098.3800000000001</v>
      </c>
      <c r="G674" s="1" t="s">
        <v>133</v>
      </c>
      <c r="H674" s="2">
        <v>23264</v>
      </c>
      <c r="I674" s="2">
        <v>45875</v>
      </c>
      <c r="J674" s="1">
        <v>9.08</v>
      </c>
      <c r="K674" s="4">
        <f t="shared" si="23"/>
        <v>99.732904000000019</v>
      </c>
      <c r="L674" s="4">
        <f t="shared" si="24"/>
        <v>998.64709600000015</v>
      </c>
    </row>
    <row r="675" spans="1:12" x14ac:dyDescent="0.3">
      <c r="A675" s="1">
        <v>1673</v>
      </c>
      <c r="B675" s="2">
        <v>44190</v>
      </c>
      <c r="C675" s="1" t="s">
        <v>35</v>
      </c>
      <c r="D675" s="1" t="s">
        <v>44</v>
      </c>
      <c r="E675" s="1" t="s">
        <v>16</v>
      </c>
      <c r="F675" s="1">
        <v>1502.05</v>
      </c>
      <c r="G675" s="1" t="s">
        <v>95</v>
      </c>
      <c r="H675" s="2">
        <v>25821</v>
      </c>
      <c r="I675" s="2">
        <v>44201</v>
      </c>
      <c r="J675" s="1">
        <v>10.3</v>
      </c>
      <c r="K675" s="4">
        <f t="shared" si="23"/>
        <v>154.71115</v>
      </c>
      <c r="L675" s="4">
        <f t="shared" si="24"/>
        <v>1347.3388499999999</v>
      </c>
    </row>
    <row r="676" spans="1:12" x14ac:dyDescent="0.3">
      <c r="A676" s="1">
        <v>1674</v>
      </c>
      <c r="B676" s="2">
        <v>45177</v>
      </c>
      <c r="C676" s="1" t="s">
        <v>14</v>
      </c>
      <c r="D676" s="1" t="s">
        <v>18</v>
      </c>
      <c r="E676" s="1" t="s">
        <v>19</v>
      </c>
      <c r="F676" s="1">
        <v>542.29999999999995</v>
      </c>
      <c r="G676" s="1" t="s">
        <v>190</v>
      </c>
      <c r="H676" s="2">
        <v>33354</v>
      </c>
      <c r="I676" s="2">
        <v>45190</v>
      </c>
      <c r="J676" s="1">
        <v>41.18</v>
      </c>
      <c r="K676" s="4">
        <f t="shared" si="23"/>
        <v>223.31913999999998</v>
      </c>
      <c r="L676" s="4">
        <f t="shared" si="24"/>
        <v>318.98086000000001</v>
      </c>
    </row>
    <row r="677" spans="1:12" x14ac:dyDescent="0.3">
      <c r="A677" s="1">
        <v>1675</v>
      </c>
      <c r="B677" s="2">
        <v>45015</v>
      </c>
      <c r="C677" s="1" t="s">
        <v>35</v>
      </c>
      <c r="D677" s="1" t="s">
        <v>33</v>
      </c>
      <c r="E677" s="1" t="s">
        <v>16</v>
      </c>
      <c r="F677" s="1">
        <v>1210.26</v>
      </c>
      <c r="G677" s="1" t="s">
        <v>306</v>
      </c>
      <c r="H677" s="2">
        <v>23652</v>
      </c>
      <c r="I677" s="2">
        <v>45027</v>
      </c>
      <c r="J677" s="1">
        <v>45.32</v>
      </c>
      <c r="K677" s="4">
        <f t="shared" si="23"/>
        <v>548.48983199999998</v>
      </c>
      <c r="L677" s="4">
        <f t="shared" si="24"/>
        <v>661.77016800000001</v>
      </c>
    </row>
    <row r="678" spans="1:12" x14ac:dyDescent="0.3">
      <c r="A678" s="1">
        <v>1676</v>
      </c>
      <c r="B678" s="2">
        <v>44325</v>
      </c>
      <c r="C678" s="1" t="s">
        <v>10</v>
      </c>
      <c r="D678" s="1" t="s">
        <v>11</v>
      </c>
      <c r="E678" s="1" t="s">
        <v>12</v>
      </c>
      <c r="F678" s="1">
        <v>1155.43</v>
      </c>
      <c r="G678" s="1" t="s">
        <v>37</v>
      </c>
      <c r="H678" s="2">
        <v>27534</v>
      </c>
      <c r="I678" s="2">
        <v>44326</v>
      </c>
      <c r="J678" s="1">
        <v>36.01</v>
      </c>
      <c r="K678" s="4">
        <f t="shared" si="23"/>
        <v>416.07034299999998</v>
      </c>
      <c r="L678" s="4">
        <f t="shared" si="24"/>
        <v>739.35965700000008</v>
      </c>
    </row>
    <row r="679" spans="1:12" x14ac:dyDescent="0.3">
      <c r="A679" s="1">
        <v>1677</v>
      </c>
      <c r="B679" s="2">
        <v>44508</v>
      </c>
      <c r="C679" s="1" t="s">
        <v>35</v>
      </c>
      <c r="D679" s="1" t="s">
        <v>58</v>
      </c>
      <c r="E679" s="1" t="s">
        <v>31</v>
      </c>
      <c r="F679" s="1">
        <v>4727.7700000000004</v>
      </c>
      <c r="G679" s="1" t="s">
        <v>307</v>
      </c>
      <c r="H679" s="2">
        <v>30321</v>
      </c>
      <c r="I679" s="2">
        <v>44513</v>
      </c>
      <c r="J679" s="1">
        <v>7.46</v>
      </c>
      <c r="K679" s="4">
        <f t="shared" si="23"/>
        <v>352.69164200000006</v>
      </c>
      <c r="L679" s="4">
        <f t="shared" si="24"/>
        <v>4375.0783580000007</v>
      </c>
    </row>
    <row r="680" spans="1:12" x14ac:dyDescent="0.3">
      <c r="A680" s="1">
        <v>1678</v>
      </c>
      <c r="B680" s="2">
        <v>44869</v>
      </c>
      <c r="C680" s="1" t="s">
        <v>26</v>
      </c>
      <c r="D680" s="1" t="s">
        <v>58</v>
      </c>
      <c r="E680" s="1" t="s">
        <v>31</v>
      </c>
      <c r="F680" s="1">
        <v>542.16999999999996</v>
      </c>
      <c r="G680" s="1" t="s">
        <v>159</v>
      </c>
      <c r="H680" s="2">
        <v>38194</v>
      </c>
      <c r="I680" s="2">
        <v>44870</v>
      </c>
      <c r="J680" s="1">
        <v>12.99</v>
      </c>
      <c r="K680" s="4">
        <f t="shared" si="23"/>
        <v>70.427883000000008</v>
      </c>
      <c r="L680" s="4">
        <f t="shared" si="24"/>
        <v>471.74211699999995</v>
      </c>
    </row>
    <row r="681" spans="1:12" x14ac:dyDescent="0.3">
      <c r="A681" s="1">
        <v>1679</v>
      </c>
      <c r="B681" s="2">
        <v>44505</v>
      </c>
      <c r="C681" s="1" t="s">
        <v>35</v>
      </c>
      <c r="D681" s="1" t="s">
        <v>55</v>
      </c>
      <c r="E681" s="1" t="s">
        <v>31</v>
      </c>
      <c r="F681" s="1">
        <v>4303.21</v>
      </c>
      <c r="G681" s="1" t="s">
        <v>139</v>
      </c>
      <c r="H681" s="2">
        <v>29381</v>
      </c>
      <c r="I681" s="2">
        <v>44512</v>
      </c>
      <c r="J681" s="1">
        <v>33.68</v>
      </c>
      <c r="K681" s="4">
        <f t="shared" si="23"/>
        <v>1449.321128</v>
      </c>
      <c r="L681" s="4">
        <f t="shared" si="24"/>
        <v>2853.888872</v>
      </c>
    </row>
    <row r="682" spans="1:12" x14ac:dyDescent="0.3">
      <c r="A682" s="1">
        <v>1680</v>
      </c>
      <c r="B682" s="2">
        <v>45161</v>
      </c>
      <c r="C682" s="1" t="s">
        <v>35</v>
      </c>
      <c r="D682" s="1" t="s">
        <v>71</v>
      </c>
      <c r="E682" s="1" t="s">
        <v>31</v>
      </c>
      <c r="F682" s="1">
        <v>4991.41</v>
      </c>
      <c r="G682" s="1" t="s">
        <v>308</v>
      </c>
      <c r="H682" s="2">
        <v>35336</v>
      </c>
      <c r="I682" s="2">
        <v>45167</v>
      </c>
      <c r="J682" s="1">
        <v>41.94</v>
      </c>
      <c r="K682" s="4">
        <f t="shared" si="23"/>
        <v>2093.3973539999997</v>
      </c>
      <c r="L682" s="4">
        <f t="shared" si="24"/>
        <v>2898.0126460000001</v>
      </c>
    </row>
    <row r="683" spans="1:12" x14ac:dyDescent="0.3">
      <c r="A683" s="1">
        <v>1681</v>
      </c>
      <c r="B683" s="2">
        <v>44233</v>
      </c>
      <c r="C683" s="1" t="s">
        <v>26</v>
      </c>
      <c r="D683" s="1" t="s">
        <v>69</v>
      </c>
      <c r="E683" s="1" t="s">
        <v>12</v>
      </c>
      <c r="F683" s="1">
        <v>3113.17</v>
      </c>
      <c r="G683" s="1" t="s">
        <v>276</v>
      </c>
      <c r="H683" s="2">
        <v>33394</v>
      </c>
      <c r="I683" s="2">
        <v>44244</v>
      </c>
      <c r="J683" s="1">
        <v>1.17</v>
      </c>
      <c r="K683" s="4">
        <f t="shared" si="23"/>
        <v>36.424088999999995</v>
      </c>
      <c r="L683" s="4">
        <f t="shared" si="24"/>
        <v>3076.745911</v>
      </c>
    </row>
    <row r="684" spans="1:12" x14ac:dyDescent="0.3">
      <c r="A684" s="1">
        <v>1682</v>
      </c>
      <c r="B684" s="2">
        <v>44756</v>
      </c>
      <c r="C684" s="1" t="s">
        <v>21</v>
      </c>
      <c r="D684" s="1" t="s">
        <v>71</v>
      </c>
      <c r="E684" s="1" t="s">
        <v>31</v>
      </c>
      <c r="F684" s="1">
        <v>1401.86</v>
      </c>
      <c r="G684" s="1" t="s">
        <v>140</v>
      </c>
      <c r="H684" s="2">
        <v>24579</v>
      </c>
      <c r="I684" s="2">
        <v>44764</v>
      </c>
      <c r="J684" s="1">
        <v>46.91</v>
      </c>
      <c r="K684" s="4">
        <f t="shared" si="23"/>
        <v>657.61252599999989</v>
      </c>
      <c r="L684" s="4">
        <f t="shared" si="24"/>
        <v>744.24747400000001</v>
      </c>
    </row>
    <row r="685" spans="1:12" x14ac:dyDescent="0.3">
      <c r="A685" s="1">
        <v>1683</v>
      </c>
      <c r="B685" s="2">
        <v>44229</v>
      </c>
      <c r="C685" s="1" t="s">
        <v>35</v>
      </c>
      <c r="D685" s="1" t="s">
        <v>18</v>
      </c>
      <c r="E685" s="1" t="s">
        <v>19</v>
      </c>
      <c r="F685" s="1">
        <v>2109.39</v>
      </c>
      <c r="G685" s="1" t="s">
        <v>261</v>
      </c>
      <c r="H685" s="2">
        <v>23920</v>
      </c>
      <c r="I685" s="2">
        <v>44235</v>
      </c>
      <c r="J685" s="1">
        <v>19.059999999999999</v>
      </c>
      <c r="K685" s="4">
        <f t="shared" si="23"/>
        <v>402.04973399999994</v>
      </c>
      <c r="L685" s="4">
        <f t="shared" si="24"/>
        <v>1707.3402659999999</v>
      </c>
    </row>
    <row r="686" spans="1:12" x14ac:dyDescent="0.3">
      <c r="A686" s="1">
        <v>1684</v>
      </c>
      <c r="B686" s="2">
        <v>45114</v>
      </c>
      <c r="C686" s="1" t="s">
        <v>21</v>
      </c>
      <c r="D686" s="1" t="s">
        <v>15</v>
      </c>
      <c r="E686" s="1" t="s">
        <v>16</v>
      </c>
      <c r="F686" s="1">
        <v>3439.5</v>
      </c>
      <c r="G686" s="1" t="s">
        <v>64</v>
      </c>
      <c r="H686" s="2">
        <v>32375</v>
      </c>
      <c r="I686" s="2">
        <v>45126</v>
      </c>
      <c r="J686" s="1">
        <v>16.34</v>
      </c>
      <c r="K686" s="4">
        <f t="shared" si="23"/>
        <v>562.01429999999993</v>
      </c>
      <c r="L686" s="4">
        <f t="shared" si="24"/>
        <v>2877.4857000000002</v>
      </c>
    </row>
    <row r="687" spans="1:12" x14ac:dyDescent="0.3">
      <c r="A687" s="1">
        <v>1685</v>
      </c>
      <c r="B687" s="2">
        <v>44226</v>
      </c>
      <c r="C687" s="1" t="s">
        <v>14</v>
      </c>
      <c r="D687" s="1" t="s">
        <v>61</v>
      </c>
      <c r="E687" s="1" t="s">
        <v>19</v>
      </c>
      <c r="F687" s="1">
        <v>3971.47</v>
      </c>
      <c r="G687" s="1" t="s">
        <v>309</v>
      </c>
      <c r="H687" s="2">
        <v>23838</v>
      </c>
      <c r="I687" s="2">
        <v>44227</v>
      </c>
      <c r="J687" s="1">
        <v>0.9</v>
      </c>
      <c r="K687" s="4">
        <f t="shared" si="23"/>
        <v>35.743230000000004</v>
      </c>
      <c r="L687" s="4">
        <f t="shared" si="24"/>
        <v>3935.7267699999998</v>
      </c>
    </row>
    <row r="688" spans="1:12" x14ac:dyDescent="0.3">
      <c r="A688" s="1">
        <v>1686</v>
      </c>
      <c r="B688" s="2">
        <v>44632</v>
      </c>
      <c r="C688" s="1" t="s">
        <v>14</v>
      </c>
      <c r="D688" s="1" t="s">
        <v>71</v>
      </c>
      <c r="E688" s="1" t="s">
        <v>31</v>
      </c>
      <c r="F688" s="1">
        <v>1083.4100000000001</v>
      </c>
      <c r="G688" s="1" t="s">
        <v>117</v>
      </c>
      <c r="H688" s="2">
        <v>23513</v>
      </c>
      <c r="I688" s="2">
        <v>44633</v>
      </c>
      <c r="J688" s="1">
        <v>36.5</v>
      </c>
      <c r="K688" s="4">
        <f t="shared" si="23"/>
        <v>395.44465000000002</v>
      </c>
      <c r="L688" s="4">
        <f t="shared" si="24"/>
        <v>687.96535000000006</v>
      </c>
    </row>
    <row r="689" spans="1:12" x14ac:dyDescent="0.3">
      <c r="A689" s="1">
        <v>1687</v>
      </c>
      <c r="B689" s="2">
        <v>45763</v>
      </c>
      <c r="C689" s="1" t="s">
        <v>21</v>
      </c>
      <c r="D689" s="1" t="s">
        <v>69</v>
      </c>
      <c r="E689" s="1" t="s">
        <v>12</v>
      </c>
      <c r="F689" s="1">
        <v>2262.52</v>
      </c>
      <c r="G689" s="1" t="s">
        <v>303</v>
      </c>
      <c r="H689" s="2">
        <v>30474</v>
      </c>
      <c r="I689" s="2">
        <v>45775</v>
      </c>
      <c r="J689" s="1">
        <v>4.95</v>
      </c>
      <c r="K689" s="4">
        <f t="shared" si="23"/>
        <v>111.99474000000001</v>
      </c>
      <c r="L689" s="4">
        <f t="shared" si="24"/>
        <v>2150.5252599999999</v>
      </c>
    </row>
    <row r="690" spans="1:12" x14ac:dyDescent="0.3">
      <c r="A690" s="1">
        <v>1688</v>
      </c>
      <c r="B690" s="2">
        <v>44973</v>
      </c>
      <c r="C690" s="1" t="s">
        <v>21</v>
      </c>
      <c r="D690" s="1" t="s">
        <v>71</v>
      </c>
      <c r="E690" s="1" t="s">
        <v>31</v>
      </c>
      <c r="F690" s="1">
        <v>4036.71</v>
      </c>
      <c r="G690" s="1" t="s">
        <v>260</v>
      </c>
      <c r="H690" s="2">
        <v>38628</v>
      </c>
      <c r="I690" s="2">
        <v>44976</v>
      </c>
      <c r="J690" s="1">
        <v>30.2</v>
      </c>
      <c r="K690" s="4">
        <f t="shared" si="23"/>
        <v>1219.0864199999999</v>
      </c>
      <c r="L690" s="4">
        <f t="shared" si="24"/>
        <v>2817.6235800000004</v>
      </c>
    </row>
    <row r="691" spans="1:12" x14ac:dyDescent="0.3">
      <c r="A691" s="1">
        <v>1689</v>
      </c>
      <c r="B691" s="2">
        <v>44624</v>
      </c>
      <c r="C691" s="1" t="s">
        <v>14</v>
      </c>
      <c r="D691" s="1" t="s">
        <v>53</v>
      </c>
      <c r="E691" s="1" t="s">
        <v>28</v>
      </c>
      <c r="F691" s="1">
        <v>2762.66</v>
      </c>
      <c r="G691" s="1" t="s">
        <v>310</v>
      </c>
      <c r="H691" s="2">
        <v>23309</v>
      </c>
      <c r="I691" s="2">
        <v>44631</v>
      </c>
      <c r="J691" s="1">
        <v>21.79</v>
      </c>
      <c r="K691" s="4">
        <f t="shared" si="23"/>
        <v>601.98361399999987</v>
      </c>
      <c r="L691" s="4">
        <f t="shared" si="24"/>
        <v>2160.6763860000001</v>
      </c>
    </row>
    <row r="692" spans="1:12" x14ac:dyDescent="0.3">
      <c r="A692" s="1">
        <v>1690</v>
      </c>
      <c r="B692" s="2">
        <v>44526</v>
      </c>
      <c r="C692" s="1" t="s">
        <v>14</v>
      </c>
      <c r="D692" s="1" t="s">
        <v>24</v>
      </c>
      <c r="E692" s="1" t="s">
        <v>19</v>
      </c>
      <c r="F692" s="1">
        <v>2795.54</v>
      </c>
      <c r="G692" s="1" t="s">
        <v>32</v>
      </c>
      <c r="H692" s="2">
        <v>27166</v>
      </c>
      <c r="I692" s="2">
        <v>44537</v>
      </c>
      <c r="J692" s="1">
        <v>14.81</v>
      </c>
      <c r="K692" s="4">
        <f t="shared" si="23"/>
        <v>414.019474</v>
      </c>
      <c r="L692" s="4">
        <f t="shared" si="24"/>
        <v>2381.5205259999998</v>
      </c>
    </row>
    <row r="693" spans="1:12" x14ac:dyDescent="0.3">
      <c r="A693" s="1">
        <v>1691</v>
      </c>
      <c r="B693" s="2">
        <v>44396</v>
      </c>
      <c r="C693" s="1" t="s">
        <v>21</v>
      </c>
      <c r="D693" s="1" t="s">
        <v>61</v>
      </c>
      <c r="E693" s="1" t="s">
        <v>19</v>
      </c>
      <c r="F693" s="1">
        <v>2136.2600000000002</v>
      </c>
      <c r="G693" s="1" t="s">
        <v>264</v>
      </c>
      <c r="H693" s="2">
        <v>30232</v>
      </c>
      <c r="I693" s="2">
        <v>44404</v>
      </c>
      <c r="J693" s="1">
        <v>4</v>
      </c>
      <c r="K693" s="4">
        <f t="shared" si="23"/>
        <v>85.450400000000016</v>
      </c>
      <c r="L693" s="4">
        <f t="shared" si="24"/>
        <v>2050.8096</v>
      </c>
    </row>
    <row r="694" spans="1:12" x14ac:dyDescent="0.3">
      <c r="A694" s="1">
        <v>1692</v>
      </c>
      <c r="B694" s="2">
        <v>45302</v>
      </c>
      <c r="C694" s="1" t="s">
        <v>21</v>
      </c>
      <c r="D694" s="1" t="s">
        <v>40</v>
      </c>
      <c r="E694" s="1" t="s">
        <v>16</v>
      </c>
      <c r="F694" s="1">
        <v>4150.93</v>
      </c>
      <c r="G694" s="1" t="s">
        <v>223</v>
      </c>
      <c r="H694" s="2">
        <v>35407</v>
      </c>
      <c r="I694" s="2">
        <v>45315</v>
      </c>
      <c r="J694" s="1">
        <v>46.04</v>
      </c>
      <c r="K694" s="4">
        <f t="shared" si="23"/>
        <v>1911.088172</v>
      </c>
      <c r="L694" s="4">
        <f t="shared" si="24"/>
        <v>2239.8418280000005</v>
      </c>
    </row>
    <row r="695" spans="1:12" x14ac:dyDescent="0.3">
      <c r="A695" s="1">
        <v>1693</v>
      </c>
      <c r="B695" s="2">
        <v>44528</v>
      </c>
      <c r="C695" s="1" t="s">
        <v>21</v>
      </c>
      <c r="D695" s="1" t="s">
        <v>40</v>
      </c>
      <c r="E695" s="1" t="s">
        <v>16</v>
      </c>
      <c r="F695" s="1">
        <v>3648.4</v>
      </c>
      <c r="G695" s="1" t="s">
        <v>221</v>
      </c>
      <c r="H695" s="2">
        <v>35658</v>
      </c>
      <c r="I695" s="2">
        <v>44542</v>
      </c>
      <c r="J695" s="1">
        <v>42.7</v>
      </c>
      <c r="K695" s="4">
        <f t="shared" si="23"/>
        <v>1557.8668000000002</v>
      </c>
      <c r="L695" s="4">
        <f t="shared" si="24"/>
        <v>2090.5331999999999</v>
      </c>
    </row>
    <row r="696" spans="1:12" x14ac:dyDescent="0.3">
      <c r="A696" s="1">
        <v>1694</v>
      </c>
      <c r="B696" s="2">
        <v>45503</v>
      </c>
      <c r="C696" s="1" t="s">
        <v>26</v>
      </c>
      <c r="D696" s="1" t="s">
        <v>15</v>
      </c>
      <c r="E696" s="1" t="s">
        <v>16</v>
      </c>
      <c r="F696" s="1">
        <v>4655.5200000000004</v>
      </c>
      <c r="G696" s="1" t="s">
        <v>128</v>
      </c>
      <c r="H696" s="2">
        <v>37961</v>
      </c>
      <c r="I696" s="2">
        <v>45516</v>
      </c>
      <c r="J696" s="1">
        <v>14.23</v>
      </c>
      <c r="K696" s="4">
        <f t="shared" si="23"/>
        <v>662.48049600000013</v>
      </c>
      <c r="L696" s="4">
        <f t="shared" si="24"/>
        <v>3993.0395040000003</v>
      </c>
    </row>
    <row r="697" spans="1:12" x14ac:dyDescent="0.3">
      <c r="A697" s="1">
        <v>1695</v>
      </c>
      <c r="B697" s="2">
        <v>44766</v>
      </c>
      <c r="C697" s="1" t="s">
        <v>10</v>
      </c>
      <c r="D697" s="1" t="s">
        <v>38</v>
      </c>
      <c r="E697" s="1" t="s">
        <v>28</v>
      </c>
      <c r="F697" s="1">
        <v>1621.73</v>
      </c>
      <c r="G697" s="1" t="s">
        <v>237</v>
      </c>
      <c r="H697" s="2">
        <v>27455</v>
      </c>
      <c r="I697" s="2">
        <v>44773</v>
      </c>
      <c r="J697" s="1">
        <v>28.48</v>
      </c>
      <c r="K697" s="4">
        <f t="shared" si="23"/>
        <v>461.86870399999998</v>
      </c>
      <c r="L697" s="4">
        <f t="shared" si="24"/>
        <v>1159.861296</v>
      </c>
    </row>
    <row r="698" spans="1:12" x14ac:dyDescent="0.3">
      <c r="A698" s="1">
        <v>1696</v>
      </c>
      <c r="B698" s="2">
        <v>44546</v>
      </c>
      <c r="C698" s="1" t="s">
        <v>14</v>
      </c>
      <c r="D698" s="1" t="s">
        <v>73</v>
      </c>
      <c r="E698" s="1" t="s">
        <v>28</v>
      </c>
      <c r="F698" s="1">
        <v>4970.46</v>
      </c>
      <c r="G698" s="1" t="s">
        <v>271</v>
      </c>
      <c r="H698" s="2">
        <v>22796</v>
      </c>
      <c r="I698" s="2">
        <v>44554</v>
      </c>
      <c r="J698" s="1">
        <v>7.16</v>
      </c>
      <c r="K698" s="4">
        <f t="shared" si="23"/>
        <v>355.88493599999998</v>
      </c>
      <c r="L698" s="4">
        <f t="shared" si="24"/>
        <v>4614.5750639999997</v>
      </c>
    </row>
    <row r="699" spans="1:12" x14ac:dyDescent="0.3">
      <c r="A699" s="1">
        <v>1697</v>
      </c>
      <c r="B699" s="2">
        <v>44208</v>
      </c>
      <c r="C699" s="1" t="s">
        <v>26</v>
      </c>
      <c r="D699" s="1" t="s">
        <v>49</v>
      </c>
      <c r="E699" s="1" t="s">
        <v>12</v>
      </c>
      <c r="F699" s="1">
        <v>3077.28</v>
      </c>
      <c r="G699" s="1" t="s">
        <v>60</v>
      </c>
      <c r="H699" s="2">
        <v>33482</v>
      </c>
      <c r="I699" s="2">
        <v>44211</v>
      </c>
      <c r="J699" s="1">
        <v>8.57</v>
      </c>
      <c r="K699" s="4">
        <f t="shared" si="23"/>
        <v>263.72289599999999</v>
      </c>
      <c r="L699" s="4">
        <f t="shared" si="24"/>
        <v>2813.5571040000004</v>
      </c>
    </row>
    <row r="700" spans="1:12" x14ac:dyDescent="0.3">
      <c r="A700" s="1">
        <v>1698</v>
      </c>
      <c r="B700" s="2">
        <v>45490</v>
      </c>
      <c r="C700" s="1" t="s">
        <v>10</v>
      </c>
      <c r="D700" s="1" t="s">
        <v>73</v>
      </c>
      <c r="E700" s="1" t="s">
        <v>28</v>
      </c>
      <c r="F700" s="1">
        <v>4876.51</v>
      </c>
      <c r="G700" s="1" t="s">
        <v>121</v>
      </c>
      <c r="H700" s="2">
        <v>24580</v>
      </c>
      <c r="I700" s="2">
        <v>45501</v>
      </c>
      <c r="J700" s="1">
        <v>10.16</v>
      </c>
      <c r="K700" s="4">
        <f t="shared" si="23"/>
        <v>495.453416</v>
      </c>
      <c r="L700" s="4">
        <f t="shared" si="24"/>
        <v>4381.0565839999999</v>
      </c>
    </row>
    <row r="701" spans="1:12" x14ac:dyDescent="0.3">
      <c r="A701" s="1">
        <v>1699</v>
      </c>
      <c r="B701" s="2">
        <v>45506</v>
      </c>
      <c r="C701" s="1" t="s">
        <v>21</v>
      </c>
      <c r="D701" s="1" t="s">
        <v>36</v>
      </c>
      <c r="E701" s="1" t="s">
        <v>28</v>
      </c>
      <c r="F701" s="1">
        <v>482.18</v>
      </c>
      <c r="G701" s="1" t="s">
        <v>278</v>
      </c>
      <c r="H701" s="2">
        <v>36036</v>
      </c>
      <c r="I701" s="2">
        <v>45517</v>
      </c>
      <c r="J701" s="1">
        <v>11.55</v>
      </c>
      <c r="K701" s="4">
        <f t="shared" si="23"/>
        <v>55.691790000000005</v>
      </c>
      <c r="L701" s="4">
        <f t="shared" si="24"/>
        <v>426.48820999999998</v>
      </c>
    </row>
    <row r="702" spans="1:12" x14ac:dyDescent="0.3">
      <c r="A702" s="1">
        <v>1700</v>
      </c>
      <c r="B702" s="2">
        <v>44706</v>
      </c>
      <c r="C702" s="1" t="s">
        <v>35</v>
      </c>
      <c r="D702" s="1" t="s">
        <v>69</v>
      </c>
      <c r="E702" s="1" t="s">
        <v>12</v>
      </c>
      <c r="F702" s="1">
        <v>842.12</v>
      </c>
      <c r="G702" s="1" t="s">
        <v>196</v>
      </c>
      <c r="H702" s="2">
        <v>26300</v>
      </c>
      <c r="I702" s="2">
        <v>44714</v>
      </c>
      <c r="J702" s="1">
        <v>1.36</v>
      </c>
      <c r="K702" s="4">
        <f t="shared" si="23"/>
        <v>11.452832000000001</v>
      </c>
      <c r="L702" s="4">
        <f t="shared" si="24"/>
        <v>830.66716799999995</v>
      </c>
    </row>
    <row r="703" spans="1:12" x14ac:dyDescent="0.3">
      <c r="A703" s="1">
        <v>1701</v>
      </c>
      <c r="B703" s="2">
        <v>44103</v>
      </c>
      <c r="C703" s="1" t="s">
        <v>35</v>
      </c>
      <c r="D703" s="1" t="s">
        <v>24</v>
      </c>
      <c r="E703" s="1" t="s">
        <v>19</v>
      </c>
      <c r="F703" s="1">
        <v>970.42</v>
      </c>
      <c r="G703" s="1" t="s">
        <v>249</v>
      </c>
      <c r="H703" s="2">
        <v>28555</v>
      </c>
      <c r="I703" s="2">
        <v>44106</v>
      </c>
      <c r="J703" s="1">
        <v>23.45</v>
      </c>
      <c r="K703" s="4">
        <f t="shared" si="23"/>
        <v>227.56348999999997</v>
      </c>
      <c r="L703" s="4">
        <f t="shared" si="24"/>
        <v>742.85650999999996</v>
      </c>
    </row>
    <row r="704" spans="1:12" x14ac:dyDescent="0.3">
      <c r="A704" s="1">
        <v>1702</v>
      </c>
      <c r="B704" s="2">
        <v>44907</v>
      </c>
      <c r="C704" s="1" t="s">
        <v>14</v>
      </c>
      <c r="D704" s="1" t="s">
        <v>61</v>
      </c>
      <c r="E704" s="1" t="s">
        <v>19</v>
      </c>
      <c r="F704" s="1">
        <v>1928.08</v>
      </c>
      <c r="G704" s="1" t="s">
        <v>13</v>
      </c>
      <c r="H704" s="2">
        <v>24348</v>
      </c>
      <c r="I704" s="2">
        <v>44908</v>
      </c>
      <c r="J704" s="1">
        <v>2.2200000000000002</v>
      </c>
      <c r="K704" s="4">
        <f t="shared" si="23"/>
        <v>42.803376</v>
      </c>
      <c r="L704" s="4">
        <f t="shared" si="24"/>
        <v>1885.2766239999999</v>
      </c>
    </row>
    <row r="705" spans="1:12" x14ac:dyDescent="0.3">
      <c r="A705" s="1">
        <v>1703</v>
      </c>
      <c r="B705" s="2">
        <v>44329</v>
      </c>
      <c r="C705" s="1" t="s">
        <v>14</v>
      </c>
      <c r="D705" s="1" t="s">
        <v>55</v>
      </c>
      <c r="E705" s="1" t="s">
        <v>31</v>
      </c>
      <c r="F705" s="1">
        <v>710.4</v>
      </c>
      <c r="G705" s="1" t="s">
        <v>137</v>
      </c>
      <c r="H705" s="2">
        <v>36905</v>
      </c>
      <c r="I705" s="2">
        <v>44333</v>
      </c>
      <c r="J705" s="1">
        <v>6.09</v>
      </c>
      <c r="K705" s="4">
        <f t="shared" si="23"/>
        <v>43.263359999999999</v>
      </c>
      <c r="L705" s="4">
        <f t="shared" si="24"/>
        <v>667.13663999999994</v>
      </c>
    </row>
    <row r="706" spans="1:12" x14ac:dyDescent="0.3">
      <c r="A706" s="1">
        <v>1704</v>
      </c>
      <c r="B706" s="2">
        <v>44120</v>
      </c>
      <c r="C706" s="1" t="s">
        <v>21</v>
      </c>
      <c r="D706" s="1" t="s">
        <v>36</v>
      </c>
      <c r="E706" s="1" t="s">
        <v>28</v>
      </c>
      <c r="F706" s="1">
        <v>1451.27</v>
      </c>
      <c r="G706" s="1" t="s">
        <v>56</v>
      </c>
      <c r="H706" s="2">
        <v>25712</v>
      </c>
      <c r="I706" s="2">
        <v>44128</v>
      </c>
      <c r="J706" s="1">
        <v>24.93</v>
      </c>
      <c r="K706" s="4">
        <f t="shared" si="23"/>
        <v>361.80161099999998</v>
      </c>
      <c r="L706" s="4">
        <f t="shared" si="24"/>
        <v>1089.4683890000001</v>
      </c>
    </row>
    <row r="707" spans="1:12" x14ac:dyDescent="0.3">
      <c r="A707" s="1">
        <v>1705</v>
      </c>
      <c r="B707" s="2">
        <v>45019</v>
      </c>
      <c r="C707" s="1" t="s">
        <v>21</v>
      </c>
      <c r="D707" s="1" t="s">
        <v>55</v>
      </c>
      <c r="E707" s="1" t="s">
        <v>31</v>
      </c>
      <c r="F707" s="1">
        <v>4397.05</v>
      </c>
      <c r="G707" s="1" t="s">
        <v>216</v>
      </c>
      <c r="H707" s="2">
        <v>31419</v>
      </c>
      <c r="I707" s="2">
        <v>45022</v>
      </c>
      <c r="J707" s="1">
        <v>18.420000000000002</v>
      </c>
      <c r="K707" s="4">
        <f t="shared" ref="K707:K770" si="25">F707*J707%</f>
        <v>809.9366100000002</v>
      </c>
      <c r="L707" s="4">
        <f t="shared" ref="L707:L770" si="26">F707-K707</f>
        <v>3587.11339</v>
      </c>
    </row>
    <row r="708" spans="1:12" x14ac:dyDescent="0.3">
      <c r="A708" s="1">
        <v>1706</v>
      </c>
      <c r="B708" s="2">
        <v>45165</v>
      </c>
      <c r="C708" s="1" t="s">
        <v>35</v>
      </c>
      <c r="D708" s="1" t="s">
        <v>38</v>
      </c>
      <c r="E708" s="1" t="s">
        <v>28</v>
      </c>
      <c r="F708" s="1">
        <v>3244.23</v>
      </c>
      <c r="G708" s="1" t="s">
        <v>282</v>
      </c>
      <c r="H708" s="2">
        <v>38073</v>
      </c>
      <c r="I708" s="2">
        <v>45171</v>
      </c>
      <c r="J708" s="1">
        <v>48.8</v>
      </c>
      <c r="K708" s="4">
        <f t="shared" si="25"/>
        <v>1583.18424</v>
      </c>
      <c r="L708" s="4">
        <f t="shared" si="26"/>
        <v>1661.04576</v>
      </c>
    </row>
    <row r="709" spans="1:12" x14ac:dyDescent="0.3">
      <c r="A709" s="1">
        <v>1707</v>
      </c>
      <c r="B709" s="2">
        <v>45213</v>
      </c>
      <c r="C709" s="1" t="s">
        <v>35</v>
      </c>
      <c r="D709" s="1" t="s">
        <v>73</v>
      </c>
      <c r="E709" s="1" t="s">
        <v>28</v>
      </c>
      <c r="F709" s="1">
        <v>963.24</v>
      </c>
      <c r="G709" s="1" t="s">
        <v>78</v>
      </c>
      <c r="H709" s="2">
        <v>25099</v>
      </c>
      <c r="I709" s="2">
        <v>45218</v>
      </c>
      <c r="J709" s="1">
        <v>46.92</v>
      </c>
      <c r="K709" s="4">
        <f t="shared" si="25"/>
        <v>451.95220799999998</v>
      </c>
      <c r="L709" s="4">
        <f t="shared" si="26"/>
        <v>511.28779200000002</v>
      </c>
    </row>
    <row r="710" spans="1:12" x14ac:dyDescent="0.3">
      <c r="A710" s="1">
        <v>1708</v>
      </c>
      <c r="B710" s="2">
        <v>45285</v>
      </c>
      <c r="C710" s="1" t="s">
        <v>26</v>
      </c>
      <c r="D710" s="1" t="s">
        <v>58</v>
      </c>
      <c r="E710" s="1" t="s">
        <v>31</v>
      </c>
      <c r="F710" s="1">
        <v>4234.68</v>
      </c>
      <c r="G710" s="1" t="s">
        <v>87</v>
      </c>
      <c r="H710" s="2">
        <v>36012</v>
      </c>
      <c r="I710" s="2">
        <v>45299</v>
      </c>
      <c r="J710" s="1">
        <v>44.06</v>
      </c>
      <c r="K710" s="4">
        <f t="shared" si="25"/>
        <v>1865.8000080000004</v>
      </c>
      <c r="L710" s="4">
        <f t="shared" si="26"/>
        <v>2368.8799920000001</v>
      </c>
    </row>
    <row r="711" spans="1:12" x14ac:dyDescent="0.3">
      <c r="A711" s="1">
        <v>1709</v>
      </c>
      <c r="B711" s="2">
        <v>45795</v>
      </c>
      <c r="C711" s="1" t="s">
        <v>14</v>
      </c>
      <c r="D711" s="1" t="s">
        <v>71</v>
      </c>
      <c r="E711" s="1" t="s">
        <v>31</v>
      </c>
      <c r="F711" s="1">
        <v>549.34</v>
      </c>
      <c r="G711" s="1" t="s">
        <v>81</v>
      </c>
      <c r="H711" s="2">
        <v>38350</v>
      </c>
      <c r="I711" s="2">
        <v>45807</v>
      </c>
      <c r="J711" s="1">
        <v>10.1</v>
      </c>
      <c r="K711" s="4">
        <f t="shared" si="25"/>
        <v>55.483339999999998</v>
      </c>
      <c r="L711" s="4">
        <f t="shared" si="26"/>
        <v>493.85666000000003</v>
      </c>
    </row>
    <row r="712" spans="1:12" x14ac:dyDescent="0.3">
      <c r="A712" s="1">
        <v>1710</v>
      </c>
      <c r="B712" s="2">
        <v>44386</v>
      </c>
      <c r="C712" s="1" t="s">
        <v>14</v>
      </c>
      <c r="D712" s="1" t="s">
        <v>36</v>
      </c>
      <c r="E712" s="1" t="s">
        <v>28</v>
      </c>
      <c r="F712" s="1">
        <v>4680.0200000000004</v>
      </c>
      <c r="G712" s="1" t="s">
        <v>230</v>
      </c>
      <c r="H712" s="2">
        <v>35642</v>
      </c>
      <c r="I712" s="2">
        <v>44400</v>
      </c>
      <c r="J712" s="1">
        <v>13.82</v>
      </c>
      <c r="K712" s="4">
        <f t="shared" si="25"/>
        <v>646.77876400000002</v>
      </c>
      <c r="L712" s="4">
        <f t="shared" si="26"/>
        <v>4033.2412360000003</v>
      </c>
    </row>
    <row r="713" spans="1:12" x14ac:dyDescent="0.3">
      <c r="A713" s="1">
        <v>1711</v>
      </c>
      <c r="B713" s="2">
        <v>44813</v>
      </c>
      <c r="C713" s="1" t="s">
        <v>14</v>
      </c>
      <c r="D713" s="1" t="s">
        <v>44</v>
      </c>
      <c r="E713" s="1" t="s">
        <v>16</v>
      </c>
      <c r="F713" s="1">
        <v>2860.6</v>
      </c>
      <c r="G713" s="1" t="s">
        <v>174</v>
      </c>
      <c r="H713" s="2">
        <v>38118</v>
      </c>
      <c r="I713" s="2">
        <v>44826</v>
      </c>
      <c r="J713" s="1">
        <v>25.1</v>
      </c>
      <c r="K713" s="4">
        <f t="shared" si="25"/>
        <v>718.01059999999995</v>
      </c>
      <c r="L713" s="4">
        <f t="shared" si="26"/>
        <v>2142.5893999999998</v>
      </c>
    </row>
    <row r="714" spans="1:12" x14ac:dyDescent="0.3">
      <c r="A714" s="1">
        <v>1712</v>
      </c>
      <c r="B714" s="2">
        <v>44722</v>
      </c>
      <c r="C714" s="1" t="s">
        <v>14</v>
      </c>
      <c r="D714" s="1" t="s">
        <v>69</v>
      </c>
      <c r="E714" s="1" t="s">
        <v>31</v>
      </c>
      <c r="F714" s="1">
        <v>202.8</v>
      </c>
      <c r="G714" s="1" t="s">
        <v>311</v>
      </c>
      <c r="H714" s="2">
        <v>29242</v>
      </c>
      <c r="I714" s="2">
        <v>44728</v>
      </c>
      <c r="J714" s="1">
        <v>48.41</v>
      </c>
      <c r="K714" s="4">
        <f t="shared" si="25"/>
        <v>98.175480000000007</v>
      </c>
      <c r="L714" s="4">
        <f t="shared" si="26"/>
        <v>104.62452</v>
      </c>
    </row>
    <row r="715" spans="1:12" x14ac:dyDescent="0.3">
      <c r="A715" s="1">
        <v>1713</v>
      </c>
      <c r="B715" s="2">
        <v>44443</v>
      </c>
      <c r="C715" s="1" t="s">
        <v>21</v>
      </c>
      <c r="D715" s="1" t="s">
        <v>102</v>
      </c>
      <c r="E715" s="1" t="s">
        <v>12</v>
      </c>
      <c r="F715" s="1">
        <v>540.61</v>
      </c>
      <c r="G715" s="1" t="s">
        <v>43</v>
      </c>
      <c r="H715" s="2">
        <v>33702</v>
      </c>
      <c r="I715" s="2">
        <v>44450</v>
      </c>
      <c r="J715" s="1">
        <v>7.72</v>
      </c>
      <c r="K715" s="4">
        <f t="shared" si="25"/>
        <v>41.735091999999995</v>
      </c>
      <c r="L715" s="4">
        <f t="shared" si="26"/>
        <v>498.874908</v>
      </c>
    </row>
    <row r="716" spans="1:12" x14ac:dyDescent="0.3">
      <c r="A716" s="1">
        <v>1714</v>
      </c>
      <c r="B716" s="2">
        <v>44594</v>
      </c>
      <c r="C716" s="1" t="s">
        <v>35</v>
      </c>
      <c r="D716" s="1" t="s">
        <v>65</v>
      </c>
      <c r="E716" s="1" t="s">
        <v>19</v>
      </c>
      <c r="F716" s="1">
        <v>3533.67</v>
      </c>
      <c r="G716" s="1" t="s">
        <v>289</v>
      </c>
      <c r="H716" s="2">
        <v>21923</v>
      </c>
      <c r="I716" s="2">
        <v>44607</v>
      </c>
      <c r="J716" s="1">
        <v>1.1299999999999999</v>
      </c>
      <c r="K716" s="4">
        <f t="shared" si="25"/>
        <v>39.930470999999997</v>
      </c>
      <c r="L716" s="4">
        <f t="shared" si="26"/>
        <v>3493.7395289999999</v>
      </c>
    </row>
    <row r="717" spans="1:12" x14ac:dyDescent="0.3">
      <c r="A717" s="1">
        <v>1715</v>
      </c>
      <c r="B717" s="2">
        <v>45049</v>
      </c>
      <c r="C717" s="1" t="s">
        <v>14</v>
      </c>
      <c r="D717" s="1" t="s">
        <v>11</v>
      </c>
      <c r="E717" s="1" t="s">
        <v>12</v>
      </c>
      <c r="F717" s="1">
        <v>2679.23</v>
      </c>
      <c r="G717" s="1" t="s">
        <v>113</v>
      </c>
      <c r="H717" s="2">
        <v>25579</v>
      </c>
      <c r="I717" s="2">
        <v>45059</v>
      </c>
      <c r="J717" s="1">
        <v>19.5</v>
      </c>
      <c r="K717" s="4">
        <f t="shared" si="25"/>
        <v>522.44984999999997</v>
      </c>
      <c r="L717" s="4">
        <f t="shared" si="26"/>
        <v>2156.78015</v>
      </c>
    </row>
    <row r="718" spans="1:12" x14ac:dyDescent="0.3">
      <c r="A718" s="1">
        <v>1716</v>
      </c>
      <c r="B718" s="2">
        <v>45214</v>
      </c>
      <c r="C718" s="1" t="s">
        <v>21</v>
      </c>
      <c r="D718" s="1" t="s">
        <v>69</v>
      </c>
      <c r="E718" s="1" t="s">
        <v>31</v>
      </c>
      <c r="F718" s="1">
        <v>4121.55</v>
      </c>
      <c r="G718" s="1" t="s">
        <v>248</v>
      </c>
      <c r="H718" s="2">
        <v>32685</v>
      </c>
      <c r="I718" s="2">
        <v>45223</v>
      </c>
      <c r="J718" s="1">
        <v>35.71</v>
      </c>
      <c r="K718" s="4">
        <f t="shared" si="25"/>
        <v>1471.8055050000003</v>
      </c>
      <c r="L718" s="4">
        <f t="shared" si="26"/>
        <v>2649.7444949999999</v>
      </c>
    </row>
    <row r="719" spans="1:12" x14ac:dyDescent="0.3">
      <c r="A719" s="1">
        <v>1717</v>
      </c>
      <c r="B719" s="2">
        <v>44535</v>
      </c>
      <c r="C719" s="1" t="s">
        <v>21</v>
      </c>
      <c r="D719" s="1" t="s">
        <v>88</v>
      </c>
      <c r="E719" s="1" t="s">
        <v>16</v>
      </c>
      <c r="F719" s="1">
        <v>3582.34</v>
      </c>
      <c r="G719" s="1" t="s">
        <v>113</v>
      </c>
      <c r="H719" s="2">
        <v>25579</v>
      </c>
      <c r="I719" s="2">
        <v>44540</v>
      </c>
      <c r="J719" s="1">
        <v>14.14</v>
      </c>
      <c r="K719" s="4">
        <f t="shared" si="25"/>
        <v>506.54287600000004</v>
      </c>
      <c r="L719" s="4">
        <f t="shared" si="26"/>
        <v>3075.7971240000002</v>
      </c>
    </row>
    <row r="720" spans="1:12" x14ac:dyDescent="0.3">
      <c r="A720" s="1">
        <v>1718</v>
      </c>
      <c r="B720" s="2">
        <v>45287</v>
      </c>
      <c r="C720" s="1" t="s">
        <v>21</v>
      </c>
      <c r="D720" s="1" t="s">
        <v>22</v>
      </c>
      <c r="E720" s="1" t="s">
        <v>19</v>
      </c>
      <c r="F720" s="1">
        <v>3131.27</v>
      </c>
      <c r="G720" s="1" t="s">
        <v>145</v>
      </c>
      <c r="H720" s="2">
        <v>23470</v>
      </c>
      <c r="I720" s="2">
        <v>45298</v>
      </c>
      <c r="J720" s="1">
        <v>45.69</v>
      </c>
      <c r="K720" s="4">
        <f t="shared" si="25"/>
        <v>1430.6772629999998</v>
      </c>
      <c r="L720" s="4">
        <f t="shared" si="26"/>
        <v>1700.5927370000002</v>
      </c>
    </row>
    <row r="721" spans="1:12" x14ac:dyDescent="0.3">
      <c r="A721" s="1">
        <v>1719</v>
      </c>
      <c r="B721" s="2">
        <v>45133</v>
      </c>
      <c r="C721" s="1" t="s">
        <v>14</v>
      </c>
      <c r="D721" s="1" t="s">
        <v>40</v>
      </c>
      <c r="E721" s="1" t="s">
        <v>16</v>
      </c>
      <c r="F721" s="1">
        <v>717.7</v>
      </c>
      <c r="G721" s="1" t="s">
        <v>295</v>
      </c>
      <c r="H721" s="2">
        <v>23369</v>
      </c>
      <c r="I721" s="2">
        <v>45135</v>
      </c>
      <c r="J721" s="1">
        <v>13.77</v>
      </c>
      <c r="K721" s="4">
        <f t="shared" si="25"/>
        <v>98.827290000000005</v>
      </c>
      <c r="L721" s="4">
        <f t="shared" si="26"/>
        <v>618.8727100000001</v>
      </c>
    </row>
    <row r="722" spans="1:12" x14ac:dyDescent="0.3">
      <c r="A722" s="1">
        <v>1720</v>
      </c>
      <c r="B722" s="2">
        <v>44377</v>
      </c>
      <c r="C722" s="1" t="s">
        <v>35</v>
      </c>
      <c r="D722" s="1" t="s">
        <v>11</v>
      </c>
      <c r="E722" s="1" t="s">
        <v>12</v>
      </c>
      <c r="F722" s="1">
        <v>3653.64</v>
      </c>
      <c r="G722" s="1" t="s">
        <v>312</v>
      </c>
      <c r="H722" s="2">
        <v>34765</v>
      </c>
      <c r="I722" s="2">
        <v>44380</v>
      </c>
      <c r="J722" s="1">
        <v>14.62</v>
      </c>
      <c r="K722" s="4">
        <f t="shared" si="25"/>
        <v>534.16216799999995</v>
      </c>
      <c r="L722" s="4">
        <f t="shared" si="26"/>
        <v>3119.477832</v>
      </c>
    </row>
    <row r="723" spans="1:12" x14ac:dyDescent="0.3">
      <c r="A723" s="1">
        <v>1721</v>
      </c>
      <c r="B723" s="2">
        <v>44779</v>
      </c>
      <c r="C723" s="1" t="s">
        <v>21</v>
      </c>
      <c r="D723" s="1" t="s">
        <v>55</v>
      </c>
      <c r="E723" s="1" t="s">
        <v>31</v>
      </c>
      <c r="F723" s="1">
        <v>4120.01</v>
      </c>
      <c r="G723" s="1" t="s">
        <v>283</v>
      </c>
      <c r="H723" s="2">
        <v>30117</v>
      </c>
      <c r="I723" s="2">
        <v>44782</v>
      </c>
      <c r="J723" s="1">
        <v>1.46</v>
      </c>
      <c r="K723" s="4">
        <f t="shared" si="25"/>
        <v>60.152146000000002</v>
      </c>
      <c r="L723" s="4">
        <f t="shared" si="26"/>
        <v>4059.8578540000003</v>
      </c>
    </row>
    <row r="724" spans="1:12" x14ac:dyDescent="0.3">
      <c r="A724" s="1">
        <v>1722</v>
      </c>
      <c r="B724" s="2">
        <v>44813</v>
      </c>
      <c r="C724" s="1" t="s">
        <v>14</v>
      </c>
      <c r="D724" s="1" t="s">
        <v>22</v>
      </c>
      <c r="E724" s="1" t="s">
        <v>19</v>
      </c>
      <c r="F724" s="1">
        <v>1738.91</v>
      </c>
      <c r="G724" s="1" t="s">
        <v>229</v>
      </c>
      <c r="H724" s="2">
        <v>37783</v>
      </c>
      <c r="I724" s="2">
        <v>44820</v>
      </c>
      <c r="J724" s="1">
        <v>3.04</v>
      </c>
      <c r="K724" s="4">
        <f t="shared" si="25"/>
        <v>52.862864000000002</v>
      </c>
      <c r="L724" s="4">
        <f t="shared" si="26"/>
        <v>1686.0471360000001</v>
      </c>
    </row>
    <row r="725" spans="1:12" x14ac:dyDescent="0.3">
      <c r="A725" s="1">
        <v>1723</v>
      </c>
      <c r="B725" s="2">
        <v>45657</v>
      </c>
      <c r="C725" s="1" t="s">
        <v>21</v>
      </c>
      <c r="D725" s="1" t="s">
        <v>36</v>
      </c>
      <c r="E725" s="1" t="s">
        <v>28</v>
      </c>
      <c r="F725" s="1">
        <v>3158.37</v>
      </c>
      <c r="G725" s="1" t="s">
        <v>37</v>
      </c>
      <c r="H725" s="2">
        <v>27534</v>
      </c>
      <c r="I725" s="2">
        <v>45666</v>
      </c>
      <c r="J725" s="1">
        <v>49.54</v>
      </c>
      <c r="K725" s="4">
        <f t="shared" si="25"/>
        <v>1564.6564980000001</v>
      </c>
      <c r="L725" s="4">
        <f t="shared" si="26"/>
        <v>1593.7135019999998</v>
      </c>
    </row>
    <row r="726" spans="1:12" x14ac:dyDescent="0.3">
      <c r="A726" s="1">
        <v>1724</v>
      </c>
      <c r="B726" s="2">
        <v>44535</v>
      </c>
      <c r="C726" s="1" t="s">
        <v>10</v>
      </c>
      <c r="D726" s="1" t="s">
        <v>69</v>
      </c>
      <c r="E726" s="1" t="s">
        <v>31</v>
      </c>
      <c r="F726" s="1">
        <v>3256.95</v>
      </c>
      <c r="G726" s="1" t="s">
        <v>83</v>
      </c>
      <c r="H726" s="2">
        <v>24673</v>
      </c>
      <c r="I726" s="2">
        <v>44546</v>
      </c>
      <c r="J726" s="1">
        <v>10.63</v>
      </c>
      <c r="K726" s="4">
        <f t="shared" si="25"/>
        <v>346.21378499999997</v>
      </c>
      <c r="L726" s="4">
        <f t="shared" si="26"/>
        <v>2910.7362149999999</v>
      </c>
    </row>
    <row r="727" spans="1:12" x14ac:dyDescent="0.3">
      <c r="A727" s="1">
        <v>1725</v>
      </c>
      <c r="B727" s="2">
        <v>44333</v>
      </c>
      <c r="C727" s="1" t="s">
        <v>14</v>
      </c>
      <c r="D727" s="1" t="s">
        <v>47</v>
      </c>
      <c r="E727" s="1" t="s">
        <v>12</v>
      </c>
      <c r="F727" s="1">
        <v>1874.15</v>
      </c>
      <c r="G727" s="1" t="s">
        <v>157</v>
      </c>
      <c r="H727" s="2">
        <v>37189</v>
      </c>
      <c r="I727" s="2">
        <v>44339</v>
      </c>
      <c r="J727" s="1">
        <v>4.95</v>
      </c>
      <c r="K727" s="4">
        <f t="shared" si="25"/>
        <v>92.770425000000003</v>
      </c>
      <c r="L727" s="4">
        <f t="shared" si="26"/>
        <v>1781.3795750000002</v>
      </c>
    </row>
    <row r="728" spans="1:12" x14ac:dyDescent="0.3">
      <c r="A728" s="1">
        <v>1726</v>
      </c>
      <c r="B728" s="2">
        <v>45492</v>
      </c>
      <c r="C728" s="1" t="s">
        <v>10</v>
      </c>
      <c r="D728" s="1" t="s">
        <v>58</v>
      </c>
      <c r="E728" s="1" t="s">
        <v>31</v>
      </c>
      <c r="F728" s="1">
        <v>154.96</v>
      </c>
      <c r="G728" s="1" t="s">
        <v>13</v>
      </c>
      <c r="H728" s="2">
        <v>24348</v>
      </c>
      <c r="I728" s="2">
        <v>45495</v>
      </c>
      <c r="J728" s="1">
        <v>21.2</v>
      </c>
      <c r="K728" s="4">
        <f t="shared" si="25"/>
        <v>32.851520000000001</v>
      </c>
      <c r="L728" s="4">
        <f t="shared" si="26"/>
        <v>122.10848000000001</v>
      </c>
    </row>
    <row r="729" spans="1:12" x14ac:dyDescent="0.3">
      <c r="A729" s="1">
        <v>1727</v>
      </c>
      <c r="B729" s="2">
        <v>45086</v>
      </c>
      <c r="C729" s="1" t="s">
        <v>14</v>
      </c>
      <c r="D729" s="1" t="s">
        <v>18</v>
      </c>
      <c r="E729" s="1" t="s">
        <v>19</v>
      </c>
      <c r="F729" s="1">
        <v>3947.62</v>
      </c>
      <c r="G729" s="1" t="s">
        <v>150</v>
      </c>
      <c r="H729" s="2">
        <v>31231</v>
      </c>
      <c r="I729" s="2">
        <v>45090</v>
      </c>
      <c r="J729" s="1">
        <v>19.93</v>
      </c>
      <c r="K729" s="4">
        <f t="shared" si="25"/>
        <v>786.76066600000001</v>
      </c>
      <c r="L729" s="4">
        <f t="shared" si="26"/>
        <v>3160.8593339999998</v>
      </c>
    </row>
    <row r="730" spans="1:12" x14ac:dyDescent="0.3">
      <c r="A730" s="1">
        <v>1728</v>
      </c>
      <c r="B730" s="2">
        <v>44521</v>
      </c>
      <c r="C730" s="1" t="s">
        <v>35</v>
      </c>
      <c r="D730" s="1" t="s">
        <v>18</v>
      </c>
      <c r="E730" s="1" t="s">
        <v>19</v>
      </c>
      <c r="F730" s="1">
        <v>1193.6600000000001</v>
      </c>
      <c r="G730" s="1" t="s">
        <v>60</v>
      </c>
      <c r="H730" s="2">
        <v>33482</v>
      </c>
      <c r="I730" s="2">
        <v>44530</v>
      </c>
      <c r="J730" s="1">
        <v>37.83</v>
      </c>
      <c r="K730" s="4">
        <f t="shared" si="25"/>
        <v>451.561578</v>
      </c>
      <c r="L730" s="4">
        <f t="shared" si="26"/>
        <v>742.09842200000003</v>
      </c>
    </row>
    <row r="731" spans="1:12" x14ac:dyDescent="0.3">
      <c r="A731" s="1">
        <v>1729</v>
      </c>
      <c r="B731" s="2">
        <v>45680</v>
      </c>
      <c r="C731" s="1" t="s">
        <v>21</v>
      </c>
      <c r="D731" s="1" t="s">
        <v>73</v>
      </c>
      <c r="E731" s="1" t="s">
        <v>28</v>
      </c>
      <c r="F731" s="1">
        <v>1844.63</v>
      </c>
      <c r="G731" s="1" t="s">
        <v>201</v>
      </c>
      <c r="H731" s="2">
        <v>23469</v>
      </c>
      <c r="I731" s="2">
        <v>45688</v>
      </c>
      <c r="J731" s="1">
        <v>42.25</v>
      </c>
      <c r="K731" s="4">
        <f t="shared" si="25"/>
        <v>779.35617500000001</v>
      </c>
      <c r="L731" s="4">
        <f t="shared" si="26"/>
        <v>1065.2738250000002</v>
      </c>
    </row>
    <row r="732" spans="1:12" x14ac:dyDescent="0.3">
      <c r="A732" s="1">
        <v>1730</v>
      </c>
      <c r="B732" s="2">
        <v>45873</v>
      </c>
      <c r="C732" s="1" t="s">
        <v>35</v>
      </c>
      <c r="D732" s="1" t="s">
        <v>36</v>
      </c>
      <c r="E732" s="1" t="s">
        <v>28</v>
      </c>
      <c r="F732" s="1">
        <v>4539.5600000000004</v>
      </c>
      <c r="G732" s="1" t="s">
        <v>42</v>
      </c>
      <c r="H732" s="2">
        <v>26027</v>
      </c>
      <c r="I732" s="2">
        <v>45879</v>
      </c>
      <c r="J732" s="1">
        <v>44.93</v>
      </c>
      <c r="K732" s="4">
        <f t="shared" si="25"/>
        <v>2039.6243080000002</v>
      </c>
      <c r="L732" s="4">
        <f t="shared" si="26"/>
        <v>2499.935692</v>
      </c>
    </row>
    <row r="733" spans="1:12" x14ac:dyDescent="0.3">
      <c r="A733" s="1">
        <v>1731</v>
      </c>
      <c r="B733" s="2">
        <v>45007</v>
      </c>
      <c r="C733" s="1" t="s">
        <v>14</v>
      </c>
      <c r="D733" s="1" t="s">
        <v>55</v>
      </c>
      <c r="E733" s="1" t="s">
        <v>31</v>
      </c>
      <c r="F733" s="1">
        <v>2167.87</v>
      </c>
      <c r="G733" s="1" t="s">
        <v>168</v>
      </c>
      <c r="H733" s="2">
        <v>37674</v>
      </c>
      <c r="I733" s="2">
        <v>45013</v>
      </c>
      <c r="J733" s="1">
        <v>43.08</v>
      </c>
      <c r="K733" s="4">
        <f t="shared" si="25"/>
        <v>933.91839599999992</v>
      </c>
      <c r="L733" s="4">
        <f t="shared" si="26"/>
        <v>1233.9516039999999</v>
      </c>
    </row>
    <row r="734" spans="1:12" x14ac:dyDescent="0.3">
      <c r="A734" s="1">
        <v>1732</v>
      </c>
      <c r="B734" s="2">
        <v>45568</v>
      </c>
      <c r="C734" s="1" t="s">
        <v>26</v>
      </c>
      <c r="D734" s="1" t="s">
        <v>44</v>
      </c>
      <c r="E734" s="1" t="s">
        <v>16</v>
      </c>
      <c r="F734" s="1">
        <v>4749.59</v>
      </c>
      <c r="G734" s="1" t="s">
        <v>236</v>
      </c>
      <c r="H734" s="2">
        <v>36099</v>
      </c>
      <c r="I734" s="2">
        <v>45579</v>
      </c>
      <c r="J734" s="1">
        <v>25.38</v>
      </c>
      <c r="K734" s="4">
        <f t="shared" si="25"/>
        <v>1205.4459419999998</v>
      </c>
      <c r="L734" s="4">
        <f t="shared" si="26"/>
        <v>3544.1440580000003</v>
      </c>
    </row>
    <row r="735" spans="1:12" x14ac:dyDescent="0.3">
      <c r="A735" s="1">
        <v>1733</v>
      </c>
      <c r="B735" s="2">
        <v>44153</v>
      </c>
      <c r="C735" s="1" t="s">
        <v>26</v>
      </c>
      <c r="D735" s="1" t="s">
        <v>44</v>
      </c>
      <c r="E735" s="1" t="s">
        <v>16</v>
      </c>
      <c r="F735" s="1">
        <v>2900.73</v>
      </c>
      <c r="G735" s="1" t="s">
        <v>313</v>
      </c>
      <c r="H735" s="2">
        <v>23039</v>
      </c>
      <c r="I735" s="2">
        <v>44165</v>
      </c>
      <c r="J735" s="1">
        <v>29.58</v>
      </c>
      <c r="K735" s="4">
        <f t="shared" si="25"/>
        <v>858.035934</v>
      </c>
      <c r="L735" s="4">
        <f t="shared" si="26"/>
        <v>2042.694066</v>
      </c>
    </row>
    <row r="736" spans="1:12" x14ac:dyDescent="0.3">
      <c r="A736" s="1">
        <v>1734</v>
      </c>
      <c r="B736" s="2">
        <v>45350</v>
      </c>
      <c r="C736" s="1" t="s">
        <v>14</v>
      </c>
      <c r="D736" s="1" t="s">
        <v>58</v>
      </c>
      <c r="E736" s="1" t="s">
        <v>31</v>
      </c>
      <c r="F736" s="1">
        <v>4400.9399999999996</v>
      </c>
      <c r="G736" s="1" t="s">
        <v>275</v>
      </c>
      <c r="H736" s="2">
        <v>38510</v>
      </c>
      <c r="I736" s="2">
        <v>45359</v>
      </c>
      <c r="J736" s="1">
        <v>45.6</v>
      </c>
      <c r="K736" s="4">
        <f t="shared" si="25"/>
        <v>2006.82864</v>
      </c>
      <c r="L736" s="4">
        <f t="shared" si="26"/>
        <v>2394.1113599999999</v>
      </c>
    </row>
    <row r="737" spans="1:12" x14ac:dyDescent="0.3">
      <c r="A737" s="1">
        <v>1735</v>
      </c>
      <c r="B737" s="2">
        <v>44139</v>
      </c>
      <c r="C737" s="1" t="s">
        <v>10</v>
      </c>
      <c r="D737" s="1" t="s">
        <v>15</v>
      </c>
      <c r="E737" s="1" t="s">
        <v>16</v>
      </c>
      <c r="F737" s="1">
        <v>4781.58</v>
      </c>
      <c r="G737" s="1" t="s">
        <v>138</v>
      </c>
      <c r="H737" s="2">
        <v>25948</v>
      </c>
      <c r="I737" s="2">
        <v>44145</v>
      </c>
      <c r="J737" s="1">
        <v>23.78</v>
      </c>
      <c r="K737" s="4">
        <f t="shared" si="25"/>
        <v>1137.059724</v>
      </c>
      <c r="L737" s="4">
        <f t="shared" si="26"/>
        <v>3644.5202760000002</v>
      </c>
    </row>
    <row r="738" spans="1:12" x14ac:dyDescent="0.3">
      <c r="A738" s="1">
        <v>1736</v>
      </c>
      <c r="B738" s="2">
        <v>45336</v>
      </c>
      <c r="C738" s="1" t="s">
        <v>14</v>
      </c>
      <c r="D738" s="1" t="s">
        <v>22</v>
      </c>
      <c r="E738" s="1" t="s">
        <v>19</v>
      </c>
      <c r="F738" s="1">
        <v>4708.16</v>
      </c>
      <c r="G738" s="1" t="s">
        <v>249</v>
      </c>
      <c r="H738" s="2">
        <v>28555</v>
      </c>
      <c r="I738" s="2">
        <v>45347</v>
      </c>
      <c r="J738" s="1">
        <v>20.18</v>
      </c>
      <c r="K738" s="4">
        <f t="shared" si="25"/>
        <v>950.10668799999996</v>
      </c>
      <c r="L738" s="4">
        <f t="shared" si="26"/>
        <v>3758.053312</v>
      </c>
    </row>
    <row r="739" spans="1:12" x14ac:dyDescent="0.3">
      <c r="A739" s="1">
        <v>1737</v>
      </c>
      <c r="B739" s="2">
        <v>44907</v>
      </c>
      <c r="C739" s="1" t="s">
        <v>14</v>
      </c>
      <c r="D739" s="1" t="s">
        <v>44</v>
      </c>
      <c r="E739" s="1" t="s">
        <v>16</v>
      </c>
      <c r="F739" s="1">
        <v>3127.56</v>
      </c>
      <c r="G739" s="1" t="s">
        <v>193</v>
      </c>
      <c r="H739" s="2">
        <v>26082</v>
      </c>
      <c r="I739" s="2">
        <v>44920</v>
      </c>
      <c r="J739" s="1">
        <v>11.71</v>
      </c>
      <c r="K739" s="4">
        <f t="shared" si="25"/>
        <v>366.23727600000001</v>
      </c>
      <c r="L739" s="4">
        <f t="shared" si="26"/>
        <v>2761.3227240000001</v>
      </c>
    </row>
    <row r="740" spans="1:12" x14ac:dyDescent="0.3">
      <c r="A740" s="1">
        <v>1738</v>
      </c>
      <c r="B740" s="2">
        <v>45705</v>
      </c>
      <c r="C740" s="1" t="s">
        <v>14</v>
      </c>
      <c r="D740" s="1" t="s">
        <v>24</v>
      </c>
      <c r="E740" s="1" t="s">
        <v>19</v>
      </c>
      <c r="F740" s="1">
        <v>1103.3499999999999</v>
      </c>
      <c r="G740" s="1" t="s">
        <v>105</v>
      </c>
      <c r="H740" s="2">
        <v>35889</v>
      </c>
      <c r="I740" s="2">
        <v>45716</v>
      </c>
      <c r="J740" s="1">
        <v>37.68</v>
      </c>
      <c r="K740" s="4">
        <f t="shared" si="25"/>
        <v>415.74227999999999</v>
      </c>
      <c r="L740" s="4">
        <f t="shared" si="26"/>
        <v>687.60771999999997</v>
      </c>
    </row>
    <row r="741" spans="1:12" x14ac:dyDescent="0.3">
      <c r="A741" s="1">
        <v>1739</v>
      </c>
      <c r="B741" s="2">
        <v>45610</v>
      </c>
      <c r="C741" s="1" t="s">
        <v>35</v>
      </c>
      <c r="D741" s="1" t="s">
        <v>71</v>
      </c>
      <c r="E741" s="1" t="s">
        <v>31</v>
      </c>
      <c r="F741" s="1">
        <v>4516.29</v>
      </c>
      <c r="G741" s="1" t="s">
        <v>54</v>
      </c>
      <c r="H741" s="2">
        <v>31082</v>
      </c>
      <c r="I741" s="2">
        <v>45613</v>
      </c>
      <c r="J741" s="1">
        <v>25.53</v>
      </c>
      <c r="K741" s="4">
        <f t="shared" si="25"/>
        <v>1153.0088370000001</v>
      </c>
      <c r="L741" s="4">
        <f t="shared" si="26"/>
        <v>3363.2811629999997</v>
      </c>
    </row>
    <row r="742" spans="1:12" x14ac:dyDescent="0.3">
      <c r="A742" s="1">
        <v>1740</v>
      </c>
      <c r="B742" s="2">
        <v>45856</v>
      </c>
      <c r="C742" s="1" t="s">
        <v>10</v>
      </c>
      <c r="D742" s="1" t="s">
        <v>18</v>
      </c>
      <c r="E742" s="1" t="s">
        <v>19</v>
      </c>
      <c r="F742" s="1">
        <v>2521.89</v>
      </c>
      <c r="G742" s="1" t="s">
        <v>279</v>
      </c>
      <c r="H742" s="2">
        <v>38934</v>
      </c>
      <c r="I742" s="2">
        <v>45864</v>
      </c>
      <c r="J742" s="1">
        <v>18.59</v>
      </c>
      <c r="K742" s="4">
        <f t="shared" si="25"/>
        <v>468.81935099999998</v>
      </c>
      <c r="L742" s="4">
        <f t="shared" si="26"/>
        <v>2053.0706489999998</v>
      </c>
    </row>
    <row r="743" spans="1:12" x14ac:dyDescent="0.3">
      <c r="A743" s="1">
        <v>1741</v>
      </c>
      <c r="B743" s="2">
        <v>44786</v>
      </c>
      <c r="C743" s="1" t="s">
        <v>10</v>
      </c>
      <c r="D743" s="1" t="s">
        <v>40</v>
      </c>
      <c r="E743" s="1" t="s">
        <v>16</v>
      </c>
      <c r="F743" s="1">
        <v>507.92</v>
      </c>
      <c r="G743" s="1" t="s">
        <v>173</v>
      </c>
      <c r="H743" s="2">
        <v>22016</v>
      </c>
      <c r="I743" s="2">
        <v>44790</v>
      </c>
      <c r="J743" s="1">
        <v>15.96</v>
      </c>
      <c r="K743" s="4">
        <f t="shared" si="25"/>
        <v>81.064032000000012</v>
      </c>
      <c r="L743" s="4">
        <f t="shared" si="26"/>
        <v>426.85596800000002</v>
      </c>
    </row>
    <row r="744" spans="1:12" x14ac:dyDescent="0.3">
      <c r="A744" s="1">
        <v>1742</v>
      </c>
      <c r="B744" s="2">
        <v>45859</v>
      </c>
      <c r="C744" s="1" t="s">
        <v>26</v>
      </c>
      <c r="D744" s="1" t="s">
        <v>47</v>
      </c>
      <c r="E744" s="1" t="s">
        <v>12</v>
      </c>
      <c r="F744" s="1">
        <v>3946.68</v>
      </c>
      <c r="G744" s="1" t="s">
        <v>187</v>
      </c>
      <c r="H744" s="2">
        <v>30778</v>
      </c>
      <c r="I744" s="2">
        <v>45865</v>
      </c>
      <c r="J744" s="1">
        <v>40.43</v>
      </c>
      <c r="K744" s="4">
        <f t="shared" si="25"/>
        <v>1595.6427239999998</v>
      </c>
      <c r="L744" s="4">
        <f t="shared" si="26"/>
        <v>2351.037276</v>
      </c>
    </row>
    <row r="745" spans="1:12" x14ac:dyDescent="0.3">
      <c r="A745" s="1">
        <v>1743</v>
      </c>
      <c r="B745" s="2">
        <v>44234</v>
      </c>
      <c r="C745" s="1" t="s">
        <v>26</v>
      </c>
      <c r="D745" s="1" t="s">
        <v>24</v>
      </c>
      <c r="E745" s="1" t="s">
        <v>19</v>
      </c>
      <c r="F745" s="1">
        <v>2930.76</v>
      </c>
      <c r="G745" s="1" t="s">
        <v>263</v>
      </c>
      <c r="H745" s="2">
        <v>35629</v>
      </c>
      <c r="I745" s="2">
        <v>44247</v>
      </c>
      <c r="J745" s="1">
        <v>29.79</v>
      </c>
      <c r="K745" s="4">
        <f t="shared" si="25"/>
        <v>873.0734040000001</v>
      </c>
      <c r="L745" s="4">
        <f t="shared" si="26"/>
        <v>2057.686596</v>
      </c>
    </row>
    <row r="746" spans="1:12" x14ac:dyDescent="0.3">
      <c r="A746" s="1">
        <v>1744</v>
      </c>
      <c r="B746" s="2">
        <v>45828</v>
      </c>
      <c r="C746" s="1" t="s">
        <v>14</v>
      </c>
      <c r="D746" s="1" t="s">
        <v>69</v>
      </c>
      <c r="E746" s="1" t="s">
        <v>12</v>
      </c>
      <c r="F746" s="1">
        <v>774.89</v>
      </c>
      <c r="G746" s="1" t="s">
        <v>266</v>
      </c>
      <c r="H746" s="2">
        <v>32604</v>
      </c>
      <c r="I746" s="2">
        <v>45838</v>
      </c>
      <c r="J746" s="1">
        <v>26.39</v>
      </c>
      <c r="K746" s="4">
        <f t="shared" si="25"/>
        <v>204.49347100000003</v>
      </c>
      <c r="L746" s="4">
        <f t="shared" si="26"/>
        <v>570.39652899999999</v>
      </c>
    </row>
    <row r="747" spans="1:12" x14ac:dyDescent="0.3">
      <c r="A747" s="1">
        <v>1745</v>
      </c>
      <c r="B747" s="2">
        <v>45477</v>
      </c>
      <c r="C747" s="1" t="s">
        <v>10</v>
      </c>
      <c r="D747" s="1" t="s">
        <v>61</v>
      </c>
      <c r="E747" s="1" t="s">
        <v>19</v>
      </c>
      <c r="F747" s="1">
        <v>1967.8</v>
      </c>
      <c r="G747" s="1" t="s">
        <v>314</v>
      </c>
      <c r="H747" s="2">
        <v>31569</v>
      </c>
      <c r="I747" s="2">
        <v>45486</v>
      </c>
      <c r="J747" s="1">
        <v>32.020000000000003</v>
      </c>
      <c r="K747" s="4">
        <f t="shared" si="25"/>
        <v>630.08956000000012</v>
      </c>
      <c r="L747" s="4">
        <f t="shared" si="26"/>
        <v>1337.7104399999998</v>
      </c>
    </row>
    <row r="748" spans="1:12" x14ac:dyDescent="0.3">
      <c r="A748" s="1">
        <v>1746</v>
      </c>
      <c r="B748" s="2">
        <v>45711</v>
      </c>
      <c r="C748" s="1" t="s">
        <v>21</v>
      </c>
      <c r="D748" s="1" t="s">
        <v>49</v>
      </c>
      <c r="E748" s="1" t="s">
        <v>12</v>
      </c>
      <c r="F748" s="1">
        <v>653.76</v>
      </c>
      <c r="G748" s="1" t="s">
        <v>311</v>
      </c>
      <c r="H748" s="2">
        <v>29242</v>
      </c>
      <c r="I748" s="2">
        <v>45716</v>
      </c>
      <c r="J748" s="1">
        <v>27.02</v>
      </c>
      <c r="K748" s="4">
        <f t="shared" si="25"/>
        <v>176.64595199999999</v>
      </c>
      <c r="L748" s="4">
        <f t="shared" si="26"/>
        <v>477.11404800000003</v>
      </c>
    </row>
    <row r="749" spans="1:12" x14ac:dyDescent="0.3">
      <c r="A749" s="1">
        <v>1747</v>
      </c>
      <c r="B749" s="2">
        <v>45233</v>
      </c>
      <c r="C749" s="1" t="s">
        <v>21</v>
      </c>
      <c r="D749" s="1" t="s">
        <v>22</v>
      </c>
      <c r="E749" s="1" t="s">
        <v>19</v>
      </c>
      <c r="F749" s="1">
        <v>1925.73</v>
      </c>
      <c r="G749" s="1" t="s">
        <v>179</v>
      </c>
      <c r="H749" s="2">
        <v>30356</v>
      </c>
      <c r="I749" s="2">
        <v>45239</v>
      </c>
      <c r="J749" s="1">
        <v>21.89</v>
      </c>
      <c r="K749" s="4">
        <f t="shared" si="25"/>
        <v>421.54229700000002</v>
      </c>
      <c r="L749" s="4">
        <f t="shared" si="26"/>
        <v>1504.1877030000001</v>
      </c>
    </row>
    <row r="750" spans="1:12" x14ac:dyDescent="0.3">
      <c r="A750" s="1">
        <v>1748</v>
      </c>
      <c r="B750" s="2">
        <v>45877</v>
      </c>
      <c r="C750" s="1" t="s">
        <v>26</v>
      </c>
      <c r="D750" s="1" t="s">
        <v>65</v>
      </c>
      <c r="E750" s="1" t="s">
        <v>19</v>
      </c>
      <c r="F750" s="1">
        <v>4083.89</v>
      </c>
      <c r="G750" s="1" t="s">
        <v>315</v>
      </c>
      <c r="H750" s="2">
        <v>32330</v>
      </c>
      <c r="I750" s="2">
        <v>45879</v>
      </c>
      <c r="J750" s="1">
        <v>38.56</v>
      </c>
      <c r="K750" s="4">
        <f t="shared" si="25"/>
        <v>1574.7479839999999</v>
      </c>
      <c r="L750" s="4">
        <f t="shared" si="26"/>
        <v>2509.1420159999998</v>
      </c>
    </row>
    <row r="751" spans="1:12" x14ac:dyDescent="0.3">
      <c r="A751" s="1">
        <v>1749</v>
      </c>
      <c r="B751" s="2">
        <v>45202</v>
      </c>
      <c r="C751" s="1" t="s">
        <v>26</v>
      </c>
      <c r="D751" s="1" t="s">
        <v>58</v>
      </c>
      <c r="E751" s="1" t="s">
        <v>31</v>
      </c>
      <c r="F751" s="1">
        <v>3999.39</v>
      </c>
      <c r="G751" s="1" t="s">
        <v>276</v>
      </c>
      <c r="H751" s="2">
        <v>33394</v>
      </c>
      <c r="I751" s="2">
        <v>45207</v>
      </c>
      <c r="J751" s="1">
        <v>48.78</v>
      </c>
      <c r="K751" s="4">
        <f t="shared" si="25"/>
        <v>1950.9024420000001</v>
      </c>
      <c r="L751" s="4">
        <f t="shared" si="26"/>
        <v>2048.4875579999998</v>
      </c>
    </row>
    <row r="752" spans="1:12" x14ac:dyDescent="0.3">
      <c r="A752" s="1">
        <v>1750</v>
      </c>
      <c r="B752" s="2">
        <v>44989</v>
      </c>
      <c r="C752" s="1" t="s">
        <v>21</v>
      </c>
      <c r="D752" s="1" t="s">
        <v>53</v>
      </c>
      <c r="E752" s="1" t="s">
        <v>28</v>
      </c>
      <c r="F752" s="1">
        <v>1126.92</v>
      </c>
      <c r="G752" s="1" t="s">
        <v>166</v>
      </c>
      <c r="H752" s="2">
        <v>27879</v>
      </c>
      <c r="I752" s="2">
        <v>44990</v>
      </c>
      <c r="J752" s="1">
        <v>7.35</v>
      </c>
      <c r="K752" s="4">
        <f t="shared" si="25"/>
        <v>82.828620000000001</v>
      </c>
      <c r="L752" s="4">
        <f t="shared" si="26"/>
        <v>1044.0913800000001</v>
      </c>
    </row>
    <row r="753" spans="1:12" x14ac:dyDescent="0.3">
      <c r="A753" s="1">
        <v>1751</v>
      </c>
      <c r="B753" s="2">
        <v>44450</v>
      </c>
      <c r="C753" s="1" t="s">
        <v>10</v>
      </c>
      <c r="D753" s="1" t="s">
        <v>18</v>
      </c>
      <c r="E753" s="1" t="s">
        <v>19</v>
      </c>
      <c r="F753" s="1">
        <v>2959.72</v>
      </c>
      <c r="G753" s="1" t="s">
        <v>316</v>
      </c>
      <c r="H753" s="2">
        <v>36087</v>
      </c>
      <c r="I753" s="2">
        <v>44453</v>
      </c>
      <c r="J753" s="1">
        <v>13.94</v>
      </c>
      <c r="K753" s="4">
        <f t="shared" si="25"/>
        <v>412.58496799999995</v>
      </c>
      <c r="L753" s="4">
        <f t="shared" si="26"/>
        <v>2547.1350319999997</v>
      </c>
    </row>
    <row r="754" spans="1:12" x14ac:dyDescent="0.3">
      <c r="A754" s="1">
        <v>1752</v>
      </c>
      <c r="B754" s="2">
        <v>44174</v>
      </c>
      <c r="C754" s="1" t="s">
        <v>10</v>
      </c>
      <c r="D754" s="1" t="s">
        <v>58</v>
      </c>
      <c r="E754" s="1" t="s">
        <v>31</v>
      </c>
      <c r="F754" s="1">
        <v>3761.77</v>
      </c>
      <c r="G754" s="1" t="s">
        <v>195</v>
      </c>
      <c r="H754" s="2">
        <v>28065</v>
      </c>
      <c r="I754" s="2">
        <v>44188</v>
      </c>
      <c r="J754" s="1">
        <v>24.9</v>
      </c>
      <c r="K754" s="4">
        <f t="shared" si="25"/>
        <v>936.68073000000004</v>
      </c>
      <c r="L754" s="4">
        <f t="shared" si="26"/>
        <v>2825.0892699999999</v>
      </c>
    </row>
    <row r="755" spans="1:12" x14ac:dyDescent="0.3">
      <c r="A755" s="1">
        <v>1753</v>
      </c>
      <c r="B755" s="2">
        <v>44883</v>
      </c>
      <c r="C755" s="1" t="s">
        <v>21</v>
      </c>
      <c r="D755" s="1" t="s">
        <v>69</v>
      </c>
      <c r="E755" s="1" t="s">
        <v>31</v>
      </c>
      <c r="F755" s="1">
        <v>4614.51</v>
      </c>
      <c r="G755" s="1" t="s">
        <v>171</v>
      </c>
      <c r="H755" s="2">
        <v>31261</v>
      </c>
      <c r="I755" s="2">
        <v>44896</v>
      </c>
      <c r="J755" s="1">
        <v>34.75</v>
      </c>
      <c r="K755" s="4">
        <f t="shared" si="25"/>
        <v>1603.5422249999999</v>
      </c>
      <c r="L755" s="4">
        <f t="shared" si="26"/>
        <v>3010.9677750000001</v>
      </c>
    </row>
    <row r="756" spans="1:12" x14ac:dyDescent="0.3">
      <c r="A756" s="1">
        <v>1754</v>
      </c>
      <c r="B756" s="2">
        <v>45139</v>
      </c>
      <c r="C756" s="1" t="s">
        <v>14</v>
      </c>
      <c r="D756" s="1" t="s">
        <v>40</v>
      </c>
      <c r="E756" s="1" t="s">
        <v>16</v>
      </c>
      <c r="F756" s="1">
        <v>3877.12</v>
      </c>
      <c r="G756" s="1" t="s">
        <v>317</v>
      </c>
      <c r="H756" s="2">
        <v>32196</v>
      </c>
      <c r="I756" s="2">
        <v>45145</v>
      </c>
      <c r="J756" s="1">
        <v>34.380000000000003</v>
      </c>
      <c r="K756" s="4">
        <f t="shared" si="25"/>
        <v>1332.9538560000001</v>
      </c>
      <c r="L756" s="4">
        <f t="shared" si="26"/>
        <v>2544.1661439999998</v>
      </c>
    </row>
    <row r="757" spans="1:12" x14ac:dyDescent="0.3">
      <c r="A757" s="1">
        <v>1755</v>
      </c>
      <c r="B757" s="2">
        <v>45562</v>
      </c>
      <c r="C757" s="1" t="s">
        <v>14</v>
      </c>
      <c r="D757" s="1" t="s">
        <v>69</v>
      </c>
      <c r="E757" s="1" t="s">
        <v>12</v>
      </c>
      <c r="F757" s="1">
        <v>3026.11</v>
      </c>
      <c r="G757" s="1" t="s">
        <v>318</v>
      </c>
      <c r="H757" s="2">
        <v>29040</v>
      </c>
      <c r="I757" s="2">
        <v>45567</v>
      </c>
      <c r="J757" s="1">
        <v>16.989999999999998</v>
      </c>
      <c r="K757" s="4">
        <f t="shared" si="25"/>
        <v>514.13608899999997</v>
      </c>
      <c r="L757" s="4">
        <f t="shared" si="26"/>
        <v>2511.973911</v>
      </c>
    </row>
    <row r="758" spans="1:12" x14ac:dyDescent="0.3">
      <c r="A758" s="1">
        <v>1756</v>
      </c>
      <c r="B758" s="2">
        <v>44801</v>
      </c>
      <c r="C758" s="1" t="s">
        <v>21</v>
      </c>
      <c r="D758" s="1" t="s">
        <v>53</v>
      </c>
      <c r="E758" s="1" t="s">
        <v>28</v>
      </c>
      <c r="F758" s="1">
        <v>3805.23</v>
      </c>
      <c r="G758" s="1" t="s">
        <v>319</v>
      </c>
      <c r="H758" s="2">
        <v>36068</v>
      </c>
      <c r="I758" s="2">
        <v>44803</v>
      </c>
      <c r="J758" s="1">
        <v>27.67</v>
      </c>
      <c r="K758" s="4">
        <f t="shared" si="25"/>
        <v>1052.9071409999999</v>
      </c>
      <c r="L758" s="4">
        <f t="shared" si="26"/>
        <v>2752.3228589999999</v>
      </c>
    </row>
    <row r="759" spans="1:12" x14ac:dyDescent="0.3">
      <c r="A759" s="1">
        <v>1757</v>
      </c>
      <c r="B759" s="2">
        <v>45771</v>
      </c>
      <c r="C759" s="1" t="s">
        <v>26</v>
      </c>
      <c r="D759" s="1" t="s">
        <v>47</v>
      </c>
      <c r="E759" s="1" t="s">
        <v>12</v>
      </c>
      <c r="F759" s="1">
        <v>2560.04</v>
      </c>
      <c r="G759" s="1" t="s">
        <v>182</v>
      </c>
      <c r="H759" s="2">
        <v>24719</v>
      </c>
      <c r="I759" s="2">
        <v>45784</v>
      </c>
      <c r="J759" s="1">
        <v>41.04</v>
      </c>
      <c r="K759" s="4">
        <f t="shared" si="25"/>
        <v>1050.640416</v>
      </c>
      <c r="L759" s="4">
        <f t="shared" si="26"/>
        <v>1509.399584</v>
      </c>
    </row>
    <row r="760" spans="1:12" x14ac:dyDescent="0.3">
      <c r="A760" s="1">
        <v>1758</v>
      </c>
      <c r="B760" s="2">
        <v>44125</v>
      </c>
      <c r="C760" s="1" t="s">
        <v>14</v>
      </c>
      <c r="D760" s="1" t="s">
        <v>55</v>
      </c>
      <c r="E760" s="1" t="s">
        <v>31</v>
      </c>
      <c r="F760" s="1">
        <v>4390.6899999999996</v>
      </c>
      <c r="G760" s="1" t="s">
        <v>197</v>
      </c>
      <c r="H760" s="2">
        <v>26001</v>
      </c>
      <c r="I760" s="2">
        <v>44131</v>
      </c>
      <c r="J760" s="1">
        <v>2.13</v>
      </c>
      <c r="K760" s="4">
        <f t="shared" si="25"/>
        <v>93.521696999999989</v>
      </c>
      <c r="L760" s="4">
        <f t="shared" si="26"/>
        <v>4297.1683029999995</v>
      </c>
    </row>
    <row r="761" spans="1:12" x14ac:dyDescent="0.3">
      <c r="A761" s="1">
        <v>1759</v>
      </c>
      <c r="B761" s="2">
        <v>44527</v>
      </c>
      <c r="C761" s="1" t="s">
        <v>21</v>
      </c>
      <c r="D761" s="1" t="s">
        <v>49</v>
      </c>
      <c r="E761" s="1" t="s">
        <v>12</v>
      </c>
      <c r="F761" s="1">
        <v>2663.45</v>
      </c>
      <c r="G761" s="1" t="s">
        <v>29</v>
      </c>
      <c r="H761" s="2">
        <v>24033</v>
      </c>
      <c r="I761" s="2">
        <v>44539</v>
      </c>
      <c r="J761" s="1">
        <v>22.44</v>
      </c>
      <c r="K761" s="4">
        <f t="shared" si="25"/>
        <v>597.67818</v>
      </c>
      <c r="L761" s="4">
        <f t="shared" si="26"/>
        <v>2065.7718199999999</v>
      </c>
    </row>
    <row r="762" spans="1:12" x14ac:dyDescent="0.3">
      <c r="A762" s="1">
        <v>1760</v>
      </c>
      <c r="B762" s="2">
        <v>45011</v>
      </c>
      <c r="C762" s="1" t="s">
        <v>10</v>
      </c>
      <c r="D762" s="1" t="s">
        <v>47</v>
      </c>
      <c r="E762" s="1" t="s">
        <v>12</v>
      </c>
      <c r="F762" s="1">
        <v>4430.37</v>
      </c>
      <c r="G762" s="1" t="s">
        <v>42</v>
      </c>
      <c r="H762" s="2">
        <v>26027</v>
      </c>
      <c r="I762" s="2">
        <v>45025</v>
      </c>
      <c r="J762" s="1">
        <v>32.93</v>
      </c>
      <c r="K762" s="4">
        <f t="shared" si="25"/>
        <v>1458.9208409999999</v>
      </c>
      <c r="L762" s="4">
        <f t="shared" si="26"/>
        <v>2971.4491589999998</v>
      </c>
    </row>
    <row r="763" spans="1:12" x14ac:dyDescent="0.3">
      <c r="A763" s="1">
        <v>1761</v>
      </c>
      <c r="B763" s="2">
        <v>44245</v>
      </c>
      <c r="C763" s="1" t="s">
        <v>21</v>
      </c>
      <c r="D763" s="1" t="s">
        <v>15</v>
      </c>
      <c r="E763" s="1" t="s">
        <v>16</v>
      </c>
      <c r="F763" s="1">
        <v>2568.0700000000002</v>
      </c>
      <c r="G763" s="1" t="s">
        <v>262</v>
      </c>
      <c r="H763" s="2">
        <v>36590</v>
      </c>
      <c r="I763" s="2">
        <v>44254</v>
      </c>
      <c r="J763" s="1">
        <v>20.55</v>
      </c>
      <c r="K763" s="4">
        <f t="shared" si="25"/>
        <v>527.73838500000011</v>
      </c>
      <c r="L763" s="4">
        <f t="shared" si="26"/>
        <v>2040.3316150000001</v>
      </c>
    </row>
    <row r="764" spans="1:12" x14ac:dyDescent="0.3">
      <c r="A764" s="1">
        <v>1762</v>
      </c>
      <c r="B764" s="2">
        <v>44655</v>
      </c>
      <c r="C764" s="1" t="s">
        <v>14</v>
      </c>
      <c r="D764" s="1" t="s">
        <v>44</v>
      </c>
      <c r="E764" s="1" t="s">
        <v>16</v>
      </c>
      <c r="F764" s="1">
        <v>429.92</v>
      </c>
      <c r="G764" s="1" t="s">
        <v>264</v>
      </c>
      <c r="H764" s="2">
        <v>30232</v>
      </c>
      <c r="I764" s="2">
        <v>44668</v>
      </c>
      <c r="J764" s="1">
        <v>5.82</v>
      </c>
      <c r="K764" s="4">
        <f t="shared" si="25"/>
        <v>25.021344000000003</v>
      </c>
      <c r="L764" s="4">
        <f t="shared" si="26"/>
        <v>404.89865600000002</v>
      </c>
    </row>
    <row r="765" spans="1:12" x14ac:dyDescent="0.3">
      <c r="A765" s="1">
        <v>1763</v>
      </c>
      <c r="B765" s="2">
        <v>44063</v>
      </c>
      <c r="C765" s="1" t="s">
        <v>10</v>
      </c>
      <c r="D765" s="1" t="s">
        <v>71</v>
      </c>
      <c r="E765" s="1" t="s">
        <v>31</v>
      </c>
      <c r="F765" s="1">
        <v>965.67</v>
      </c>
      <c r="G765" s="1" t="s">
        <v>230</v>
      </c>
      <c r="H765" s="2">
        <v>35642</v>
      </c>
      <c r="I765" s="2">
        <v>44071</v>
      </c>
      <c r="J765" s="1">
        <v>13.52</v>
      </c>
      <c r="K765" s="4">
        <f t="shared" si="25"/>
        <v>130.55858399999997</v>
      </c>
      <c r="L765" s="4">
        <f t="shared" si="26"/>
        <v>835.11141599999996</v>
      </c>
    </row>
    <row r="766" spans="1:12" x14ac:dyDescent="0.3">
      <c r="A766" s="1">
        <v>1764</v>
      </c>
      <c r="B766" s="2">
        <v>44839</v>
      </c>
      <c r="C766" s="1" t="s">
        <v>14</v>
      </c>
      <c r="D766" s="1" t="s">
        <v>33</v>
      </c>
      <c r="E766" s="1" t="s">
        <v>16</v>
      </c>
      <c r="F766" s="1">
        <v>1984.75</v>
      </c>
      <c r="G766" s="1" t="s">
        <v>170</v>
      </c>
      <c r="H766" s="2">
        <v>34205</v>
      </c>
      <c r="I766" s="2">
        <v>44852</v>
      </c>
      <c r="J766" s="1">
        <v>25.56</v>
      </c>
      <c r="K766" s="4">
        <f t="shared" si="25"/>
        <v>507.3021</v>
      </c>
      <c r="L766" s="4">
        <f t="shared" si="26"/>
        <v>1477.4479000000001</v>
      </c>
    </row>
    <row r="767" spans="1:12" x14ac:dyDescent="0.3">
      <c r="A767" s="1">
        <v>1765</v>
      </c>
      <c r="B767" s="2">
        <v>45761</v>
      </c>
      <c r="C767" s="1" t="s">
        <v>21</v>
      </c>
      <c r="D767" s="1" t="s">
        <v>102</v>
      </c>
      <c r="E767" s="1" t="s">
        <v>12</v>
      </c>
      <c r="F767" s="1">
        <v>371.15</v>
      </c>
      <c r="G767" s="1" t="s">
        <v>218</v>
      </c>
      <c r="H767" s="2">
        <v>29792</v>
      </c>
      <c r="I767" s="2">
        <v>45764</v>
      </c>
      <c r="J767" s="1">
        <v>13.58</v>
      </c>
      <c r="K767" s="4">
        <f t="shared" si="25"/>
        <v>50.402169999999998</v>
      </c>
      <c r="L767" s="4">
        <f t="shared" si="26"/>
        <v>320.74782999999996</v>
      </c>
    </row>
    <row r="768" spans="1:12" x14ac:dyDescent="0.3">
      <c r="A768" s="1">
        <v>1766</v>
      </c>
      <c r="B768" s="2">
        <v>45791</v>
      </c>
      <c r="C768" s="1" t="s">
        <v>21</v>
      </c>
      <c r="D768" s="1" t="s">
        <v>69</v>
      </c>
      <c r="E768" s="1" t="s">
        <v>12</v>
      </c>
      <c r="F768" s="1">
        <v>2705.32</v>
      </c>
      <c r="G768" s="1" t="s">
        <v>290</v>
      </c>
      <c r="H768" s="2">
        <v>31764</v>
      </c>
      <c r="I768" s="2">
        <v>45794</v>
      </c>
      <c r="J768" s="1">
        <v>33.67</v>
      </c>
      <c r="K768" s="4">
        <f t="shared" si="25"/>
        <v>910.88124400000004</v>
      </c>
      <c r="L768" s="4">
        <f t="shared" si="26"/>
        <v>1794.438756</v>
      </c>
    </row>
    <row r="769" spans="1:12" x14ac:dyDescent="0.3">
      <c r="A769" s="1">
        <v>1767</v>
      </c>
      <c r="B769" s="2">
        <v>44746</v>
      </c>
      <c r="C769" s="1" t="s">
        <v>26</v>
      </c>
      <c r="D769" s="1" t="s">
        <v>18</v>
      </c>
      <c r="E769" s="1" t="s">
        <v>19</v>
      </c>
      <c r="F769" s="1">
        <v>843.92</v>
      </c>
      <c r="G769" s="1" t="s">
        <v>76</v>
      </c>
      <c r="H769" s="2">
        <v>37049</v>
      </c>
      <c r="I769" s="2">
        <v>44753</v>
      </c>
      <c r="J769" s="1">
        <v>45.25</v>
      </c>
      <c r="K769" s="4">
        <f t="shared" si="25"/>
        <v>381.87380000000002</v>
      </c>
      <c r="L769" s="4">
        <f t="shared" si="26"/>
        <v>462.04619999999994</v>
      </c>
    </row>
    <row r="770" spans="1:12" x14ac:dyDescent="0.3">
      <c r="A770" s="1">
        <v>1768</v>
      </c>
      <c r="B770" s="2">
        <v>45739</v>
      </c>
      <c r="C770" s="1" t="s">
        <v>26</v>
      </c>
      <c r="D770" s="1" t="s">
        <v>22</v>
      </c>
      <c r="E770" s="1" t="s">
        <v>19</v>
      </c>
      <c r="F770" s="1">
        <v>551.48</v>
      </c>
      <c r="G770" s="1" t="s">
        <v>168</v>
      </c>
      <c r="H770" s="2">
        <v>37674</v>
      </c>
      <c r="I770" s="2">
        <v>45748</v>
      </c>
      <c r="J770" s="1">
        <v>27.97</v>
      </c>
      <c r="K770" s="4">
        <f t="shared" si="25"/>
        <v>154.24895600000002</v>
      </c>
      <c r="L770" s="4">
        <f t="shared" si="26"/>
        <v>397.231044</v>
      </c>
    </row>
    <row r="771" spans="1:12" x14ac:dyDescent="0.3">
      <c r="A771" s="1">
        <v>1769</v>
      </c>
      <c r="B771" s="2">
        <v>45072</v>
      </c>
      <c r="C771" s="1" t="s">
        <v>14</v>
      </c>
      <c r="D771" s="1" t="s">
        <v>36</v>
      </c>
      <c r="E771" s="1" t="s">
        <v>28</v>
      </c>
      <c r="F771" s="1">
        <v>2238.04</v>
      </c>
      <c r="G771" s="1" t="s">
        <v>230</v>
      </c>
      <c r="H771" s="2">
        <v>35642</v>
      </c>
      <c r="I771" s="2">
        <v>45086</v>
      </c>
      <c r="J771" s="1">
        <v>11.51</v>
      </c>
      <c r="K771" s="4">
        <f t="shared" ref="K771:K834" si="27">F771*J771%</f>
        <v>257.59840399999996</v>
      </c>
      <c r="L771" s="4">
        <f t="shared" ref="L771:L834" si="28">F771-K771</f>
        <v>1980.4415960000001</v>
      </c>
    </row>
    <row r="772" spans="1:12" x14ac:dyDescent="0.3">
      <c r="A772" s="1">
        <v>1770</v>
      </c>
      <c r="B772" s="2">
        <v>45391</v>
      </c>
      <c r="C772" s="1" t="s">
        <v>21</v>
      </c>
      <c r="D772" s="1" t="s">
        <v>11</v>
      </c>
      <c r="E772" s="1" t="s">
        <v>12</v>
      </c>
      <c r="F772" s="1">
        <v>2417.52</v>
      </c>
      <c r="G772" s="1" t="s">
        <v>37</v>
      </c>
      <c r="H772" s="2">
        <v>27534</v>
      </c>
      <c r="I772" s="2">
        <v>45393</v>
      </c>
      <c r="J772" s="1">
        <v>25.77</v>
      </c>
      <c r="K772" s="4">
        <f t="shared" si="27"/>
        <v>622.99490399999991</v>
      </c>
      <c r="L772" s="4">
        <f t="shared" si="28"/>
        <v>1794.5250960000001</v>
      </c>
    </row>
    <row r="773" spans="1:12" x14ac:dyDescent="0.3">
      <c r="A773" s="1">
        <v>1771</v>
      </c>
      <c r="B773" s="2">
        <v>45843</v>
      </c>
      <c r="C773" s="1" t="s">
        <v>21</v>
      </c>
      <c r="D773" s="1" t="s">
        <v>49</v>
      </c>
      <c r="E773" s="1" t="s">
        <v>12</v>
      </c>
      <c r="F773" s="1">
        <v>960.47</v>
      </c>
      <c r="G773" s="1" t="s">
        <v>241</v>
      </c>
      <c r="H773" s="2">
        <v>31880</v>
      </c>
      <c r="I773" s="2">
        <v>45847</v>
      </c>
      <c r="J773" s="1">
        <v>2.1800000000000002</v>
      </c>
      <c r="K773" s="4">
        <f t="shared" si="27"/>
        <v>20.938245999999999</v>
      </c>
      <c r="L773" s="4">
        <f t="shared" si="28"/>
        <v>939.53175399999998</v>
      </c>
    </row>
    <row r="774" spans="1:12" x14ac:dyDescent="0.3">
      <c r="A774" s="1">
        <v>1772</v>
      </c>
      <c r="B774" s="2">
        <v>44233</v>
      </c>
      <c r="C774" s="1" t="s">
        <v>14</v>
      </c>
      <c r="D774" s="1" t="s">
        <v>15</v>
      </c>
      <c r="E774" s="1" t="s">
        <v>16</v>
      </c>
      <c r="F774" s="1">
        <v>390.05</v>
      </c>
      <c r="G774" s="1" t="s">
        <v>79</v>
      </c>
      <c r="H774" s="2">
        <v>28675</v>
      </c>
      <c r="I774" s="2">
        <v>44235</v>
      </c>
      <c r="J774" s="1">
        <v>34.19</v>
      </c>
      <c r="K774" s="4">
        <f t="shared" si="27"/>
        <v>133.35809499999999</v>
      </c>
      <c r="L774" s="4">
        <f t="shared" si="28"/>
        <v>256.69190500000002</v>
      </c>
    </row>
    <row r="775" spans="1:12" x14ac:dyDescent="0.3">
      <c r="A775" s="1">
        <v>1773</v>
      </c>
      <c r="B775" s="2">
        <v>45104</v>
      </c>
      <c r="C775" s="1" t="s">
        <v>35</v>
      </c>
      <c r="D775" s="1" t="s">
        <v>27</v>
      </c>
      <c r="E775" s="1" t="s">
        <v>28</v>
      </c>
      <c r="F775" s="1">
        <v>3826.79</v>
      </c>
      <c r="G775" s="1" t="s">
        <v>309</v>
      </c>
      <c r="H775" s="2">
        <v>23838</v>
      </c>
      <c r="I775" s="2">
        <v>45113</v>
      </c>
      <c r="J775" s="1">
        <v>29.62</v>
      </c>
      <c r="K775" s="4">
        <f t="shared" si="27"/>
        <v>1133.4951980000001</v>
      </c>
      <c r="L775" s="4">
        <f t="shared" si="28"/>
        <v>2693.2948019999999</v>
      </c>
    </row>
    <row r="776" spans="1:12" x14ac:dyDescent="0.3">
      <c r="A776" s="1">
        <v>1774</v>
      </c>
      <c r="B776" s="2">
        <v>45090</v>
      </c>
      <c r="C776" s="1" t="s">
        <v>10</v>
      </c>
      <c r="D776" s="1" t="s">
        <v>40</v>
      </c>
      <c r="E776" s="1" t="s">
        <v>16</v>
      </c>
      <c r="F776" s="1">
        <v>3560.29</v>
      </c>
      <c r="G776" s="1" t="s">
        <v>109</v>
      </c>
      <c r="H776" s="2">
        <v>26011</v>
      </c>
      <c r="I776" s="2">
        <v>45094</v>
      </c>
      <c r="J776" s="1">
        <v>9.93</v>
      </c>
      <c r="K776" s="4">
        <f t="shared" si="27"/>
        <v>353.53679699999998</v>
      </c>
      <c r="L776" s="4">
        <f t="shared" si="28"/>
        <v>3206.7532030000002</v>
      </c>
    </row>
    <row r="777" spans="1:12" x14ac:dyDescent="0.3">
      <c r="A777" s="1">
        <v>1775</v>
      </c>
      <c r="B777" s="2">
        <v>45359</v>
      </c>
      <c r="C777" s="1" t="s">
        <v>26</v>
      </c>
      <c r="D777" s="1" t="s">
        <v>61</v>
      </c>
      <c r="E777" s="1" t="s">
        <v>19</v>
      </c>
      <c r="F777" s="1">
        <v>4924.91</v>
      </c>
      <c r="G777" s="1" t="s">
        <v>90</v>
      </c>
      <c r="H777" s="2">
        <v>29348</v>
      </c>
      <c r="I777" s="2">
        <v>45362</v>
      </c>
      <c r="J777" s="1">
        <v>9.5399999999999991</v>
      </c>
      <c r="K777" s="4">
        <f t="shared" si="27"/>
        <v>469.83641399999993</v>
      </c>
      <c r="L777" s="4">
        <f t="shared" si="28"/>
        <v>4455.0735859999995</v>
      </c>
    </row>
    <row r="778" spans="1:12" x14ac:dyDescent="0.3">
      <c r="A778" s="1">
        <v>1776</v>
      </c>
      <c r="B778" s="2">
        <v>45169</v>
      </c>
      <c r="C778" s="1" t="s">
        <v>35</v>
      </c>
      <c r="D778" s="1" t="s">
        <v>65</v>
      </c>
      <c r="E778" s="1" t="s">
        <v>19</v>
      </c>
      <c r="F778" s="1">
        <v>1299.29</v>
      </c>
      <c r="G778" s="1" t="s">
        <v>104</v>
      </c>
      <c r="H778" s="2">
        <v>24852</v>
      </c>
      <c r="I778" s="2">
        <v>45176</v>
      </c>
      <c r="J778" s="1">
        <v>6.68</v>
      </c>
      <c r="K778" s="4">
        <f t="shared" si="27"/>
        <v>86.792571999999993</v>
      </c>
      <c r="L778" s="4">
        <f t="shared" si="28"/>
        <v>1212.4974279999999</v>
      </c>
    </row>
    <row r="779" spans="1:12" x14ac:dyDescent="0.3">
      <c r="A779" s="1">
        <v>1777</v>
      </c>
      <c r="B779" s="2">
        <v>44671</v>
      </c>
      <c r="C779" s="1" t="s">
        <v>35</v>
      </c>
      <c r="D779" s="1" t="s">
        <v>22</v>
      </c>
      <c r="E779" s="1" t="s">
        <v>19</v>
      </c>
      <c r="F779" s="1">
        <v>1760.76</v>
      </c>
      <c r="G779" s="1" t="s">
        <v>308</v>
      </c>
      <c r="H779" s="2">
        <v>35336</v>
      </c>
      <c r="I779" s="2">
        <v>44681</v>
      </c>
      <c r="J779" s="1">
        <v>39.549999999999997</v>
      </c>
      <c r="K779" s="4">
        <f t="shared" si="27"/>
        <v>696.3805799999999</v>
      </c>
      <c r="L779" s="4">
        <f t="shared" si="28"/>
        <v>1064.3794200000002</v>
      </c>
    </row>
    <row r="780" spans="1:12" x14ac:dyDescent="0.3">
      <c r="A780" s="1">
        <v>1778</v>
      </c>
      <c r="B780" s="2">
        <v>44901</v>
      </c>
      <c r="C780" s="1" t="s">
        <v>14</v>
      </c>
      <c r="D780" s="1" t="s">
        <v>44</v>
      </c>
      <c r="E780" s="1" t="s">
        <v>16</v>
      </c>
      <c r="F780" s="1">
        <v>2990.03</v>
      </c>
      <c r="G780" s="1" t="s">
        <v>93</v>
      </c>
      <c r="H780" s="2">
        <v>33984</v>
      </c>
      <c r="I780" s="2">
        <v>44904</v>
      </c>
      <c r="J780" s="1">
        <v>29.8</v>
      </c>
      <c r="K780" s="4">
        <f t="shared" si="27"/>
        <v>891.02894000000003</v>
      </c>
      <c r="L780" s="4">
        <f t="shared" si="28"/>
        <v>2099.0010600000001</v>
      </c>
    </row>
    <row r="781" spans="1:12" x14ac:dyDescent="0.3">
      <c r="A781" s="1">
        <v>1779</v>
      </c>
      <c r="B781" s="2">
        <v>44284</v>
      </c>
      <c r="C781" s="1" t="s">
        <v>14</v>
      </c>
      <c r="D781" s="1" t="s">
        <v>47</v>
      </c>
      <c r="E781" s="1" t="s">
        <v>12</v>
      </c>
      <c r="F781" s="1">
        <v>1216.47</v>
      </c>
      <c r="G781" s="1" t="s">
        <v>117</v>
      </c>
      <c r="H781" s="2">
        <v>23513</v>
      </c>
      <c r="I781" s="2">
        <v>44286</v>
      </c>
      <c r="J781" s="1">
        <v>29.78</v>
      </c>
      <c r="K781" s="4">
        <f t="shared" si="27"/>
        <v>362.26476600000001</v>
      </c>
      <c r="L781" s="4">
        <f t="shared" si="28"/>
        <v>854.20523400000002</v>
      </c>
    </row>
    <row r="782" spans="1:12" x14ac:dyDescent="0.3">
      <c r="A782" s="1">
        <v>1780</v>
      </c>
      <c r="B782" s="2">
        <v>45320</v>
      </c>
      <c r="C782" s="1" t="s">
        <v>26</v>
      </c>
      <c r="D782" s="1" t="s">
        <v>61</v>
      </c>
      <c r="E782" s="1" t="s">
        <v>19</v>
      </c>
      <c r="F782" s="1">
        <v>2788.33</v>
      </c>
      <c r="G782" s="1" t="s">
        <v>207</v>
      </c>
      <c r="H782" s="2">
        <v>23988</v>
      </c>
      <c r="I782" s="2">
        <v>45329</v>
      </c>
      <c r="J782" s="1">
        <v>28.84</v>
      </c>
      <c r="K782" s="4">
        <f t="shared" si="27"/>
        <v>804.15437199999997</v>
      </c>
      <c r="L782" s="4">
        <f t="shared" si="28"/>
        <v>1984.175628</v>
      </c>
    </row>
    <row r="783" spans="1:12" x14ac:dyDescent="0.3">
      <c r="A783" s="1">
        <v>1781</v>
      </c>
      <c r="B783" s="2">
        <v>44278</v>
      </c>
      <c r="C783" s="1" t="s">
        <v>14</v>
      </c>
      <c r="D783" s="1" t="s">
        <v>33</v>
      </c>
      <c r="E783" s="1" t="s">
        <v>16</v>
      </c>
      <c r="F783" s="1">
        <v>3877.12</v>
      </c>
      <c r="G783" s="1" t="s">
        <v>185</v>
      </c>
      <c r="H783" s="2">
        <v>36384</v>
      </c>
      <c r="I783" s="2">
        <v>44282</v>
      </c>
      <c r="J783" s="1">
        <v>2.7</v>
      </c>
      <c r="K783" s="4">
        <f t="shared" si="27"/>
        <v>104.68224000000001</v>
      </c>
      <c r="L783" s="4">
        <f t="shared" si="28"/>
        <v>3772.4377599999998</v>
      </c>
    </row>
    <row r="784" spans="1:12" x14ac:dyDescent="0.3">
      <c r="A784" s="1">
        <v>1782</v>
      </c>
      <c r="B784" s="2">
        <v>44700</v>
      </c>
      <c r="C784" s="1" t="s">
        <v>35</v>
      </c>
      <c r="D784" s="1" t="s">
        <v>36</v>
      </c>
      <c r="E784" s="1" t="s">
        <v>28</v>
      </c>
      <c r="F784" s="1">
        <v>1889.33</v>
      </c>
      <c r="G784" s="1" t="s">
        <v>86</v>
      </c>
      <c r="H784" s="2">
        <v>37858</v>
      </c>
      <c r="I784" s="2">
        <v>44707</v>
      </c>
      <c r="J784" s="1">
        <v>49.28</v>
      </c>
      <c r="K784" s="4">
        <f t="shared" si="27"/>
        <v>931.061824</v>
      </c>
      <c r="L784" s="4">
        <f t="shared" si="28"/>
        <v>958.26817599999993</v>
      </c>
    </row>
    <row r="785" spans="1:12" x14ac:dyDescent="0.3">
      <c r="A785" s="1">
        <v>1783</v>
      </c>
      <c r="B785" s="2">
        <v>44504</v>
      </c>
      <c r="C785" s="1" t="s">
        <v>21</v>
      </c>
      <c r="D785" s="1" t="s">
        <v>33</v>
      </c>
      <c r="E785" s="1" t="s">
        <v>16</v>
      </c>
      <c r="F785" s="1">
        <v>2085.2600000000002</v>
      </c>
      <c r="G785" s="1" t="s">
        <v>114</v>
      </c>
      <c r="H785" s="2">
        <v>28543</v>
      </c>
      <c r="I785" s="2">
        <v>44508</v>
      </c>
      <c r="J785" s="1">
        <v>30.59</v>
      </c>
      <c r="K785" s="4">
        <f t="shared" si="27"/>
        <v>637.88103400000011</v>
      </c>
      <c r="L785" s="4">
        <f t="shared" si="28"/>
        <v>1447.3789660000002</v>
      </c>
    </row>
    <row r="786" spans="1:12" x14ac:dyDescent="0.3">
      <c r="A786" s="1">
        <v>1784</v>
      </c>
      <c r="B786" s="2">
        <v>45793</v>
      </c>
      <c r="C786" s="1" t="s">
        <v>14</v>
      </c>
      <c r="D786" s="1" t="s">
        <v>33</v>
      </c>
      <c r="E786" s="1" t="s">
        <v>16</v>
      </c>
      <c r="F786" s="1">
        <v>2041.7</v>
      </c>
      <c r="G786" s="1" t="s">
        <v>221</v>
      </c>
      <c r="H786" s="2">
        <v>35658</v>
      </c>
      <c r="I786" s="2">
        <v>45802</v>
      </c>
      <c r="J786" s="1">
        <v>47.56</v>
      </c>
      <c r="K786" s="4">
        <f t="shared" si="27"/>
        <v>971.03252000000009</v>
      </c>
      <c r="L786" s="4">
        <f t="shared" si="28"/>
        <v>1070.6674800000001</v>
      </c>
    </row>
    <row r="787" spans="1:12" x14ac:dyDescent="0.3">
      <c r="A787" s="1">
        <v>1785</v>
      </c>
      <c r="B787" s="2">
        <v>44064</v>
      </c>
      <c r="C787" s="1" t="s">
        <v>21</v>
      </c>
      <c r="D787" s="1" t="s">
        <v>36</v>
      </c>
      <c r="E787" s="1" t="s">
        <v>28</v>
      </c>
      <c r="F787" s="1">
        <v>2279.2800000000002</v>
      </c>
      <c r="G787" s="1" t="s">
        <v>13</v>
      </c>
      <c r="H787" s="2">
        <v>24348</v>
      </c>
      <c r="I787" s="2">
        <v>44075</v>
      </c>
      <c r="J787" s="1">
        <v>41.99</v>
      </c>
      <c r="K787" s="4">
        <f t="shared" si="27"/>
        <v>957.06967200000008</v>
      </c>
      <c r="L787" s="4">
        <f t="shared" si="28"/>
        <v>1322.2103280000001</v>
      </c>
    </row>
    <row r="788" spans="1:12" x14ac:dyDescent="0.3">
      <c r="A788" s="1">
        <v>1786</v>
      </c>
      <c r="B788" s="2">
        <v>44748</v>
      </c>
      <c r="C788" s="1" t="s">
        <v>26</v>
      </c>
      <c r="D788" s="1" t="s">
        <v>40</v>
      </c>
      <c r="E788" s="1" t="s">
        <v>16</v>
      </c>
      <c r="F788" s="1">
        <v>3051.55</v>
      </c>
      <c r="G788" s="1" t="s">
        <v>313</v>
      </c>
      <c r="H788" s="2">
        <v>23039</v>
      </c>
      <c r="I788" s="2">
        <v>44761</v>
      </c>
      <c r="J788" s="1">
        <v>47.53</v>
      </c>
      <c r="K788" s="4">
        <f t="shared" si="27"/>
        <v>1450.4017150000002</v>
      </c>
      <c r="L788" s="4">
        <f t="shared" si="28"/>
        <v>1601.148285</v>
      </c>
    </row>
    <row r="789" spans="1:12" x14ac:dyDescent="0.3">
      <c r="A789" s="1">
        <v>1787</v>
      </c>
      <c r="B789" s="2">
        <v>44505</v>
      </c>
      <c r="C789" s="1" t="s">
        <v>14</v>
      </c>
      <c r="D789" s="1" t="s">
        <v>11</v>
      </c>
      <c r="E789" s="1" t="s">
        <v>12</v>
      </c>
      <c r="F789" s="1">
        <v>1103.06</v>
      </c>
      <c r="G789" s="1" t="s">
        <v>68</v>
      </c>
      <c r="H789" s="2">
        <v>22079</v>
      </c>
      <c r="I789" s="2">
        <v>44516</v>
      </c>
      <c r="J789" s="1">
        <v>22.74</v>
      </c>
      <c r="K789" s="4">
        <f t="shared" si="27"/>
        <v>250.83584399999998</v>
      </c>
      <c r="L789" s="4">
        <f t="shared" si="28"/>
        <v>852.22415599999999</v>
      </c>
    </row>
    <row r="790" spans="1:12" x14ac:dyDescent="0.3">
      <c r="A790" s="1">
        <v>1788</v>
      </c>
      <c r="B790" s="2">
        <v>44890</v>
      </c>
      <c r="C790" s="1" t="s">
        <v>10</v>
      </c>
      <c r="D790" s="1" t="s">
        <v>36</v>
      </c>
      <c r="E790" s="1" t="s">
        <v>28</v>
      </c>
      <c r="F790" s="1">
        <v>3882.31</v>
      </c>
      <c r="G790" s="1" t="s">
        <v>149</v>
      </c>
      <c r="H790" s="2">
        <v>26155</v>
      </c>
      <c r="I790" s="2">
        <v>44891</v>
      </c>
      <c r="J790" s="1">
        <v>17.09</v>
      </c>
      <c r="K790" s="4">
        <f t="shared" si="27"/>
        <v>663.48677899999996</v>
      </c>
      <c r="L790" s="4">
        <f t="shared" si="28"/>
        <v>3218.8232210000001</v>
      </c>
    </row>
    <row r="791" spans="1:12" x14ac:dyDescent="0.3">
      <c r="A791" s="1">
        <v>1789</v>
      </c>
      <c r="B791" s="2">
        <v>44335</v>
      </c>
      <c r="C791" s="1" t="s">
        <v>35</v>
      </c>
      <c r="D791" s="1" t="s">
        <v>36</v>
      </c>
      <c r="E791" s="1" t="s">
        <v>28</v>
      </c>
      <c r="F791" s="1">
        <v>3352.72</v>
      </c>
      <c r="G791" s="1" t="s">
        <v>320</v>
      </c>
      <c r="H791" s="2">
        <v>26300</v>
      </c>
      <c r="I791" s="2">
        <v>44340</v>
      </c>
      <c r="J791" s="1">
        <v>45.35</v>
      </c>
      <c r="K791" s="4">
        <f t="shared" si="27"/>
        <v>1520.4585199999999</v>
      </c>
      <c r="L791" s="4">
        <f t="shared" si="28"/>
        <v>1832.2614799999999</v>
      </c>
    </row>
    <row r="792" spans="1:12" x14ac:dyDescent="0.3">
      <c r="A792" s="1">
        <v>1790</v>
      </c>
      <c r="B792" s="2">
        <v>44244</v>
      </c>
      <c r="C792" s="1" t="s">
        <v>21</v>
      </c>
      <c r="D792" s="1" t="s">
        <v>33</v>
      </c>
      <c r="E792" s="1" t="s">
        <v>16</v>
      </c>
      <c r="F792" s="1">
        <v>4373.0600000000004</v>
      </c>
      <c r="G792" s="1" t="s">
        <v>151</v>
      </c>
      <c r="H792" s="2">
        <v>34427</v>
      </c>
      <c r="I792" s="2">
        <v>44251</v>
      </c>
      <c r="J792" s="1">
        <v>23.79</v>
      </c>
      <c r="K792" s="4">
        <f t="shared" si="27"/>
        <v>1040.3509740000002</v>
      </c>
      <c r="L792" s="4">
        <f t="shared" si="28"/>
        <v>3332.7090260000004</v>
      </c>
    </row>
    <row r="793" spans="1:12" x14ac:dyDescent="0.3">
      <c r="A793" s="1">
        <v>1791</v>
      </c>
      <c r="B793" s="2">
        <v>45323</v>
      </c>
      <c r="C793" s="1" t="s">
        <v>14</v>
      </c>
      <c r="D793" s="1" t="s">
        <v>40</v>
      </c>
      <c r="E793" s="1" t="s">
        <v>16</v>
      </c>
      <c r="F793" s="1">
        <v>193.34</v>
      </c>
      <c r="G793" s="1" t="s">
        <v>233</v>
      </c>
      <c r="H793" s="2">
        <v>38826</v>
      </c>
      <c r="I793" s="2">
        <v>45326</v>
      </c>
      <c r="J793" s="1">
        <v>25.31</v>
      </c>
      <c r="K793" s="4">
        <f t="shared" si="27"/>
        <v>48.934353999999999</v>
      </c>
      <c r="L793" s="4">
        <f t="shared" si="28"/>
        <v>144.40564599999999</v>
      </c>
    </row>
    <row r="794" spans="1:12" x14ac:dyDescent="0.3">
      <c r="A794" s="1">
        <v>1792</v>
      </c>
      <c r="B794" s="2">
        <v>44751</v>
      </c>
      <c r="C794" s="1" t="s">
        <v>10</v>
      </c>
      <c r="D794" s="1" t="s">
        <v>71</v>
      </c>
      <c r="E794" s="1" t="s">
        <v>31</v>
      </c>
      <c r="F794" s="1">
        <v>557.03</v>
      </c>
      <c r="G794" s="1" t="s">
        <v>193</v>
      </c>
      <c r="H794" s="2">
        <v>26082</v>
      </c>
      <c r="I794" s="2">
        <v>44752</v>
      </c>
      <c r="J794" s="1">
        <v>22.2</v>
      </c>
      <c r="K794" s="4">
        <f t="shared" si="27"/>
        <v>123.66065999999999</v>
      </c>
      <c r="L794" s="4">
        <f t="shared" si="28"/>
        <v>433.36933999999997</v>
      </c>
    </row>
    <row r="795" spans="1:12" x14ac:dyDescent="0.3">
      <c r="A795" s="1">
        <v>1793</v>
      </c>
      <c r="B795" s="2">
        <v>45466</v>
      </c>
      <c r="C795" s="1" t="s">
        <v>21</v>
      </c>
      <c r="D795" s="1" t="s">
        <v>69</v>
      </c>
      <c r="E795" s="1" t="s">
        <v>12</v>
      </c>
      <c r="F795" s="1">
        <v>682.1</v>
      </c>
      <c r="G795" s="1" t="s">
        <v>210</v>
      </c>
      <c r="H795" s="2">
        <v>27550</v>
      </c>
      <c r="I795" s="2">
        <v>45474</v>
      </c>
      <c r="J795" s="1">
        <v>33.54</v>
      </c>
      <c r="K795" s="4">
        <f t="shared" si="27"/>
        <v>228.77634</v>
      </c>
      <c r="L795" s="4">
        <f t="shared" si="28"/>
        <v>453.32366000000002</v>
      </c>
    </row>
    <row r="796" spans="1:12" x14ac:dyDescent="0.3">
      <c r="A796" s="1">
        <v>1794</v>
      </c>
      <c r="B796" s="2">
        <v>45176</v>
      </c>
      <c r="C796" s="1" t="s">
        <v>26</v>
      </c>
      <c r="D796" s="1" t="s">
        <v>71</v>
      </c>
      <c r="E796" s="1" t="s">
        <v>31</v>
      </c>
      <c r="F796" s="1">
        <v>4084.74</v>
      </c>
      <c r="G796" s="1" t="s">
        <v>304</v>
      </c>
      <c r="H796" s="2">
        <v>36246</v>
      </c>
      <c r="I796" s="2">
        <v>45177</v>
      </c>
      <c r="J796" s="1">
        <v>8.34</v>
      </c>
      <c r="K796" s="4">
        <f t="shared" si="27"/>
        <v>340.66731599999997</v>
      </c>
      <c r="L796" s="4">
        <f t="shared" si="28"/>
        <v>3744.0726839999998</v>
      </c>
    </row>
    <row r="797" spans="1:12" x14ac:dyDescent="0.3">
      <c r="A797" s="1">
        <v>1795</v>
      </c>
      <c r="B797" s="2">
        <v>44504</v>
      </c>
      <c r="C797" s="1" t="s">
        <v>35</v>
      </c>
      <c r="D797" s="1" t="s">
        <v>18</v>
      </c>
      <c r="E797" s="1" t="s">
        <v>19</v>
      </c>
      <c r="F797" s="1">
        <v>3311.08</v>
      </c>
      <c r="G797" s="1" t="s">
        <v>94</v>
      </c>
      <c r="H797" s="2">
        <v>25516</v>
      </c>
      <c r="I797" s="2">
        <v>44513</v>
      </c>
      <c r="J797" s="1">
        <v>36.19</v>
      </c>
      <c r="K797" s="4">
        <f t="shared" si="27"/>
        <v>1198.2798519999999</v>
      </c>
      <c r="L797" s="4">
        <f t="shared" si="28"/>
        <v>2112.8001480000003</v>
      </c>
    </row>
    <row r="798" spans="1:12" x14ac:dyDescent="0.3">
      <c r="A798" s="1">
        <v>1796</v>
      </c>
      <c r="B798" s="2">
        <v>44792</v>
      </c>
      <c r="C798" s="1" t="s">
        <v>21</v>
      </c>
      <c r="D798" s="1" t="s">
        <v>40</v>
      </c>
      <c r="E798" s="1" t="s">
        <v>16</v>
      </c>
      <c r="F798" s="1">
        <v>1488.13</v>
      </c>
      <c r="G798" s="1" t="s">
        <v>321</v>
      </c>
      <c r="H798" s="2">
        <v>22467</v>
      </c>
      <c r="I798" s="2">
        <v>44804</v>
      </c>
      <c r="J798" s="1">
        <v>16.190000000000001</v>
      </c>
      <c r="K798" s="4">
        <f t="shared" si="27"/>
        <v>240.92824700000006</v>
      </c>
      <c r="L798" s="4">
        <f t="shared" si="28"/>
        <v>1247.2017530000001</v>
      </c>
    </row>
    <row r="799" spans="1:12" x14ac:dyDescent="0.3">
      <c r="A799" s="1">
        <v>1797</v>
      </c>
      <c r="B799" s="2">
        <v>45085</v>
      </c>
      <c r="C799" s="1" t="s">
        <v>14</v>
      </c>
      <c r="D799" s="1" t="s">
        <v>88</v>
      </c>
      <c r="E799" s="1" t="s">
        <v>16</v>
      </c>
      <c r="F799" s="1">
        <v>1292.26</v>
      </c>
      <c r="G799" s="1" t="s">
        <v>298</v>
      </c>
      <c r="H799" s="2">
        <v>30410</v>
      </c>
      <c r="I799" s="2">
        <v>45086</v>
      </c>
      <c r="J799" s="1">
        <v>39.590000000000003</v>
      </c>
      <c r="K799" s="4">
        <f t="shared" si="27"/>
        <v>511.60573400000004</v>
      </c>
      <c r="L799" s="4">
        <f t="shared" si="28"/>
        <v>780.65426600000001</v>
      </c>
    </row>
    <row r="800" spans="1:12" x14ac:dyDescent="0.3">
      <c r="A800" s="1">
        <v>1798</v>
      </c>
      <c r="B800" s="2">
        <v>44283</v>
      </c>
      <c r="C800" s="1" t="s">
        <v>14</v>
      </c>
      <c r="D800" s="1" t="s">
        <v>53</v>
      </c>
      <c r="E800" s="1" t="s">
        <v>28</v>
      </c>
      <c r="F800" s="1">
        <v>460.63</v>
      </c>
      <c r="G800" s="1" t="s">
        <v>308</v>
      </c>
      <c r="H800" s="2">
        <v>35336</v>
      </c>
      <c r="I800" s="2">
        <v>44285</v>
      </c>
      <c r="J800" s="1">
        <v>23.3</v>
      </c>
      <c r="K800" s="4">
        <f t="shared" si="27"/>
        <v>107.32679</v>
      </c>
      <c r="L800" s="4">
        <f t="shared" si="28"/>
        <v>353.30320999999998</v>
      </c>
    </row>
    <row r="801" spans="1:12" x14ac:dyDescent="0.3">
      <c r="A801" s="1">
        <v>1799</v>
      </c>
      <c r="B801" s="2">
        <v>44246</v>
      </c>
      <c r="C801" s="1" t="s">
        <v>21</v>
      </c>
      <c r="D801" s="1" t="s">
        <v>36</v>
      </c>
      <c r="E801" s="1" t="s">
        <v>28</v>
      </c>
      <c r="F801" s="1">
        <v>3103.07</v>
      </c>
      <c r="G801" s="1" t="s">
        <v>121</v>
      </c>
      <c r="H801" s="2">
        <v>24580</v>
      </c>
      <c r="I801" s="2">
        <v>44260</v>
      </c>
      <c r="J801" s="1">
        <v>7.78</v>
      </c>
      <c r="K801" s="4">
        <f t="shared" si="27"/>
        <v>241.41884600000003</v>
      </c>
      <c r="L801" s="4">
        <f t="shared" si="28"/>
        <v>2861.6511540000001</v>
      </c>
    </row>
    <row r="802" spans="1:12" x14ac:dyDescent="0.3">
      <c r="A802" s="1">
        <v>1800</v>
      </c>
      <c r="B802" s="2">
        <v>44679</v>
      </c>
      <c r="C802" s="1" t="s">
        <v>35</v>
      </c>
      <c r="D802" s="1" t="s">
        <v>27</v>
      </c>
      <c r="E802" s="1" t="s">
        <v>28</v>
      </c>
      <c r="F802" s="1">
        <v>2611.02</v>
      </c>
      <c r="G802" s="1" t="s">
        <v>263</v>
      </c>
      <c r="H802" s="2">
        <v>35629</v>
      </c>
      <c r="I802" s="2">
        <v>44693</v>
      </c>
      <c r="J802" s="1">
        <v>25.45</v>
      </c>
      <c r="K802" s="4">
        <f t="shared" si="27"/>
        <v>664.50459000000001</v>
      </c>
      <c r="L802" s="4">
        <f t="shared" si="28"/>
        <v>1946.51541</v>
      </c>
    </row>
    <row r="803" spans="1:12" x14ac:dyDescent="0.3">
      <c r="A803" s="1">
        <v>1801</v>
      </c>
      <c r="B803" s="2">
        <v>45314</v>
      </c>
      <c r="C803" s="1" t="s">
        <v>10</v>
      </c>
      <c r="D803" s="1" t="s">
        <v>53</v>
      </c>
      <c r="E803" s="1" t="s">
        <v>28</v>
      </c>
      <c r="F803" s="1">
        <v>3379.46</v>
      </c>
      <c r="G803" s="1" t="s">
        <v>322</v>
      </c>
      <c r="H803" s="2">
        <v>36924</v>
      </c>
      <c r="I803" s="2">
        <v>45325</v>
      </c>
      <c r="J803" s="1">
        <v>7.14</v>
      </c>
      <c r="K803" s="4">
        <f t="shared" si="27"/>
        <v>241.29344399999997</v>
      </c>
      <c r="L803" s="4">
        <f t="shared" si="28"/>
        <v>3138.1665560000001</v>
      </c>
    </row>
    <row r="804" spans="1:12" x14ac:dyDescent="0.3">
      <c r="A804" s="1">
        <v>1802</v>
      </c>
      <c r="B804" s="2">
        <v>44594</v>
      </c>
      <c r="C804" s="1" t="s">
        <v>14</v>
      </c>
      <c r="D804" s="1" t="s">
        <v>18</v>
      </c>
      <c r="E804" s="1" t="s">
        <v>19</v>
      </c>
      <c r="F804" s="1">
        <v>4233.68</v>
      </c>
      <c r="G804" s="1" t="s">
        <v>288</v>
      </c>
      <c r="H804" s="2">
        <v>29810</v>
      </c>
      <c r="I804" s="2">
        <v>44595</v>
      </c>
      <c r="J804" s="1">
        <v>28.97</v>
      </c>
      <c r="K804" s="4">
        <f t="shared" si="27"/>
        <v>1226.4970960000001</v>
      </c>
      <c r="L804" s="4">
        <f t="shared" si="28"/>
        <v>3007.1829040000002</v>
      </c>
    </row>
    <row r="805" spans="1:12" x14ac:dyDescent="0.3">
      <c r="A805" s="1">
        <v>1803</v>
      </c>
      <c r="B805" s="2">
        <v>44989</v>
      </c>
      <c r="C805" s="1" t="s">
        <v>21</v>
      </c>
      <c r="D805" s="1" t="s">
        <v>24</v>
      </c>
      <c r="E805" s="1" t="s">
        <v>19</v>
      </c>
      <c r="F805" s="1">
        <v>3698.7</v>
      </c>
      <c r="G805" s="1" t="s">
        <v>183</v>
      </c>
      <c r="H805" s="2">
        <v>32359</v>
      </c>
      <c r="I805" s="2">
        <v>44994</v>
      </c>
      <c r="J805" s="1">
        <v>23.36</v>
      </c>
      <c r="K805" s="4">
        <f t="shared" si="27"/>
        <v>864.01631999999995</v>
      </c>
      <c r="L805" s="4">
        <f t="shared" si="28"/>
        <v>2834.6836800000001</v>
      </c>
    </row>
    <row r="806" spans="1:12" x14ac:dyDescent="0.3">
      <c r="A806" s="1">
        <v>1804</v>
      </c>
      <c r="B806" s="2">
        <v>44236</v>
      </c>
      <c r="C806" s="1" t="s">
        <v>14</v>
      </c>
      <c r="D806" s="1" t="s">
        <v>69</v>
      </c>
      <c r="E806" s="1" t="s">
        <v>12</v>
      </c>
      <c r="F806" s="1">
        <v>4909.8900000000003</v>
      </c>
      <c r="G806" s="1" t="s">
        <v>169</v>
      </c>
      <c r="H806" s="2">
        <v>37894</v>
      </c>
      <c r="I806" s="2">
        <v>44239</v>
      </c>
      <c r="J806" s="1">
        <v>28.79</v>
      </c>
      <c r="K806" s="4">
        <f t="shared" si="27"/>
        <v>1413.557331</v>
      </c>
      <c r="L806" s="4">
        <f t="shared" si="28"/>
        <v>3496.3326690000004</v>
      </c>
    </row>
    <row r="807" spans="1:12" x14ac:dyDescent="0.3">
      <c r="A807" s="1">
        <v>1805</v>
      </c>
      <c r="B807" s="2">
        <v>45758</v>
      </c>
      <c r="C807" s="1" t="s">
        <v>21</v>
      </c>
      <c r="D807" s="1" t="s">
        <v>30</v>
      </c>
      <c r="E807" s="1" t="s">
        <v>31</v>
      </c>
      <c r="F807" s="1">
        <v>1486.41</v>
      </c>
      <c r="G807" s="1" t="s">
        <v>113</v>
      </c>
      <c r="H807" s="2">
        <v>25579</v>
      </c>
      <c r="I807" s="2">
        <v>45765</v>
      </c>
      <c r="J807" s="1">
        <v>20.07</v>
      </c>
      <c r="K807" s="4">
        <f t="shared" si="27"/>
        <v>298.32248700000002</v>
      </c>
      <c r="L807" s="4">
        <f t="shared" si="28"/>
        <v>1188.0875129999999</v>
      </c>
    </row>
    <row r="808" spans="1:12" x14ac:dyDescent="0.3">
      <c r="A808" s="1">
        <v>1806</v>
      </c>
      <c r="B808" s="2">
        <v>45010</v>
      </c>
      <c r="C808" s="1" t="s">
        <v>21</v>
      </c>
      <c r="D808" s="1" t="s">
        <v>40</v>
      </c>
      <c r="E808" s="1" t="s">
        <v>16</v>
      </c>
      <c r="F808" s="1">
        <v>3827.4</v>
      </c>
      <c r="G808" s="1" t="s">
        <v>260</v>
      </c>
      <c r="H808" s="2">
        <v>38628</v>
      </c>
      <c r="I808" s="2">
        <v>45012</v>
      </c>
      <c r="J808" s="1">
        <v>40.19</v>
      </c>
      <c r="K808" s="4">
        <f t="shared" si="27"/>
        <v>1538.23206</v>
      </c>
      <c r="L808" s="4">
        <f t="shared" si="28"/>
        <v>2289.1679400000003</v>
      </c>
    </row>
    <row r="809" spans="1:12" x14ac:dyDescent="0.3">
      <c r="A809" s="1">
        <v>1807</v>
      </c>
      <c r="B809" s="2">
        <v>45319</v>
      </c>
      <c r="C809" s="1" t="s">
        <v>10</v>
      </c>
      <c r="D809" s="1" t="s">
        <v>88</v>
      </c>
      <c r="E809" s="1" t="s">
        <v>16</v>
      </c>
      <c r="F809" s="1">
        <v>129.44999999999999</v>
      </c>
      <c r="G809" s="1" t="s">
        <v>70</v>
      </c>
      <c r="H809" s="2">
        <v>30887</v>
      </c>
      <c r="I809" s="2">
        <v>45323</v>
      </c>
      <c r="J809" s="1">
        <v>11.55</v>
      </c>
      <c r="K809" s="4">
        <f t="shared" si="27"/>
        <v>14.951474999999999</v>
      </c>
      <c r="L809" s="4">
        <f t="shared" si="28"/>
        <v>114.49852499999999</v>
      </c>
    </row>
    <row r="810" spans="1:12" x14ac:dyDescent="0.3">
      <c r="A810" s="1">
        <v>1808</v>
      </c>
      <c r="B810" s="2">
        <v>44173</v>
      </c>
      <c r="C810" s="1" t="s">
        <v>14</v>
      </c>
      <c r="D810" s="1" t="s">
        <v>69</v>
      </c>
      <c r="E810" s="1" t="s">
        <v>12</v>
      </c>
      <c r="F810" s="1">
        <v>1619.92</v>
      </c>
      <c r="G810" s="1" t="s">
        <v>119</v>
      </c>
      <c r="H810" s="2">
        <v>34954</v>
      </c>
      <c r="I810" s="2">
        <v>44176</v>
      </c>
      <c r="J810" s="1">
        <v>43.03</v>
      </c>
      <c r="K810" s="4">
        <f t="shared" si="27"/>
        <v>697.05157600000007</v>
      </c>
      <c r="L810" s="4">
        <f t="shared" si="28"/>
        <v>922.868424</v>
      </c>
    </row>
    <row r="811" spans="1:12" x14ac:dyDescent="0.3">
      <c r="A811" s="1">
        <v>1809</v>
      </c>
      <c r="B811" s="2">
        <v>44697</v>
      </c>
      <c r="C811" s="1" t="s">
        <v>14</v>
      </c>
      <c r="D811" s="1" t="s">
        <v>38</v>
      </c>
      <c r="E811" s="1" t="s">
        <v>28</v>
      </c>
      <c r="F811" s="1">
        <v>3749.82</v>
      </c>
      <c r="G811" s="1" t="s">
        <v>132</v>
      </c>
      <c r="H811" s="2">
        <v>34364</v>
      </c>
      <c r="I811" s="2">
        <v>44706</v>
      </c>
      <c r="J811" s="1">
        <v>11.58</v>
      </c>
      <c r="K811" s="4">
        <f t="shared" si="27"/>
        <v>434.22915600000005</v>
      </c>
      <c r="L811" s="4">
        <f t="shared" si="28"/>
        <v>3315.5908440000003</v>
      </c>
    </row>
    <row r="812" spans="1:12" x14ac:dyDescent="0.3">
      <c r="A812" s="1">
        <v>1810</v>
      </c>
      <c r="B812" s="2">
        <v>45867</v>
      </c>
      <c r="C812" s="1" t="s">
        <v>21</v>
      </c>
      <c r="D812" s="1" t="s">
        <v>33</v>
      </c>
      <c r="E812" s="1" t="s">
        <v>16</v>
      </c>
      <c r="F812" s="1">
        <v>3858.01</v>
      </c>
      <c r="G812" s="1" t="s">
        <v>181</v>
      </c>
      <c r="H812" s="2">
        <v>25222</v>
      </c>
      <c r="I812" s="2">
        <v>45876</v>
      </c>
      <c r="J812" s="1">
        <v>24.94</v>
      </c>
      <c r="K812" s="4">
        <f t="shared" si="27"/>
        <v>962.18769400000008</v>
      </c>
      <c r="L812" s="4">
        <f t="shared" si="28"/>
        <v>2895.822306</v>
      </c>
    </row>
    <row r="813" spans="1:12" x14ac:dyDescent="0.3">
      <c r="A813" s="1">
        <v>1811</v>
      </c>
      <c r="B813" s="2">
        <v>44834</v>
      </c>
      <c r="C813" s="1" t="s">
        <v>21</v>
      </c>
      <c r="D813" s="1" t="s">
        <v>22</v>
      </c>
      <c r="E813" s="1" t="s">
        <v>19</v>
      </c>
      <c r="F813" s="1">
        <v>170.75</v>
      </c>
      <c r="G813" s="1" t="s">
        <v>105</v>
      </c>
      <c r="H813" s="2">
        <v>35889</v>
      </c>
      <c r="I813" s="2">
        <v>44841</v>
      </c>
      <c r="J813" s="1">
        <v>15.62</v>
      </c>
      <c r="K813" s="4">
        <f t="shared" si="27"/>
        <v>26.671150000000001</v>
      </c>
      <c r="L813" s="4">
        <f t="shared" si="28"/>
        <v>144.07884999999999</v>
      </c>
    </row>
    <row r="814" spans="1:12" x14ac:dyDescent="0.3">
      <c r="A814" s="1">
        <v>1812</v>
      </c>
      <c r="B814" s="2">
        <v>44424</v>
      </c>
      <c r="C814" s="1" t="s">
        <v>26</v>
      </c>
      <c r="D814" s="1" t="s">
        <v>69</v>
      </c>
      <c r="E814" s="1" t="s">
        <v>31</v>
      </c>
      <c r="F814" s="1">
        <v>2457.6999999999998</v>
      </c>
      <c r="G814" s="1" t="s">
        <v>210</v>
      </c>
      <c r="H814" s="2">
        <v>27550</v>
      </c>
      <c r="I814" s="2">
        <v>44425</v>
      </c>
      <c r="J814" s="1">
        <v>27.07</v>
      </c>
      <c r="K814" s="4">
        <f t="shared" si="27"/>
        <v>665.2993899999999</v>
      </c>
      <c r="L814" s="4">
        <f t="shared" si="28"/>
        <v>1792.4006099999999</v>
      </c>
    </row>
    <row r="815" spans="1:12" x14ac:dyDescent="0.3">
      <c r="A815" s="1">
        <v>1813</v>
      </c>
      <c r="B815" s="2">
        <v>45559</v>
      </c>
      <c r="C815" s="1" t="s">
        <v>14</v>
      </c>
      <c r="D815" s="1" t="s">
        <v>47</v>
      </c>
      <c r="E815" s="1" t="s">
        <v>12</v>
      </c>
      <c r="F815" s="1">
        <v>2847.95</v>
      </c>
      <c r="G815" s="1" t="s">
        <v>299</v>
      </c>
      <c r="H815" s="2">
        <v>25863</v>
      </c>
      <c r="I815" s="2">
        <v>45563</v>
      </c>
      <c r="J815" s="1">
        <v>10.87</v>
      </c>
      <c r="K815" s="4">
        <f t="shared" si="27"/>
        <v>309.57216499999993</v>
      </c>
      <c r="L815" s="4">
        <f t="shared" si="28"/>
        <v>2538.3778349999998</v>
      </c>
    </row>
    <row r="816" spans="1:12" x14ac:dyDescent="0.3">
      <c r="A816" s="1">
        <v>1814</v>
      </c>
      <c r="B816" s="2">
        <v>44257</v>
      </c>
      <c r="C816" s="1" t="s">
        <v>14</v>
      </c>
      <c r="D816" s="1" t="s">
        <v>69</v>
      </c>
      <c r="E816" s="1" t="s">
        <v>31</v>
      </c>
      <c r="F816" s="1">
        <v>4804.79</v>
      </c>
      <c r="G816" s="1" t="s">
        <v>111</v>
      </c>
      <c r="H816" s="2">
        <v>34704</v>
      </c>
      <c r="I816" s="2">
        <v>44264</v>
      </c>
      <c r="J816" s="1">
        <v>2.2000000000000002</v>
      </c>
      <c r="K816" s="4">
        <f t="shared" si="27"/>
        <v>105.70538000000001</v>
      </c>
      <c r="L816" s="4">
        <f t="shared" si="28"/>
        <v>4699.0846199999996</v>
      </c>
    </row>
    <row r="817" spans="1:12" x14ac:dyDescent="0.3">
      <c r="A817" s="1">
        <v>1815</v>
      </c>
      <c r="B817" s="2">
        <v>44162</v>
      </c>
      <c r="C817" s="1" t="s">
        <v>35</v>
      </c>
      <c r="D817" s="1" t="s">
        <v>69</v>
      </c>
      <c r="E817" s="1" t="s">
        <v>31</v>
      </c>
      <c r="F817" s="1">
        <v>864.39</v>
      </c>
      <c r="G817" s="1" t="s">
        <v>256</v>
      </c>
      <c r="H817" s="2">
        <v>34537</v>
      </c>
      <c r="I817" s="2">
        <v>44176</v>
      </c>
      <c r="J817" s="1">
        <v>5.48</v>
      </c>
      <c r="K817" s="4">
        <f t="shared" si="27"/>
        <v>47.368572</v>
      </c>
      <c r="L817" s="4">
        <f t="shared" si="28"/>
        <v>817.02142800000001</v>
      </c>
    </row>
    <row r="818" spans="1:12" x14ac:dyDescent="0.3">
      <c r="A818" s="1">
        <v>1816</v>
      </c>
      <c r="B818" s="2">
        <v>45004</v>
      </c>
      <c r="C818" s="1" t="s">
        <v>14</v>
      </c>
      <c r="D818" s="1" t="s">
        <v>69</v>
      </c>
      <c r="E818" s="1" t="s">
        <v>12</v>
      </c>
      <c r="F818" s="1">
        <v>2142.34</v>
      </c>
      <c r="G818" s="1" t="s">
        <v>193</v>
      </c>
      <c r="H818" s="2">
        <v>26082</v>
      </c>
      <c r="I818" s="2">
        <v>45015</v>
      </c>
      <c r="J818" s="1">
        <v>31.97</v>
      </c>
      <c r="K818" s="4">
        <f t="shared" si="27"/>
        <v>684.90609800000004</v>
      </c>
      <c r="L818" s="4">
        <f t="shared" si="28"/>
        <v>1457.4339020000002</v>
      </c>
    </row>
    <row r="819" spans="1:12" x14ac:dyDescent="0.3">
      <c r="A819" s="1">
        <v>1817</v>
      </c>
      <c r="B819" s="2">
        <v>44803</v>
      </c>
      <c r="C819" s="1" t="s">
        <v>35</v>
      </c>
      <c r="D819" s="1" t="s">
        <v>69</v>
      </c>
      <c r="E819" s="1" t="s">
        <v>31</v>
      </c>
      <c r="F819" s="1">
        <v>1944.47</v>
      </c>
      <c r="G819" s="1" t="s">
        <v>323</v>
      </c>
      <c r="H819" s="2">
        <v>33840</v>
      </c>
      <c r="I819" s="2">
        <v>44814</v>
      </c>
      <c r="J819" s="1">
        <v>41.62</v>
      </c>
      <c r="K819" s="4">
        <f t="shared" si="27"/>
        <v>809.28841399999988</v>
      </c>
      <c r="L819" s="4">
        <f t="shared" si="28"/>
        <v>1135.1815860000002</v>
      </c>
    </row>
    <row r="820" spans="1:12" x14ac:dyDescent="0.3">
      <c r="A820" s="1">
        <v>1818</v>
      </c>
      <c r="B820" s="2">
        <v>44499</v>
      </c>
      <c r="C820" s="1" t="s">
        <v>14</v>
      </c>
      <c r="D820" s="1" t="s">
        <v>65</v>
      </c>
      <c r="E820" s="1" t="s">
        <v>19</v>
      </c>
      <c r="F820" s="1">
        <v>791.35</v>
      </c>
      <c r="G820" s="1" t="s">
        <v>128</v>
      </c>
      <c r="H820" s="2">
        <v>37961</v>
      </c>
      <c r="I820" s="2">
        <v>44506</v>
      </c>
      <c r="J820" s="1">
        <v>40.1</v>
      </c>
      <c r="K820" s="4">
        <f t="shared" si="27"/>
        <v>317.33135000000004</v>
      </c>
      <c r="L820" s="4">
        <f t="shared" si="28"/>
        <v>474.01864999999998</v>
      </c>
    </row>
    <row r="821" spans="1:12" x14ac:dyDescent="0.3">
      <c r="A821" s="1">
        <v>1819</v>
      </c>
      <c r="B821" s="2">
        <v>44970</v>
      </c>
      <c r="C821" s="1" t="s">
        <v>35</v>
      </c>
      <c r="D821" s="1" t="s">
        <v>24</v>
      </c>
      <c r="E821" s="1" t="s">
        <v>19</v>
      </c>
      <c r="F821" s="1">
        <v>2156.0700000000002</v>
      </c>
      <c r="G821" s="1" t="s">
        <v>301</v>
      </c>
      <c r="H821" s="2">
        <v>31775</v>
      </c>
      <c r="I821" s="2">
        <v>44983</v>
      </c>
      <c r="J821" s="1">
        <v>27.96</v>
      </c>
      <c r="K821" s="4">
        <f t="shared" si="27"/>
        <v>602.83717200000012</v>
      </c>
      <c r="L821" s="4">
        <f t="shared" si="28"/>
        <v>1553.2328280000002</v>
      </c>
    </row>
    <row r="822" spans="1:12" x14ac:dyDescent="0.3">
      <c r="A822" s="1">
        <v>1820</v>
      </c>
      <c r="B822" s="2">
        <v>44680</v>
      </c>
      <c r="C822" s="1" t="s">
        <v>10</v>
      </c>
      <c r="D822" s="1" t="s">
        <v>24</v>
      </c>
      <c r="E822" s="1" t="s">
        <v>19</v>
      </c>
      <c r="F822" s="1">
        <v>4278.82</v>
      </c>
      <c r="G822" s="1" t="s">
        <v>197</v>
      </c>
      <c r="H822" s="2">
        <v>26001</v>
      </c>
      <c r="I822" s="2">
        <v>44683</v>
      </c>
      <c r="J822" s="1">
        <v>14.22</v>
      </c>
      <c r="K822" s="4">
        <f t="shared" si="27"/>
        <v>608.44820399999992</v>
      </c>
      <c r="L822" s="4">
        <f t="shared" si="28"/>
        <v>3670.3717959999999</v>
      </c>
    </row>
    <row r="823" spans="1:12" x14ac:dyDescent="0.3">
      <c r="A823" s="1">
        <v>1821</v>
      </c>
      <c r="B823" s="2">
        <v>44864</v>
      </c>
      <c r="C823" s="1" t="s">
        <v>21</v>
      </c>
      <c r="D823" s="1" t="s">
        <v>58</v>
      </c>
      <c r="E823" s="1" t="s">
        <v>31</v>
      </c>
      <c r="F823" s="1">
        <v>984.14</v>
      </c>
      <c r="G823" s="1" t="s">
        <v>83</v>
      </c>
      <c r="H823" s="2">
        <v>24673</v>
      </c>
      <c r="I823" s="2">
        <v>44875</v>
      </c>
      <c r="J823" s="1">
        <v>42.34</v>
      </c>
      <c r="K823" s="4">
        <f t="shared" si="27"/>
        <v>416.68487600000003</v>
      </c>
      <c r="L823" s="4">
        <f t="shared" si="28"/>
        <v>567.45512399999996</v>
      </c>
    </row>
    <row r="824" spans="1:12" x14ac:dyDescent="0.3">
      <c r="A824" s="1">
        <v>1822</v>
      </c>
      <c r="B824" s="2">
        <v>44451</v>
      </c>
      <c r="C824" s="1" t="s">
        <v>21</v>
      </c>
      <c r="D824" s="1" t="s">
        <v>58</v>
      </c>
      <c r="E824" s="1" t="s">
        <v>31</v>
      </c>
      <c r="F824" s="1">
        <v>4405.46</v>
      </c>
      <c r="G824" s="1" t="s">
        <v>278</v>
      </c>
      <c r="H824" s="2">
        <v>36036</v>
      </c>
      <c r="I824" s="2">
        <v>44465</v>
      </c>
      <c r="J824" s="1">
        <v>7.38</v>
      </c>
      <c r="K824" s="4">
        <f t="shared" si="27"/>
        <v>325.12294800000001</v>
      </c>
      <c r="L824" s="4">
        <f t="shared" si="28"/>
        <v>4080.3370519999999</v>
      </c>
    </row>
    <row r="825" spans="1:12" x14ac:dyDescent="0.3">
      <c r="A825" s="1">
        <v>1823</v>
      </c>
      <c r="B825" s="2">
        <v>45363</v>
      </c>
      <c r="C825" s="1" t="s">
        <v>10</v>
      </c>
      <c r="D825" s="1" t="s">
        <v>11</v>
      </c>
      <c r="E825" s="1" t="s">
        <v>12</v>
      </c>
      <c r="F825" s="1">
        <v>559.32000000000005</v>
      </c>
      <c r="G825" s="1" t="s">
        <v>192</v>
      </c>
      <c r="H825" s="2">
        <v>33626</v>
      </c>
      <c r="I825" s="2">
        <v>45375</v>
      </c>
      <c r="J825" s="1">
        <v>2.1800000000000002</v>
      </c>
      <c r="K825" s="4">
        <f t="shared" si="27"/>
        <v>12.193176000000001</v>
      </c>
      <c r="L825" s="4">
        <f t="shared" si="28"/>
        <v>547.12682400000006</v>
      </c>
    </row>
    <row r="826" spans="1:12" x14ac:dyDescent="0.3">
      <c r="A826" s="1">
        <v>1824</v>
      </c>
      <c r="B826" s="2">
        <v>44296</v>
      </c>
      <c r="C826" s="1" t="s">
        <v>35</v>
      </c>
      <c r="D826" s="1" t="s">
        <v>69</v>
      </c>
      <c r="E826" s="1" t="s">
        <v>31</v>
      </c>
      <c r="F826" s="1">
        <v>613.32000000000005</v>
      </c>
      <c r="G826" s="1" t="s">
        <v>87</v>
      </c>
      <c r="H826" s="2">
        <v>36012</v>
      </c>
      <c r="I826" s="2">
        <v>44298</v>
      </c>
      <c r="J826" s="1">
        <v>15.05</v>
      </c>
      <c r="K826" s="4">
        <f t="shared" si="27"/>
        <v>92.304659999999998</v>
      </c>
      <c r="L826" s="4">
        <f t="shared" si="28"/>
        <v>521.01534000000004</v>
      </c>
    </row>
    <row r="827" spans="1:12" x14ac:dyDescent="0.3">
      <c r="A827" s="1">
        <v>1825</v>
      </c>
      <c r="B827" s="2">
        <v>44660</v>
      </c>
      <c r="C827" s="1" t="s">
        <v>10</v>
      </c>
      <c r="D827" s="1" t="s">
        <v>102</v>
      </c>
      <c r="E827" s="1" t="s">
        <v>12</v>
      </c>
      <c r="F827" s="1">
        <v>3209.4</v>
      </c>
      <c r="G827" s="1" t="s">
        <v>254</v>
      </c>
      <c r="H827" s="2">
        <v>29366</v>
      </c>
      <c r="I827" s="2">
        <v>44674</v>
      </c>
      <c r="J827" s="1">
        <v>14.74</v>
      </c>
      <c r="K827" s="4">
        <f t="shared" si="27"/>
        <v>473.06556</v>
      </c>
      <c r="L827" s="4">
        <f t="shared" si="28"/>
        <v>2736.3344400000001</v>
      </c>
    </row>
    <row r="828" spans="1:12" x14ac:dyDescent="0.3">
      <c r="A828" s="1">
        <v>1826</v>
      </c>
      <c r="B828" s="2">
        <v>45630</v>
      </c>
      <c r="C828" s="1" t="s">
        <v>14</v>
      </c>
      <c r="D828" s="1" t="s">
        <v>73</v>
      </c>
      <c r="E828" s="1" t="s">
        <v>28</v>
      </c>
      <c r="F828" s="1">
        <v>405.71</v>
      </c>
      <c r="G828" s="1" t="s">
        <v>295</v>
      </c>
      <c r="H828" s="2">
        <v>23369</v>
      </c>
      <c r="I828" s="2">
        <v>45632</v>
      </c>
      <c r="J828" s="1">
        <v>40.61</v>
      </c>
      <c r="K828" s="4">
        <f t="shared" si="27"/>
        <v>164.75883099999999</v>
      </c>
      <c r="L828" s="4">
        <f t="shared" si="28"/>
        <v>240.95116899999999</v>
      </c>
    </row>
    <row r="829" spans="1:12" x14ac:dyDescent="0.3">
      <c r="A829" s="1">
        <v>1827</v>
      </c>
      <c r="B829" s="2">
        <v>45011</v>
      </c>
      <c r="C829" s="1" t="s">
        <v>21</v>
      </c>
      <c r="D829" s="1" t="s">
        <v>44</v>
      </c>
      <c r="E829" s="1" t="s">
        <v>16</v>
      </c>
      <c r="F829" s="1">
        <v>3345.58</v>
      </c>
      <c r="G829" s="1" t="s">
        <v>74</v>
      </c>
      <c r="H829" s="2">
        <v>31224</v>
      </c>
      <c r="I829" s="2">
        <v>45019</v>
      </c>
      <c r="J829" s="1">
        <v>17.25</v>
      </c>
      <c r="K829" s="4">
        <f t="shared" si="27"/>
        <v>577.11254999999994</v>
      </c>
      <c r="L829" s="4">
        <f t="shared" si="28"/>
        <v>2768.4674500000001</v>
      </c>
    </row>
    <row r="830" spans="1:12" x14ac:dyDescent="0.3">
      <c r="A830" s="1">
        <v>1828</v>
      </c>
      <c r="B830" s="2">
        <v>44512</v>
      </c>
      <c r="C830" s="1" t="s">
        <v>21</v>
      </c>
      <c r="D830" s="1" t="s">
        <v>24</v>
      </c>
      <c r="E830" s="1" t="s">
        <v>19</v>
      </c>
      <c r="F830" s="1">
        <v>4628.91</v>
      </c>
      <c r="G830" s="1" t="s">
        <v>62</v>
      </c>
      <c r="H830" s="2">
        <v>22870</v>
      </c>
      <c r="I830" s="2">
        <v>44524</v>
      </c>
      <c r="J830" s="1">
        <v>34.04</v>
      </c>
      <c r="K830" s="4">
        <f t="shared" si="27"/>
        <v>1575.6809639999999</v>
      </c>
      <c r="L830" s="4">
        <f t="shared" si="28"/>
        <v>3053.2290359999997</v>
      </c>
    </row>
    <row r="831" spans="1:12" x14ac:dyDescent="0.3">
      <c r="A831" s="1">
        <v>1829</v>
      </c>
      <c r="B831" s="2">
        <v>44826</v>
      </c>
      <c r="C831" s="1" t="s">
        <v>21</v>
      </c>
      <c r="D831" s="1" t="s">
        <v>33</v>
      </c>
      <c r="E831" s="1" t="s">
        <v>16</v>
      </c>
      <c r="F831" s="1">
        <v>2240.89</v>
      </c>
      <c r="G831" s="1" t="s">
        <v>251</v>
      </c>
      <c r="H831" s="2">
        <v>25440</v>
      </c>
      <c r="I831" s="2">
        <v>44836</v>
      </c>
      <c r="J831" s="1">
        <v>2.46</v>
      </c>
      <c r="K831" s="4">
        <f t="shared" si="27"/>
        <v>55.125893999999995</v>
      </c>
      <c r="L831" s="4">
        <f t="shared" si="28"/>
        <v>2185.7641060000001</v>
      </c>
    </row>
    <row r="832" spans="1:12" x14ac:dyDescent="0.3">
      <c r="A832" s="1">
        <v>1830</v>
      </c>
      <c r="B832" s="2">
        <v>44398</v>
      </c>
      <c r="C832" s="1" t="s">
        <v>10</v>
      </c>
      <c r="D832" s="1" t="s">
        <v>53</v>
      </c>
      <c r="E832" s="1" t="s">
        <v>28</v>
      </c>
      <c r="F832" s="1">
        <v>2312.25</v>
      </c>
      <c r="G832" s="1" t="s">
        <v>269</v>
      </c>
      <c r="H832" s="2">
        <v>30976</v>
      </c>
      <c r="I832" s="2">
        <v>44408</v>
      </c>
      <c r="J832" s="1">
        <v>8.42</v>
      </c>
      <c r="K832" s="4">
        <f t="shared" si="27"/>
        <v>194.69145</v>
      </c>
      <c r="L832" s="4">
        <f t="shared" si="28"/>
        <v>2117.5585500000002</v>
      </c>
    </row>
    <row r="833" spans="1:12" x14ac:dyDescent="0.3">
      <c r="A833" s="1">
        <v>1831</v>
      </c>
      <c r="B833" s="2">
        <v>45459</v>
      </c>
      <c r="C833" s="1" t="s">
        <v>14</v>
      </c>
      <c r="D833" s="1" t="s">
        <v>65</v>
      </c>
      <c r="E833" s="1" t="s">
        <v>19</v>
      </c>
      <c r="F833" s="1">
        <v>2924.35</v>
      </c>
      <c r="G833" s="1" t="s">
        <v>271</v>
      </c>
      <c r="H833" s="2">
        <v>22796</v>
      </c>
      <c r="I833" s="2">
        <v>45466</v>
      </c>
      <c r="J833" s="1">
        <v>28.88</v>
      </c>
      <c r="K833" s="4">
        <f t="shared" si="27"/>
        <v>844.55228</v>
      </c>
      <c r="L833" s="4">
        <f t="shared" si="28"/>
        <v>2079.79772</v>
      </c>
    </row>
    <row r="834" spans="1:12" x14ac:dyDescent="0.3">
      <c r="A834" s="1">
        <v>1832</v>
      </c>
      <c r="B834" s="2">
        <v>44476</v>
      </c>
      <c r="C834" s="1" t="s">
        <v>35</v>
      </c>
      <c r="D834" s="1" t="s">
        <v>22</v>
      </c>
      <c r="E834" s="1" t="s">
        <v>19</v>
      </c>
      <c r="F834" s="1">
        <v>367.38</v>
      </c>
      <c r="G834" s="1" t="s">
        <v>241</v>
      </c>
      <c r="H834" s="2">
        <v>31880</v>
      </c>
      <c r="I834" s="2">
        <v>44483</v>
      </c>
      <c r="J834" s="1">
        <v>34.29</v>
      </c>
      <c r="K834" s="4">
        <f t="shared" si="27"/>
        <v>125.97460199999999</v>
      </c>
      <c r="L834" s="4">
        <f t="shared" si="28"/>
        <v>241.40539799999999</v>
      </c>
    </row>
    <row r="835" spans="1:12" x14ac:dyDescent="0.3">
      <c r="A835" s="1">
        <v>1833</v>
      </c>
      <c r="B835" s="2">
        <v>45659</v>
      </c>
      <c r="C835" s="1" t="s">
        <v>10</v>
      </c>
      <c r="D835" s="1" t="s">
        <v>58</v>
      </c>
      <c r="E835" s="1" t="s">
        <v>31</v>
      </c>
      <c r="F835" s="1">
        <v>4576.63</v>
      </c>
      <c r="G835" s="1" t="s">
        <v>96</v>
      </c>
      <c r="H835" s="2">
        <v>36236</v>
      </c>
      <c r="I835" s="2">
        <v>45671</v>
      </c>
      <c r="J835" s="1">
        <v>18.88</v>
      </c>
      <c r="K835" s="4">
        <f t="shared" ref="K835:K898" si="29">F835*J835%</f>
        <v>864.06774399999995</v>
      </c>
      <c r="L835" s="4">
        <f t="shared" ref="L835:L898" si="30">F835-K835</f>
        <v>3712.5622560000002</v>
      </c>
    </row>
    <row r="836" spans="1:12" x14ac:dyDescent="0.3">
      <c r="A836" s="1">
        <v>1834</v>
      </c>
      <c r="B836" s="2">
        <v>45874</v>
      </c>
      <c r="C836" s="1" t="s">
        <v>26</v>
      </c>
      <c r="D836" s="1" t="s">
        <v>69</v>
      </c>
      <c r="E836" s="1" t="s">
        <v>12</v>
      </c>
      <c r="F836" s="1">
        <v>4328.8599999999997</v>
      </c>
      <c r="G836" s="1" t="s">
        <v>269</v>
      </c>
      <c r="H836" s="2">
        <v>30976</v>
      </c>
      <c r="I836" s="2">
        <v>45882</v>
      </c>
      <c r="J836" s="1">
        <v>2.94</v>
      </c>
      <c r="K836" s="4">
        <f t="shared" si="29"/>
        <v>127.26848399999999</v>
      </c>
      <c r="L836" s="4">
        <f t="shared" si="30"/>
        <v>4201.5915159999995</v>
      </c>
    </row>
    <row r="837" spans="1:12" x14ac:dyDescent="0.3">
      <c r="A837" s="1">
        <v>1835</v>
      </c>
      <c r="B837" s="2">
        <v>44960</v>
      </c>
      <c r="C837" s="1" t="s">
        <v>21</v>
      </c>
      <c r="D837" s="1" t="s">
        <v>33</v>
      </c>
      <c r="E837" s="1" t="s">
        <v>16</v>
      </c>
      <c r="F837" s="1">
        <v>916.62</v>
      </c>
      <c r="G837" s="1" t="s">
        <v>99</v>
      </c>
      <c r="H837" s="2">
        <v>26397</v>
      </c>
      <c r="I837" s="2">
        <v>44961</v>
      </c>
      <c r="J837" s="1">
        <v>34.35</v>
      </c>
      <c r="K837" s="4">
        <f t="shared" si="29"/>
        <v>314.85897</v>
      </c>
      <c r="L837" s="4">
        <f t="shared" si="30"/>
        <v>601.76103000000001</v>
      </c>
    </row>
    <row r="838" spans="1:12" x14ac:dyDescent="0.3">
      <c r="A838" s="1">
        <v>1836</v>
      </c>
      <c r="B838" s="2">
        <v>44353</v>
      </c>
      <c r="C838" s="1" t="s">
        <v>14</v>
      </c>
      <c r="D838" s="1" t="s">
        <v>18</v>
      </c>
      <c r="E838" s="1" t="s">
        <v>19</v>
      </c>
      <c r="F838" s="1">
        <v>1358.61</v>
      </c>
      <c r="G838" s="1" t="s">
        <v>92</v>
      </c>
      <c r="H838" s="2">
        <v>24544</v>
      </c>
      <c r="I838" s="2">
        <v>44355</v>
      </c>
      <c r="J838" s="1">
        <v>34.119999999999997</v>
      </c>
      <c r="K838" s="4">
        <f t="shared" si="29"/>
        <v>463.55773199999987</v>
      </c>
      <c r="L838" s="4">
        <f t="shared" si="30"/>
        <v>895.05226800000003</v>
      </c>
    </row>
    <row r="839" spans="1:12" x14ac:dyDescent="0.3">
      <c r="A839" s="1">
        <v>1837</v>
      </c>
      <c r="B839" s="2">
        <v>44285</v>
      </c>
      <c r="C839" s="1" t="s">
        <v>21</v>
      </c>
      <c r="D839" s="1" t="s">
        <v>30</v>
      </c>
      <c r="E839" s="1" t="s">
        <v>31</v>
      </c>
      <c r="F839" s="1">
        <v>243.73</v>
      </c>
      <c r="G839" s="1" t="s">
        <v>280</v>
      </c>
      <c r="H839" s="2">
        <v>29181</v>
      </c>
      <c r="I839" s="2">
        <v>44289</v>
      </c>
      <c r="J839" s="1">
        <v>24.17</v>
      </c>
      <c r="K839" s="4">
        <f t="shared" si="29"/>
        <v>58.909541000000004</v>
      </c>
      <c r="L839" s="4">
        <f t="shared" si="30"/>
        <v>184.82045899999997</v>
      </c>
    </row>
    <row r="840" spans="1:12" x14ac:dyDescent="0.3">
      <c r="A840" s="1">
        <v>1838</v>
      </c>
      <c r="B840" s="2">
        <v>45254</v>
      </c>
      <c r="C840" s="1" t="s">
        <v>21</v>
      </c>
      <c r="D840" s="1" t="s">
        <v>65</v>
      </c>
      <c r="E840" s="1" t="s">
        <v>19</v>
      </c>
      <c r="F840" s="1">
        <v>990.39</v>
      </c>
      <c r="G840" s="1" t="s">
        <v>233</v>
      </c>
      <c r="H840" s="2">
        <v>38826</v>
      </c>
      <c r="I840" s="2">
        <v>45256</v>
      </c>
      <c r="J840" s="1">
        <v>36.47</v>
      </c>
      <c r="K840" s="4">
        <f t="shared" si="29"/>
        <v>361.19523299999997</v>
      </c>
      <c r="L840" s="4">
        <f t="shared" si="30"/>
        <v>629.19476699999996</v>
      </c>
    </row>
    <row r="841" spans="1:12" x14ac:dyDescent="0.3">
      <c r="A841" s="1">
        <v>1839</v>
      </c>
      <c r="B841" s="2">
        <v>45605</v>
      </c>
      <c r="C841" s="1" t="s">
        <v>21</v>
      </c>
      <c r="D841" s="1" t="s">
        <v>38</v>
      </c>
      <c r="E841" s="1" t="s">
        <v>28</v>
      </c>
      <c r="F841" s="1">
        <v>2593.1999999999998</v>
      </c>
      <c r="G841" s="1" t="s">
        <v>66</v>
      </c>
      <c r="H841" s="2">
        <v>33192</v>
      </c>
      <c r="I841" s="2">
        <v>45613</v>
      </c>
      <c r="J841" s="1">
        <v>10.55</v>
      </c>
      <c r="K841" s="4">
        <f t="shared" si="29"/>
        <v>273.58260000000001</v>
      </c>
      <c r="L841" s="4">
        <f t="shared" si="30"/>
        <v>2319.6173999999996</v>
      </c>
    </row>
    <row r="842" spans="1:12" x14ac:dyDescent="0.3">
      <c r="A842" s="1">
        <v>1840</v>
      </c>
      <c r="B842" s="2">
        <v>44110</v>
      </c>
      <c r="C842" s="1" t="s">
        <v>35</v>
      </c>
      <c r="D842" s="1" t="s">
        <v>33</v>
      </c>
      <c r="E842" s="1" t="s">
        <v>16</v>
      </c>
      <c r="F842" s="1">
        <v>1090.21</v>
      </c>
      <c r="G842" s="1" t="s">
        <v>313</v>
      </c>
      <c r="H842" s="2">
        <v>23039</v>
      </c>
      <c r="I842" s="2">
        <v>44121</v>
      </c>
      <c r="J842" s="1">
        <v>39.01</v>
      </c>
      <c r="K842" s="4">
        <f t="shared" si="29"/>
        <v>425.29092100000003</v>
      </c>
      <c r="L842" s="4">
        <f t="shared" si="30"/>
        <v>664.91907900000001</v>
      </c>
    </row>
    <row r="843" spans="1:12" x14ac:dyDescent="0.3">
      <c r="A843" s="1">
        <v>1841</v>
      </c>
      <c r="B843" s="2">
        <v>44368</v>
      </c>
      <c r="C843" s="1" t="s">
        <v>35</v>
      </c>
      <c r="D843" s="1" t="s">
        <v>73</v>
      </c>
      <c r="E843" s="1" t="s">
        <v>28</v>
      </c>
      <c r="F843" s="1">
        <v>3523.01</v>
      </c>
      <c r="G843" s="1" t="s">
        <v>270</v>
      </c>
      <c r="H843" s="2">
        <v>23245</v>
      </c>
      <c r="I843" s="2">
        <v>44379</v>
      </c>
      <c r="J843" s="1">
        <v>22.07</v>
      </c>
      <c r="K843" s="4">
        <f t="shared" si="29"/>
        <v>777.52830700000004</v>
      </c>
      <c r="L843" s="4">
        <f t="shared" si="30"/>
        <v>2745.4816930000002</v>
      </c>
    </row>
    <row r="844" spans="1:12" x14ac:dyDescent="0.3">
      <c r="A844" s="1">
        <v>1842</v>
      </c>
      <c r="B844" s="2">
        <v>45356</v>
      </c>
      <c r="C844" s="1" t="s">
        <v>26</v>
      </c>
      <c r="D844" s="1" t="s">
        <v>44</v>
      </c>
      <c r="E844" s="1" t="s">
        <v>16</v>
      </c>
      <c r="F844" s="1">
        <v>107.9</v>
      </c>
      <c r="G844" s="1" t="s">
        <v>281</v>
      </c>
      <c r="H844" s="2">
        <v>37927</v>
      </c>
      <c r="I844" s="2">
        <v>45370</v>
      </c>
      <c r="J844" s="1">
        <v>13.2</v>
      </c>
      <c r="K844" s="4">
        <f t="shared" si="29"/>
        <v>14.242800000000001</v>
      </c>
      <c r="L844" s="4">
        <f t="shared" si="30"/>
        <v>93.657200000000003</v>
      </c>
    </row>
    <row r="845" spans="1:12" x14ac:dyDescent="0.3">
      <c r="A845" s="1">
        <v>1843</v>
      </c>
      <c r="B845" s="2">
        <v>44543</v>
      </c>
      <c r="C845" s="1" t="s">
        <v>21</v>
      </c>
      <c r="D845" s="1" t="s">
        <v>53</v>
      </c>
      <c r="E845" s="1" t="s">
        <v>28</v>
      </c>
      <c r="F845" s="1">
        <v>1622.49</v>
      </c>
      <c r="G845" s="1" t="s">
        <v>195</v>
      </c>
      <c r="H845" s="2">
        <v>28065</v>
      </c>
      <c r="I845" s="2">
        <v>44547</v>
      </c>
      <c r="J845" s="1">
        <v>3.71</v>
      </c>
      <c r="K845" s="4">
        <f t="shared" si="29"/>
        <v>60.194379000000005</v>
      </c>
      <c r="L845" s="4">
        <f t="shared" si="30"/>
        <v>1562.295621</v>
      </c>
    </row>
    <row r="846" spans="1:12" x14ac:dyDescent="0.3">
      <c r="A846" s="1">
        <v>1844</v>
      </c>
      <c r="B846" s="2">
        <v>44966</v>
      </c>
      <c r="C846" s="1" t="s">
        <v>14</v>
      </c>
      <c r="D846" s="1" t="s">
        <v>38</v>
      </c>
      <c r="E846" s="1" t="s">
        <v>28</v>
      </c>
      <c r="F846" s="1">
        <v>2212.08</v>
      </c>
      <c r="G846" s="1" t="s">
        <v>97</v>
      </c>
      <c r="H846" s="2">
        <v>24706</v>
      </c>
      <c r="I846" s="2">
        <v>44970</v>
      </c>
      <c r="J846" s="1">
        <v>27.15</v>
      </c>
      <c r="K846" s="4">
        <f t="shared" si="29"/>
        <v>600.57971999999995</v>
      </c>
      <c r="L846" s="4">
        <f t="shared" si="30"/>
        <v>1611.50028</v>
      </c>
    </row>
    <row r="847" spans="1:12" x14ac:dyDescent="0.3">
      <c r="A847" s="1">
        <v>1845</v>
      </c>
      <c r="B847" s="2">
        <v>45409</v>
      </c>
      <c r="C847" s="1" t="s">
        <v>14</v>
      </c>
      <c r="D847" s="1" t="s">
        <v>22</v>
      </c>
      <c r="E847" s="1" t="s">
        <v>19</v>
      </c>
      <c r="F847" s="1">
        <v>3809.6</v>
      </c>
      <c r="G847" s="1" t="s">
        <v>261</v>
      </c>
      <c r="H847" s="2">
        <v>23920</v>
      </c>
      <c r="I847" s="2">
        <v>45414</v>
      </c>
      <c r="J847" s="1">
        <v>1.83</v>
      </c>
      <c r="K847" s="4">
        <f t="shared" si="29"/>
        <v>69.715680000000006</v>
      </c>
      <c r="L847" s="4">
        <f t="shared" si="30"/>
        <v>3739.8843200000001</v>
      </c>
    </row>
    <row r="848" spans="1:12" x14ac:dyDescent="0.3">
      <c r="A848" s="1">
        <v>1846</v>
      </c>
      <c r="B848" s="2">
        <v>44952</v>
      </c>
      <c r="C848" s="1" t="s">
        <v>10</v>
      </c>
      <c r="D848" s="1" t="s">
        <v>30</v>
      </c>
      <c r="E848" s="1" t="s">
        <v>31</v>
      </c>
      <c r="F848" s="1">
        <v>3256.35</v>
      </c>
      <c r="G848" s="1" t="s">
        <v>249</v>
      </c>
      <c r="H848" s="2">
        <v>28555</v>
      </c>
      <c r="I848" s="2">
        <v>44958</v>
      </c>
      <c r="J848" s="1">
        <v>24.45</v>
      </c>
      <c r="K848" s="4">
        <f t="shared" si="29"/>
        <v>796.17757499999993</v>
      </c>
      <c r="L848" s="4">
        <f t="shared" si="30"/>
        <v>2460.1724249999997</v>
      </c>
    </row>
    <row r="849" spans="1:12" x14ac:dyDescent="0.3">
      <c r="A849" s="1">
        <v>1847</v>
      </c>
      <c r="B849" s="2">
        <v>44849</v>
      </c>
      <c r="C849" s="1" t="s">
        <v>21</v>
      </c>
      <c r="D849" s="1" t="s">
        <v>33</v>
      </c>
      <c r="E849" s="1" t="s">
        <v>16</v>
      </c>
      <c r="F849" s="1">
        <v>2688.59</v>
      </c>
      <c r="G849" s="1" t="s">
        <v>158</v>
      </c>
      <c r="H849" s="2">
        <v>34871</v>
      </c>
      <c r="I849" s="2">
        <v>44861</v>
      </c>
      <c r="J849" s="1">
        <v>38.090000000000003</v>
      </c>
      <c r="K849" s="4">
        <f t="shared" si="29"/>
        <v>1024.0839310000001</v>
      </c>
      <c r="L849" s="4">
        <f t="shared" si="30"/>
        <v>1664.506069</v>
      </c>
    </row>
    <row r="850" spans="1:12" x14ac:dyDescent="0.3">
      <c r="A850" s="1">
        <v>1848</v>
      </c>
      <c r="B850" s="2">
        <v>44156</v>
      </c>
      <c r="C850" s="1" t="s">
        <v>21</v>
      </c>
      <c r="D850" s="1" t="s">
        <v>18</v>
      </c>
      <c r="E850" s="1" t="s">
        <v>19</v>
      </c>
      <c r="F850" s="1">
        <v>3719.38</v>
      </c>
      <c r="G850" s="1" t="s">
        <v>264</v>
      </c>
      <c r="H850" s="2">
        <v>30232</v>
      </c>
      <c r="I850" s="2">
        <v>44169</v>
      </c>
      <c r="J850" s="1">
        <v>11</v>
      </c>
      <c r="K850" s="4">
        <f t="shared" si="29"/>
        <v>409.1318</v>
      </c>
      <c r="L850" s="4">
        <f t="shared" si="30"/>
        <v>3310.2482</v>
      </c>
    </row>
    <row r="851" spans="1:12" x14ac:dyDescent="0.3">
      <c r="A851" s="1">
        <v>1849</v>
      </c>
      <c r="B851" s="2">
        <v>45543</v>
      </c>
      <c r="C851" s="1" t="s">
        <v>26</v>
      </c>
      <c r="D851" s="1" t="s">
        <v>38</v>
      </c>
      <c r="E851" s="1" t="s">
        <v>28</v>
      </c>
      <c r="F851" s="1">
        <v>3753.68</v>
      </c>
      <c r="G851" s="1" t="s">
        <v>29</v>
      </c>
      <c r="H851" s="2">
        <v>24033</v>
      </c>
      <c r="I851" s="2">
        <v>45548</v>
      </c>
      <c r="J851" s="1">
        <v>4.47</v>
      </c>
      <c r="K851" s="4">
        <f t="shared" si="29"/>
        <v>167.78949599999999</v>
      </c>
      <c r="L851" s="4">
        <f t="shared" si="30"/>
        <v>3585.890504</v>
      </c>
    </row>
    <row r="852" spans="1:12" x14ac:dyDescent="0.3">
      <c r="A852" s="1">
        <v>1850</v>
      </c>
      <c r="B852" s="2">
        <v>44377</v>
      </c>
      <c r="C852" s="1" t="s">
        <v>10</v>
      </c>
      <c r="D852" s="1" t="s">
        <v>58</v>
      </c>
      <c r="E852" s="1" t="s">
        <v>31</v>
      </c>
      <c r="F852" s="1">
        <v>2546.6</v>
      </c>
      <c r="G852" s="1" t="s">
        <v>79</v>
      </c>
      <c r="H852" s="2">
        <v>28675</v>
      </c>
      <c r="I852" s="2">
        <v>44389</v>
      </c>
      <c r="J852" s="1">
        <v>20</v>
      </c>
      <c r="K852" s="4">
        <f t="shared" si="29"/>
        <v>509.32</v>
      </c>
      <c r="L852" s="4">
        <f t="shared" si="30"/>
        <v>2037.28</v>
      </c>
    </row>
    <row r="853" spans="1:12" x14ac:dyDescent="0.3">
      <c r="A853" s="1">
        <v>1851</v>
      </c>
      <c r="B853" s="2">
        <v>44300</v>
      </c>
      <c r="C853" s="1" t="s">
        <v>10</v>
      </c>
      <c r="D853" s="1" t="s">
        <v>27</v>
      </c>
      <c r="E853" s="1" t="s">
        <v>28</v>
      </c>
      <c r="F853" s="1">
        <v>2154.15</v>
      </c>
      <c r="G853" s="1" t="s">
        <v>115</v>
      </c>
      <c r="H853" s="2">
        <v>29486</v>
      </c>
      <c r="I853" s="2">
        <v>44302</v>
      </c>
      <c r="J853" s="1">
        <v>29.73</v>
      </c>
      <c r="K853" s="4">
        <f t="shared" si="29"/>
        <v>640.42879500000004</v>
      </c>
      <c r="L853" s="4">
        <f t="shared" si="30"/>
        <v>1513.7212050000001</v>
      </c>
    </row>
    <row r="854" spans="1:12" x14ac:dyDescent="0.3">
      <c r="A854" s="1">
        <v>1852</v>
      </c>
      <c r="B854" s="2">
        <v>45095</v>
      </c>
      <c r="C854" s="1" t="s">
        <v>26</v>
      </c>
      <c r="D854" s="1" t="s">
        <v>55</v>
      </c>
      <c r="E854" s="1" t="s">
        <v>31</v>
      </c>
      <c r="F854" s="1">
        <v>2704.11</v>
      </c>
      <c r="G854" s="1" t="s">
        <v>318</v>
      </c>
      <c r="H854" s="2">
        <v>29040</v>
      </c>
      <c r="I854" s="2">
        <v>45105</v>
      </c>
      <c r="J854" s="1">
        <v>47.58</v>
      </c>
      <c r="K854" s="4">
        <f t="shared" si="29"/>
        <v>1286.615538</v>
      </c>
      <c r="L854" s="4">
        <f t="shared" si="30"/>
        <v>1417.4944620000001</v>
      </c>
    </row>
    <row r="855" spans="1:12" x14ac:dyDescent="0.3">
      <c r="A855" s="1">
        <v>1853</v>
      </c>
      <c r="B855" s="2">
        <v>45761</v>
      </c>
      <c r="C855" s="1" t="s">
        <v>26</v>
      </c>
      <c r="D855" s="1" t="s">
        <v>44</v>
      </c>
      <c r="E855" s="1" t="s">
        <v>16</v>
      </c>
      <c r="F855" s="1">
        <v>4847.57</v>
      </c>
      <c r="G855" s="1" t="s">
        <v>129</v>
      </c>
      <c r="H855" s="2">
        <v>26668</v>
      </c>
      <c r="I855" s="2">
        <v>45774</v>
      </c>
      <c r="J855" s="1">
        <v>20.95</v>
      </c>
      <c r="K855" s="4">
        <f t="shared" si="29"/>
        <v>1015.5659149999999</v>
      </c>
      <c r="L855" s="4">
        <f t="shared" si="30"/>
        <v>3832.0040849999996</v>
      </c>
    </row>
    <row r="856" spans="1:12" x14ac:dyDescent="0.3">
      <c r="A856" s="1">
        <v>1854</v>
      </c>
      <c r="B856" s="2">
        <v>44775</v>
      </c>
      <c r="C856" s="1" t="s">
        <v>14</v>
      </c>
      <c r="D856" s="1" t="s">
        <v>102</v>
      </c>
      <c r="E856" s="1" t="s">
        <v>12</v>
      </c>
      <c r="F856" s="1">
        <v>1515.6</v>
      </c>
      <c r="G856" s="1" t="s">
        <v>288</v>
      </c>
      <c r="H856" s="2">
        <v>29810</v>
      </c>
      <c r="I856" s="2">
        <v>44776</v>
      </c>
      <c r="J856" s="1">
        <v>41.79</v>
      </c>
      <c r="K856" s="4">
        <f t="shared" si="29"/>
        <v>633.36923999999999</v>
      </c>
      <c r="L856" s="4">
        <f t="shared" si="30"/>
        <v>882.23075999999992</v>
      </c>
    </row>
    <row r="857" spans="1:12" x14ac:dyDescent="0.3">
      <c r="A857" s="1">
        <v>1855</v>
      </c>
      <c r="B857" s="2">
        <v>45325</v>
      </c>
      <c r="C857" s="1" t="s">
        <v>21</v>
      </c>
      <c r="D857" s="1" t="s">
        <v>40</v>
      </c>
      <c r="E857" s="1" t="s">
        <v>16</v>
      </c>
      <c r="F857" s="1">
        <v>3383.21</v>
      </c>
      <c r="G857" s="1" t="s">
        <v>90</v>
      </c>
      <c r="H857" s="2">
        <v>29348</v>
      </c>
      <c r="I857" s="2">
        <v>45339</v>
      </c>
      <c r="J857" s="1">
        <v>0.5</v>
      </c>
      <c r="K857" s="4">
        <f t="shared" si="29"/>
        <v>16.916050000000002</v>
      </c>
      <c r="L857" s="4">
        <f t="shared" si="30"/>
        <v>3366.2939500000002</v>
      </c>
    </row>
    <row r="858" spans="1:12" x14ac:dyDescent="0.3">
      <c r="A858" s="1">
        <v>1856</v>
      </c>
      <c r="B858" s="2">
        <v>45470</v>
      </c>
      <c r="C858" s="1" t="s">
        <v>21</v>
      </c>
      <c r="D858" s="1" t="s">
        <v>102</v>
      </c>
      <c r="E858" s="1" t="s">
        <v>12</v>
      </c>
      <c r="F858" s="1">
        <v>2564.0300000000002</v>
      </c>
      <c r="G858" s="1" t="s">
        <v>151</v>
      </c>
      <c r="H858" s="2">
        <v>34427</v>
      </c>
      <c r="I858" s="2">
        <v>45472</v>
      </c>
      <c r="J858" s="1">
        <v>18.93</v>
      </c>
      <c r="K858" s="4">
        <f t="shared" si="29"/>
        <v>485.370879</v>
      </c>
      <c r="L858" s="4">
        <f t="shared" si="30"/>
        <v>2078.6591210000001</v>
      </c>
    </row>
    <row r="859" spans="1:12" x14ac:dyDescent="0.3">
      <c r="A859" s="1">
        <v>1857</v>
      </c>
      <c r="B859" s="2">
        <v>44287</v>
      </c>
      <c r="C859" s="1" t="s">
        <v>35</v>
      </c>
      <c r="D859" s="1" t="s">
        <v>36</v>
      </c>
      <c r="E859" s="1" t="s">
        <v>28</v>
      </c>
      <c r="F859" s="1">
        <v>1906.35</v>
      </c>
      <c r="G859" s="1" t="s">
        <v>293</v>
      </c>
      <c r="H859" s="2">
        <v>26379</v>
      </c>
      <c r="I859" s="2">
        <v>44299</v>
      </c>
      <c r="J859" s="1">
        <v>49.06</v>
      </c>
      <c r="K859" s="4">
        <f t="shared" si="29"/>
        <v>935.25531000000001</v>
      </c>
      <c r="L859" s="4">
        <f t="shared" si="30"/>
        <v>971.0946899999999</v>
      </c>
    </row>
    <row r="860" spans="1:12" x14ac:dyDescent="0.3">
      <c r="A860" s="1">
        <v>1858</v>
      </c>
      <c r="B860" s="2">
        <v>44074</v>
      </c>
      <c r="C860" s="1" t="s">
        <v>26</v>
      </c>
      <c r="D860" s="1" t="s">
        <v>47</v>
      </c>
      <c r="E860" s="1" t="s">
        <v>12</v>
      </c>
      <c r="F860" s="1">
        <v>1614.92</v>
      </c>
      <c r="G860" s="1" t="s">
        <v>307</v>
      </c>
      <c r="H860" s="2">
        <v>30321</v>
      </c>
      <c r="I860" s="2">
        <v>44087</v>
      </c>
      <c r="J860" s="1">
        <v>30.95</v>
      </c>
      <c r="K860" s="4">
        <f t="shared" si="29"/>
        <v>499.81774000000001</v>
      </c>
      <c r="L860" s="4">
        <f t="shared" si="30"/>
        <v>1115.1022600000001</v>
      </c>
    </row>
    <row r="861" spans="1:12" x14ac:dyDescent="0.3">
      <c r="A861" s="1">
        <v>1859</v>
      </c>
      <c r="B861" s="2">
        <v>45255</v>
      </c>
      <c r="C861" s="1" t="s">
        <v>21</v>
      </c>
      <c r="D861" s="1" t="s">
        <v>30</v>
      </c>
      <c r="E861" s="1" t="s">
        <v>31</v>
      </c>
      <c r="F861" s="1">
        <v>3361.27</v>
      </c>
      <c r="G861" s="1" t="s">
        <v>152</v>
      </c>
      <c r="H861" s="2">
        <v>24792</v>
      </c>
      <c r="I861" s="2">
        <v>45261</v>
      </c>
      <c r="J861" s="1">
        <v>19.77</v>
      </c>
      <c r="K861" s="4">
        <f t="shared" si="29"/>
        <v>664.52307899999994</v>
      </c>
      <c r="L861" s="4">
        <f t="shared" si="30"/>
        <v>2696.7469209999999</v>
      </c>
    </row>
    <row r="862" spans="1:12" x14ac:dyDescent="0.3">
      <c r="A862" s="1">
        <v>1860</v>
      </c>
      <c r="B862" s="2">
        <v>44742</v>
      </c>
      <c r="C862" s="1" t="s">
        <v>10</v>
      </c>
      <c r="D862" s="1" t="s">
        <v>36</v>
      </c>
      <c r="E862" s="1" t="s">
        <v>28</v>
      </c>
      <c r="F862" s="1">
        <v>4381.4799999999996</v>
      </c>
      <c r="G862" s="1" t="s">
        <v>168</v>
      </c>
      <c r="H862" s="2">
        <v>37674</v>
      </c>
      <c r="I862" s="2">
        <v>44747</v>
      </c>
      <c r="J862" s="1">
        <v>34.39</v>
      </c>
      <c r="K862" s="4">
        <f t="shared" si="29"/>
        <v>1506.7909719999998</v>
      </c>
      <c r="L862" s="4">
        <f t="shared" si="30"/>
        <v>2874.6890279999998</v>
      </c>
    </row>
    <row r="863" spans="1:12" x14ac:dyDescent="0.3">
      <c r="A863" s="1">
        <v>1861</v>
      </c>
      <c r="B863" s="2">
        <v>45363</v>
      </c>
      <c r="C863" s="1" t="s">
        <v>10</v>
      </c>
      <c r="D863" s="1" t="s">
        <v>47</v>
      </c>
      <c r="E863" s="1" t="s">
        <v>12</v>
      </c>
      <c r="F863" s="1">
        <v>1228.29</v>
      </c>
      <c r="G863" s="1" t="s">
        <v>170</v>
      </c>
      <c r="H863" s="2">
        <v>34205</v>
      </c>
      <c r="I863" s="2">
        <v>45369</v>
      </c>
      <c r="J863" s="1">
        <v>37.17</v>
      </c>
      <c r="K863" s="4">
        <f t="shared" si="29"/>
        <v>456.55539300000004</v>
      </c>
      <c r="L863" s="4">
        <f t="shared" si="30"/>
        <v>771.73460699999987</v>
      </c>
    </row>
    <row r="864" spans="1:12" x14ac:dyDescent="0.3">
      <c r="A864" s="1">
        <v>1862</v>
      </c>
      <c r="B864" s="2">
        <v>45341</v>
      </c>
      <c r="C864" s="1" t="s">
        <v>35</v>
      </c>
      <c r="D864" s="1" t="s">
        <v>30</v>
      </c>
      <c r="E864" s="1" t="s">
        <v>31</v>
      </c>
      <c r="F864" s="1">
        <v>4132.25</v>
      </c>
      <c r="G864" s="1" t="s">
        <v>259</v>
      </c>
      <c r="H864" s="2">
        <v>29938</v>
      </c>
      <c r="I864" s="2">
        <v>45351</v>
      </c>
      <c r="J864" s="1">
        <v>5.89</v>
      </c>
      <c r="K864" s="4">
        <f t="shared" si="29"/>
        <v>243.38952499999996</v>
      </c>
      <c r="L864" s="4">
        <f t="shared" si="30"/>
        <v>3888.860475</v>
      </c>
    </row>
    <row r="865" spans="1:12" x14ac:dyDescent="0.3">
      <c r="A865" s="1">
        <v>1863</v>
      </c>
      <c r="B865" s="2">
        <v>45165</v>
      </c>
      <c r="C865" s="1" t="s">
        <v>21</v>
      </c>
      <c r="D865" s="1" t="s">
        <v>24</v>
      </c>
      <c r="E865" s="1" t="s">
        <v>19</v>
      </c>
      <c r="F865" s="1">
        <v>2580.6</v>
      </c>
      <c r="G865" s="1" t="s">
        <v>122</v>
      </c>
      <c r="H865" s="2">
        <v>29720</v>
      </c>
      <c r="I865" s="2">
        <v>45166</v>
      </c>
      <c r="J865" s="1">
        <v>43.12</v>
      </c>
      <c r="K865" s="4">
        <f t="shared" si="29"/>
        <v>1112.7547199999999</v>
      </c>
      <c r="L865" s="4">
        <f t="shared" si="30"/>
        <v>1467.84528</v>
      </c>
    </row>
    <row r="866" spans="1:12" x14ac:dyDescent="0.3">
      <c r="A866" s="1">
        <v>1864</v>
      </c>
      <c r="B866" s="2">
        <v>44130</v>
      </c>
      <c r="C866" s="1" t="s">
        <v>35</v>
      </c>
      <c r="D866" s="1" t="s">
        <v>71</v>
      </c>
      <c r="E866" s="1" t="s">
        <v>31</v>
      </c>
      <c r="F866" s="1">
        <v>3797.46</v>
      </c>
      <c r="G866" s="1" t="s">
        <v>39</v>
      </c>
      <c r="H866" s="2">
        <v>26282</v>
      </c>
      <c r="I866" s="2">
        <v>44133</v>
      </c>
      <c r="J866" s="1">
        <v>12.07</v>
      </c>
      <c r="K866" s="4">
        <f t="shared" si="29"/>
        <v>458.35342200000002</v>
      </c>
      <c r="L866" s="4">
        <f t="shared" si="30"/>
        <v>3339.1065779999999</v>
      </c>
    </row>
    <row r="867" spans="1:12" x14ac:dyDescent="0.3">
      <c r="A867" s="1">
        <v>1865</v>
      </c>
      <c r="B867" s="2">
        <v>44388</v>
      </c>
      <c r="C867" s="1" t="s">
        <v>26</v>
      </c>
      <c r="D867" s="1" t="s">
        <v>18</v>
      </c>
      <c r="E867" s="1" t="s">
        <v>19</v>
      </c>
      <c r="F867" s="1">
        <v>4549.6400000000003</v>
      </c>
      <c r="G867" s="1" t="s">
        <v>179</v>
      </c>
      <c r="H867" s="2">
        <v>30356</v>
      </c>
      <c r="I867" s="2">
        <v>44401</v>
      </c>
      <c r="J867" s="1">
        <v>10.16</v>
      </c>
      <c r="K867" s="4">
        <f t="shared" si="29"/>
        <v>462.243424</v>
      </c>
      <c r="L867" s="4">
        <f t="shared" si="30"/>
        <v>4087.3965760000001</v>
      </c>
    </row>
    <row r="868" spans="1:12" x14ac:dyDescent="0.3">
      <c r="A868" s="1">
        <v>1866</v>
      </c>
      <c r="B868" s="2">
        <v>45399</v>
      </c>
      <c r="C868" s="1" t="s">
        <v>10</v>
      </c>
      <c r="D868" s="1" t="s">
        <v>61</v>
      </c>
      <c r="E868" s="1" t="s">
        <v>19</v>
      </c>
      <c r="F868" s="1">
        <v>1168.96</v>
      </c>
      <c r="G868" s="1" t="s">
        <v>209</v>
      </c>
      <c r="H868" s="2">
        <v>28522</v>
      </c>
      <c r="I868" s="2">
        <v>45401</v>
      </c>
      <c r="J868" s="1">
        <v>28.15</v>
      </c>
      <c r="K868" s="4">
        <f t="shared" si="29"/>
        <v>329.06223999999997</v>
      </c>
      <c r="L868" s="4">
        <f t="shared" si="30"/>
        <v>839.89776000000006</v>
      </c>
    </row>
    <row r="869" spans="1:12" x14ac:dyDescent="0.3">
      <c r="A869" s="1">
        <v>1867</v>
      </c>
      <c r="B869" s="2">
        <v>44281</v>
      </c>
      <c r="C869" s="1" t="s">
        <v>26</v>
      </c>
      <c r="D869" s="1" t="s">
        <v>15</v>
      </c>
      <c r="E869" s="1" t="s">
        <v>16</v>
      </c>
      <c r="F869" s="1">
        <v>1671.07</v>
      </c>
      <c r="G869" s="1" t="s">
        <v>256</v>
      </c>
      <c r="H869" s="2">
        <v>34537</v>
      </c>
      <c r="I869" s="2">
        <v>44282</v>
      </c>
      <c r="J869" s="1">
        <v>24.73</v>
      </c>
      <c r="K869" s="4">
        <f t="shared" si="29"/>
        <v>413.25561099999999</v>
      </c>
      <c r="L869" s="4">
        <f t="shared" si="30"/>
        <v>1257.8143889999999</v>
      </c>
    </row>
    <row r="870" spans="1:12" x14ac:dyDescent="0.3">
      <c r="A870" s="1">
        <v>1868</v>
      </c>
      <c r="B870" s="2">
        <v>44618</v>
      </c>
      <c r="C870" s="1" t="s">
        <v>26</v>
      </c>
      <c r="D870" s="1" t="s">
        <v>40</v>
      </c>
      <c r="E870" s="1" t="s">
        <v>16</v>
      </c>
      <c r="F870" s="1">
        <v>937.21</v>
      </c>
      <c r="G870" s="1" t="s">
        <v>308</v>
      </c>
      <c r="H870" s="2">
        <v>35336</v>
      </c>
      <c r="I870" s="2">
        <v>44625</v>
      </c>
      <c r="J870" s="1">
        <v>17.100000000000001</v>
      </c>
      <c r="K870" s="4">
        <f t="shared" si="29"/>
        <v>160.26291000000001</v>
      </c>
      <c r="L870" s="4">
        <f t="shared" si="30"/>
        <v>776.94709</v>
      </c>
    </row>
    <row r="871" spans="1:12" x14ac:dyDescent="0.3">
      <c r="A871" s="1">
        <v>1869</v>
      </c>
      <c r="B871" s="2">
        <v>44481</v>
      </c>
      <c r="C871" s="1" t="s">
        <v>21</v>
      </c>
      <c r="D871" s="1" t="s">
        <v>18</v>
      </c>
      <c r="E871" s="1" t="s">
        <v>19</v>
      </c>
      <c r="F871" s="1">
        <v>2759.07</v>
      </c>
      <c r="G871" s="1" t="s">
        <v>48</v>
      </c>
      <c r="H871" s="2">
        <v>22315</v>
      </c>
      <c r="I871" s="2">
        <v>44487</v>
      </c>
      <c r="J871" s="1">
        <v>3.82</v>
      </c>
      <c r="K871" s="4">
        <f t="shared" si="29"/>
        <v>105.396474</v>
      </c>
      <c r="L871" s="4">
        <f t="shared" si="30"/>
        <v>2653.673526</v>
      </c>
    </row>
    <row r="872" spans="1:12" x14ac:dyDescent="0.3">
      <c r="A872" s="1">
        <v>1870</v>
      </c>
      <c r="B872" s="2">
        <v>44294</v>
      </c>
      <c r="C872" s="1" t="s">
        <v>35</v>
      </c>
      <c r="D872" s="1" t="s">
        <v>40</v>
      </c>
      <c r="E872" s="1" t="s">
        <v>16</v>
      </c>
      <c r="F872" s="1">
        <v>107.06</v>
      </c>
      <c r="G872" s="1" t="s">
        <v>99</v>
      </c>
      <c r="H872" s="2">
        <v>26397</v>
      </c>
      <c r="I872" s="2">
        <v>44308</v>
      </c>
      <c r="J872" s="1">
        <v>7.95</v>
      </c>
      <c r="K872" s="4">
        <f t="shared" si="29"/>
        <v>8.5112699999999997</v>
      </c>
      <c r="L872" s="4">
        <f t="shared" si="30"/>
        <v>98.548730000000006</v>
      </c>
    </row>
    <row r="873" spans="1:12" x14ac:dyDescent="0.3">
      <c r="A873" s="1">
        <v>1871</v>
      </c>
      <c r="B873" s="2">
        <v>44943</v>
      </c>
      <c r="C873" s="1" t="s">
        <v>21</v>
      </c>
      <c r="D873" s="1" t="s">
        <v>24</v>
      </c>
      <c r="E873" s="1" t="s">
        <v>19</v>
      </c>
      <c r="F873" s="1">
        <v>1991.2</v>
      </c>
      <c r="G873" s="1" t="s">
        <v>151</v>
      </c>
      <c r="H873" s="2">
        <v>34427</v>
      </c>
      <c r="I873" s="2">
        <v>44955</v>
      </c>
      <c r="J873" s="1">
        <v>36.869999999999997</v>
      </c>
      <c r="K873" s="4">
        <f t="shared" si="29"/>
        <v>734.15544</v>
      </c>
      <c r="L873" s="4">
        <f t="shared" si="30"/>
        <v>1257.04456</v>
      </c>
    </row>
    <row r="874" spans="1:12" x14ac:dyDescent="0.3">
      <c r="A874" s="1">
        <v>1872</v>
      </c>
      <c r="B874" s="2">
        <v>45225</v>
      </c>
      <c r="C874" s="1" t="s">
        <v>26</v>
      </c>
      <c r="D874" s="1" t="s">
        <v>27</v>
      </c>
      <c r="E874" s="1" t="s">
        <v>28</v>
      </c>
      <c r="F874" s="1">
        <v>4245.3900000000003</v>
      </c>
      <c r="G874" s="1" t="s">
        <v>17</v>
      </c>
      <c r="H874" s="2">
        <v>26484</v>
      </c>
      <c r="I874" s="2">
        <v>45239</v>
      </c>
      <c r="J874" s="1">
        <v>43.28</v>
      </c>
      <c r="K874" s="4">
        <f t="shared" si="29"/>
        <v>1837.4047920000003</v>
      </c>
      <c r="L874" s="4">
        <f t="shared" si="30"/>
        <v>2407.9852080000001</v>
      </c>
    </row>
    <row r="875" spans="1:12" x14ac:dyDescent="0.3">
      <c r="A875" s="1">
        <v>1873</v>
      </c>
      <c r="B875" s="2">
        <v>44844</v>
      </c>
      <c r="C875" s="1" t="s">
        <v>10</v>
      </c>
      <c r="D875" s="1" t="s">
        <v>47</v>
      </c>
      <c r="E875" s="1" t="s">
        <v>12</v>
      </c>
      <c r="F875" s="1">
        <v>824.63</v>
      </c>
      <c r="G875" s="1" t="s">
        <v>302</v>
      </c>
      <c r="H875" s="2">
        <v>32940</v>
      </c>
      <c r="I875" s="2">
        <v>44857</v>
      </c>
      <c r="J875" s="1">
        <v>18.21</v>
      </c>
      <c r="K875" s="4">
        <f t="shared" si="29"/>
        <v>150.16512300000002</v>
      </c>
      <c r="L875" s="4">
        <f t="shared" si="30"/>
        <v>674.464877</v>
      </c>
    </row>
    <row r="876" spans="1:12" x14ac:dyDescent="0.3">
      <c r="A876" s="1">
        <v>1874</v>
      </c>
      <c r="B876" s="2">
        <v>45511</v>
      </c>
      <c r="C876" s="1" t="s">
        <v>10</v>
      </c>
      <c r="D876" s="1" t="s">
        <v>27</v>
      </c>
      <c r="E876" s="1" t="s">
        <v>28</v>
      </c>
      <c r="F876" s="1">
        <v>3686.64</v>
      </c>
      <c r="G876" s="1" t="s">
        <v>128</v>
      </c>
      <c r="H876" s="2">
        <v>37961</v>
      </c>
      <c r="I876" s="2">
        <v>45515</v>
      </c>
      <c r="J876" s="1">
        <v>29.45</v>
      </c>
      <c r="K876" s="4">
        <f t="shared" si="29"/>
        <v>1085.7154799999998</v>
      </c>
      <c r="L876" s="4">
        <f t="shared" si="30"/>
        <v>2600.92452</v>
      </c>
    </row>
    <row r="877" spans="1:12" x14ac:dyDescent="0.3">
      <c r="A877" s="1">
        <v>1875</v>
      </c>
      <c r="B877" s="2">
        <v>44441</v>
      </c>
      <c r="C877" s="1" t="s">
        <v>35</v>
      </c>
      <c r="D877" s="1" t="s">
        <v>88</v>
      </c>
      <c r="E877" s="1" t="s">
        <v>16</v>
      </c>
      <c r="F877" s="1">
        <v>4552.8100000000004</v>
      </c>
      <c r="G877" s="1" t="s">
        <v>242</v>
      </c>
      <c r="H877" s="2">
        <v>21785</v>
      </c>
      <c r="I877" s="2">
        <v>44447</v>
      </c>
      <c r="J877" s="1">
        <v>24.52</v>
      </c>
      <c r="K877" s="4">
        <f t="shared" si="29"/>
        <v>1116.3490120000001</v>
      </c>
      <c r="L877" s="4">
        <f t="shared" si="30"/>
        <v>3436.4609880000003</v>
      </c>
    </row>
    <row r="878" spans="1:12" x14ac:dyDescent="0.3">
      <c r="A878" s="1">
        <v>1876</v>
      </c>
      <c r="B878" s="2">
        <v>44153</v>
      </c>
      <c r="C878" s="1" t="s">
        <v>14</v>
      </c>
      <c r="D878" s="1" t="s">
        <v>69</v>
      </c>
      <c r="E878" s="1" t="s">
        <v>12</v>
      </c>
      <c r="F878" s="1">
        <v>4191.99</v>
      </c>
      <c r="G878" s="1" t="s">
        <v>41</v>
      </c>
      <c r="H878" s="2">
        <v>35818</v>
      </c>
      <c r="I878" s="2">
        <v>44157</v>
      </c>
      <c r="J878" s="1">
        <v>49.69</v>
      </c>
      <c r="K878" s="4">
        <f t="shared" si="29"/>
        <v>2082.9998309999996</v>
      </c>
      <c r="L878" s="4">
        <f t="shared" si="30"/>
        <v>2108.9901690000002</v>
      </c>
    </row>
    <row r="879" spans="1:12" x14ac:dyDescent="0.3">
      <c r="A879" s="1">
        <v>1877</v>
      </c>
      <c r="B879" s="2">
        <v>45420</v>
      </c>
      <c r="C879" s="1" t="s">
        <v>21</v>
      </c>
      <c r="D879" s="1" t="s">
        <v>55</v>
      </c>
      <c r="E879" s="1" t="s">
        <v>31</v>
      </c>
      <c r="F879" s="1">
        <v>2333.7399999999998</v>
      </c>
      <c r="G879" s="1" t="s">
        <v>275</v>
      </c>
      <c r="H879" s="2">
        <v>38510</v>
      </c>
      <c r="I879" s="2">
        <v>45423</v>
      </c>
      <c r="J879" s="1">
        <v>19</v>
      </c>
      <c r="K879" s="4">
        <f t="shared" si="29"/>
        <v>443.41059999999999</v>
      </c>
      <c r="L879" s="4">
        <f t="shared" si="30"/>
        <v>1890.3293999999999</v>
      </c>
    </row>
    <row r="880" spans="1:12" x14ac:dyDescent="0.3">
      <c r="A880" s="1">
        <v>1878</v>
      </c>
      <c r="B880" s="2">
        <v>45672</v>
      </c>
      <c r="C880" s="1" t="s">
        <v>21</v>
      </c>
      <c r="D880" s="1" t="s">
        <v>58</v>
      </c>
      <c r="E880" s="1" t="s">
        <v>31</v>
      </c>
      <c r="F880" s="1">
        <v>2214.59</v>
      </c>
      <c r="G880" s="1" t="s">
        <v>246</v>
      </c>
      <c r="H880" s="2">
        <v>25815</v>
      </c>
      <c r="I880" s="2">
        <v>45680</v>
      </c>
      <c r="J880" s="1">
        <v>35.99</v>
      </c>
      <c r="K880" s="4">
        <f t="shared" si="29"/>
        <v>797.0309410000001</v>
      </c>
      <c r="L880" s="4">
        <f t="shared" si="30"/>
        <v>1417.5590590000002</v>
      </c>
    </row>
    <row r="881" spans="1:12" x14ac:dyDescent="0.3">
      <c r="A881" s="1">
        <v>1879</v>
      </c>
      <c r="B881" s="2">
        <v>45408</v>
      </c>
      <c r="C881" s="1" t="s">
        <v>35</v>
      </c>
      <c r="D881" s="1" t="s">
        <v>61</v>
      </c>
      <c r="E881" s="1" t="s">
        <v>19</v>
      </c>
      <c r="F881" s="1">
        <v>4760.96</v>
      </c>
      <c r="G881" s="1" t="s">
        <v>302</v>
      </c>
      <c r="H881" s="2">
        <v>32940</v>
      </c>
      <c r="I881" s="2">
        <v>45419</v>
      </c>
      <c r="J881" s="1">
        <v>35.76</v>
      </c>
      <c r="K881" s="4">
        <f t="shared" si="29"/>
        <v>1702.5192959999999</v>
      </c>
      <c r="L881" s="4">
        <f t="shared" si="30"/>
        <v>3058.4407040000001</v>
      </c>
    </row>
    <row r="882" spans="1:12" x14ac:dyDescent="0.3">
      <c r="A882" s="1">
        <v>1880</v>
      </c>
      <c r="B882" s="2">
        <v>45566</v>
      </c>
      <c r="C882" s="1" t="s">
        <v>10</v>
      </c>
      <c r="D882" s="1" t="s">
        <v>102</v>
      </c>
      <c r="E882" s="1" t="s">
        <v>12</v>
      </c>
      <c r="F882" s="1">
        <v>3235.85</v>
      </c>
      <c r="G882" s="1" t="s">
        <v>182</v>
      </c>
      <c r="H882" s="2">
        <v>24719</v>
      </c>
      <c r="I882" s="2">
        <v>45571</v>
      </c>
      <c r="J882" s="1">
        <v>45.02</v>
      </c>
      <c r="K882" s="4">
        <f t="shared" si="29"/>
        <v>1456.7796700000001</v>
      </c>
      <c r="L882" s="4">
        <f t="shared" si="30"/>
        <v>1779.0703299999998</v>
      </c>
    </row>
    <row r="883" spans="1:12" x14ac:dyDescent="0.3">
      <c r="A883" s="1">
        <v>1881</v>
      </c>
      <c r="B883" s="2">
        <v>44299</v>
      </c>
      <c r="C883" s="1" t="s">
        <v>21</v>
      </c>
      <c r="D883" s="1" t="s">
        <v>49</v>
      </c>
      <c r="E883" s="1" t="s">
        <v>12</v>
      </c>
      <c r="F883" s="1">
        <v>126.77</v>
      </c>
      <c r="G883" s="1" t="s">
        <v>60</v>
      </c>
      <c r="H883" s="2">
        <v>33482</v>
      </c>
      <c r="I883" s="2">
        <v>44306</v>
      </c>
      <c r="J883" s="1">
        <v>22.3</v>
      </c>
      <c r="K883" s="4">
        <f t="shared" si="29"/>
        <v>28.26971</v>
      </c>
      <c r="L883" s="4">
        <f t="shared" si="30"/>
        <v>98.500289999999993</v>
      </c>
    </row>
    <row r="884" spans="1:12" x14ac:dyDescent="0.3">
      <c r="A884" s="1">
        <v>1882</v>
      </c>
      <c r="B884" s="2">
        <v>44507</v>
      </c>
      <c r="C884" s="1" t="s">
        <v>10</v>
      </c>
      <c r="D884" s="1" t="s">
        <v>30</v>
      </c>
      <c r="E884" s="1" t="s">
        <v>31</v>
      </c>
      <c r="F884" s="1">
        <v>1293.52</v>
      </c>
      <c r="G884" s="1" t="s">
        <v>227</v>
      </c>
      <c r="H884" s="2">
        <v>34932</v>
      </c>
      <c r="I884" s="2">
        <v>44508</v>
      </c>
      <c r="J884" s="1">
        <v>14.31</v>
      </c>
      <c r="K884" s="4">
        <f t="shared" si="29"/>
        <v>185.102712</v>
      </c>
      <c r="L884" s="4">
        <f t="shared" si="30"/>
        <v>1108.4172880000001</v>
      </c>
    </row>
    <row r="885" spans="1:12" x14ac:dyDescent="0.3">
      <c r="A885" s="1">
        <v>1883</v>
      </c>
      <c r="B885" s="2">
        <v>45054</v>
      </c>
      <c r="C885" s="1" t="s">
        <v>35</v>
      </c>
      <c r="D885" s="1" t="s">
        <v>49</v>
      </c>
      <c r="E885" s="1" t="s">
        <v>12</v>
      </c>
      <c r="F885" s="1">
        <v>317.56</v>
      </c>
      <c r="G885" s="1" t="s">
        <v>156</v>
      </c>
      <c r="H885" s="2">
        <v>38693</v>
      </c>
      <c r="I885" s="2">
        <v>45061</v>
      </c>
      <c r="J885" s="1">
        <v>1.25</v>
      </c>
      <c r="K885" s="4">
        <f t="shared" si="29"/>
        <v>3.9695</v>
      </c>
      <c r="L885" s="4">
        <f t="shared" si="30"/>
        <v>313.59050000000002</v>
      </c>
    </row>
    <row r="886" spans="1:12" x14ac:dyDescent="0.3">
      <c r="A886" s="1">
        <v>1884</v>
      </c>
      <c r="B886" s="2">
        <v>45504</v>
      </c>
      <c r="C886" s="1" t="s">
        <v>35</v>
      </c>
      <c r="D886" s="1" t="s">
        <v>47</v>
      </c>
      <c r="E886" s="1" t="s">
        <v>12</v>
      </c>
      <c r="F886" s="1">
        <v>2637.23</v>
      </c>
      <c r="G886" s="1" t="s">
        <v>183</v>
      </c>
      <c r="H886" s="2">
        <v>32359</v>
      </c>
      <c r="I886" s="2">
        <v>45507</v>
      </c>
      <c r="J886" s="1">
        <v>31.36</v>
      </c>
      <c r="K886" s="4">
        <f t="shared" si="29"/>
        <v>827.03532799999994</v>
      </c>
      <c r="L886" s="4">
        <f t="shared" si="30"/>
        <v>1810.1946720000001</v>
      </c>
    </row>
    <row r="887" spans="1:12" x14ac:dyDescent="0.3">
      <c r="A887" s="1">
        <v>1885</v>
      </c>
      <c r="B887" s="2">
        <v>45328</v>
      </c>
      <c r="C887" s="1" t="s">
        <v>14</v>
      </c>
      <c r="D887" s="1" t="s">
        <v>22</v>
      </c>
      <c r="E887" s="1" t="s">
        <v>19</v>
      </c>
      <c r="F887" s="1">
        <v>224.05</v>
      </c>
      <c r="G887" s="1" t="s">
        <v>313</v>
      </c>
      <c r="H887" s="2">
        <v>23039</v>
      </c>
      <c r="I887" s="2">
        <v>45331</v>
      </c>
      <c r="J887" s="1">
        <v>32.409999999999997</v>
      </c>
      <c r="K887" s="4">
        <f t="shared" si="29"/>
        <v>72.614604999999997</v>
      </c>
      <c r="L887" s="4">
        <f t="shared" si="30"/>
        <v>151.43539500000003</v>
      </c>
    </row>
    <row r="888" spans="1:12" x14ac:dyDescent="0.3">
      <c r="A888" s="1">
        <v>1886</v>
      </c>
      <c r="B888" s="2">
        <v>44555</v>
      </c>
      <c r="C888" s="1" t="s">
        <v>21</v>
      </c>
      <c r="D888" s="1" t="s">
        <v>102</v>
      </c>
      <c r="E888" s="1" t="s">
        <v>12</v>
      </c>
      <c r="F888" s="1">
        <v>4477.01</v>
      </c>
      <c r="G888" s="1" t="s">
        <v>276</v>
      </c>
      <c r="H888" s="2">
        <v>33394</v>
      </c>
      <c r="I888" s="2">
        <v>44566</v>
      </c>
      <c r="J888" s="1">
        <v>47.62</v>
      </c>
      <c r="K888" s="4">
        <f t="shared" si="29"/>
        <v>2131.952162</v>
      </c>
      <c r="L888" s="4">
        <f t="shared" si="30"/>
        <v>2345.0578380000002</v>
      </c>
    </row>
    <row r="889" spans="1:12" x14ac:dyDescent="0.3">
      <c r="A889" s="1">
        <v>1887</v>
      </c>
      <c r="B889" s="2">
        <v>44535</v>
      </c>
      <c r="C889" s="1" t="s">
        <v>14</v>
      </c>
      <c r="D889" s="1" t="s">
        <v>33</v>
      </c>
      <c r="E889" s="1" t="s">
        <v>16</v>
      </c>
      <c r="F889" s="1">
        <v>3116.12</v>
      </c>
      <c r="G889" s="1" t="s">
        <v>105</v>
      </c>
      <c r="H889" s="2">
        <v>35889</v>
      </c>
      <c r="I889" s="2">
        <v>44548</v>
      </c>
      <c r="J889" s="1">
        <v>2.15</v>
      </c>
      <c r="K889" s="4">
        <f t="shared" si="29"/>
        <v>66.996579999999994</v>
      </c>
      <c r="L889" s="4">
        <f t="shared" si="30"/>
        <v>3049.1234199999999</v>
      </c>
    </row>
    <row r="890" spans="1:12" x14ac:dyDescent="0.3">
      <c r="A890" s="1">
        <v>1888</v>
      </c>
      <c r="B890" s="2">
        <v>45855</v>
      </c>
      <c r="C890" s="1" t="s">
        <v>14</v>
      </c>
      <c r="D890" s="1" t="s">
        <v>36</v>
      </c>
      <c r="E890" s="1" t="s">
        <v>28</v>
      </c>
      <c r="F890" s="1">
        <v>2568.29</v>
      </c>
      <c r="G890" s="1" t="s">
        <v>92</v>
      </c>
      <c r="H890" s="2">
        <v>24544</v>
      </c>
      <c r="I890" s="2">
        <v>45856</v>
      </c>
      <c r="J890" s="1">
        <v>45.28</v>
      </c>
      <c r="K890" s="4">
        <f t="shared" si="29"/>
        <v>1162.9217120000001</v>
      </c>
      <c r="L890" s="4">
        <f t="shared" si="30"/>
        <v>1405.3682879999999</v>
      </c>
    </row>
    <row r="891" spans="1:12" x14ac:dyDescent="0.3">
      <c r="A891" s="1">
        <v>1889</v>
      </c>
      <c r="B891" s="2">
        <v>45770</v>
      </c>
      <c r="C891" s="1" t="s">
        <v>26</v>
      </c>
      <c r="D891" s="1" t="s">
        <v>27</v>
      </c>
      <c r="E891" s="1" t="s">
        <v>28</v>
      </c>
      <c r="F891" s="1">
        <v>3969.72</v>
      </c>
      <c r="G891" s="1" t="s">
        <v>25</v>
      </c>
      <c r="H891" s="2">
        <v>33386</v>
      </c>
      <c r="I891" s="2">
        <v>45782</v>
      </c>
      <c r="J891" s="1">
        <v>27.89</v>
      </c>
      <c r="K891" s="4">
        <f t="shared" si="29"/>
        <v>1107.154908</v>
      </c>
      <c r="L891" s="4">
        <f t="shared" si="30"/>
        <v>2862.5650919999998</v>
      </c>
    </row>
    <row r="892" spans="1:12" x14ac:dyDescent="0.3">
      <c r="A892" s="1">
        <v>1890</v>
      </c>
      <c r="B892" s="2">
        <v>44206</v>
      </c>
      <c r="C892" s="1" t="s">
        <v>26</v>
      </c>
      <c r="D892" s="1" t="s">
        <v>61</v>
      </c>
      <c r="E892" s="1" t="s">
        <v>19</v>
      </c>
      <c r="F892" s="1">
        <v>1915.12</v>
      </c>
      <c r="G892" s="1" t="s">
        <v>138</v>
      </c>
      <c r="H892" s="2">
        <v>25948</v>
      </c>
      <c r="I892" s="2">
        <v>44209</v>
      </c>
      <c r="J892" s="1">
        <v>3.09</v>
      </c>
      <c r="K892" s="4">
        <f t="shared" si="29"/>
        <v>59.177207999999993</v>
      </c>
      <c r="L892" s="4">
        <f t="shared" si="30"/>
        <v>1855.9427919999998</v>
      </c>
    </row>
    <row r="893" spans="1:12" x14ac:dyDescent="0.3">
      <c r="A893" s="1">
        <v>1891</v>
      </c>
      <c r="B893" s="2">
        <v>44188</v>
      </c>
      <c r="C893" s="1" t="s">
        <v>35</v>
      </c>
      <c r="D893" s="1" t="s">
        <v>15</v>
      </c>
      <c r="E893" s="1" t="s">
        <v>16</v>
      </c>
      <c r="F893" s="1">
        <v>2591.71</v>
      </c>
      <c r="G893" s="1" t="s">
        <v>43</v>
      </c>
      <c r="H893" s="2">
        <v>33702</v>
      </c>
      <c r="I893" s="2">
        <v>44192</v>
      </c>
      <c r="J893" s="1">
        <v>19.28</v>
      </c>
      <c r="K893" s="4">
        <f t="shared" si="29"/>
        <v>499.68168800000001</v>
      </c>
      <c r="L893" s="4">
        <f t="shared" si="30"/>
        <v>2092.0283119999999</v>
      </c>
    </row>
    <row r="894" spans="1:12" x14ac:dyDescent="0.3">
      <c r="A894" s="1">
        <v>1892</v>
      </c>
      <c r="B894" s="2">
        <v>45271</v>
      </c>
      <c r="C894" s="1" t="s">
        <v>10</v>
      </c>
      <c r="D894" s="1" t="s">
        <v>27</v>
      </c>
      <c r="E894" s="1" t="s">
        <v>28</v>
      </c>
      <c r="F894" s="1">
        <v>1237.6600000000001</v>
      </c>
      <c r="G894" s="1" t="s">
        <v>135</v>
      </c>
      <c r="H894" s="2">
        <v>38018</v>
      </c>
      <c r="I894" s="2">
        <v>45272</v>
      </c>
      <c r="J894" s="1">
        <v>31.1</v>
      </c>
      <c r="K894" s="4">
        <f t="shared" si="29"/>
        <v>384.91226</v>
      </c>
      <c r="L894" s="4">
        <f t="shared" si="30"/>
        <v>852.74774000000002</v>
      </c>
    </row>
    <row r="895" spans="1:12" x14ac:dyDescent="0.3">
      <c r="A895" s="1">
        <v>1893</v>
      </c>
      <c r="B895" s="2">
        <v>44597</v>
      </c>
      <c r="C895" s="1" t="s">
        <v>35</v>
      </c>
      <c r="D895" s="1" t="s">
        <v>27</v>
      </c>
      <c r="E895" s="1" t="s">
        <v>28</v>
      </c>
      <c r="F895" s="1">
        <v>1953.69</v>
      </c>
      <c r="G895" s="1" t="s">
        <v>163</v>
      </c>
      <c r="H895" s="2">
        <v>30364</v>
      </c>
      <c r="I895" s="2">
        <v>44611</v>
      </c>
      <c r="J895" s="1">
        <v>32.869999999999997</v>
      </c>
      <c r="K895" s="4">
        <f t="shared" si="29"/>
        <v>642.17790300000001</v>
      </c>
      <c r="L895" s="4">
        <f t="shared" si="30"/>
        <v>1311.512097</v>
      </c>
    </row>
    <row r="896" spans="1:12" x14ac:dyDescent="0.3">
      <c r="A896" s="1">
        <v>1894</v>
      </c>
      <c r="B896" s="2">
        <v>45044</v>
      </c>
      <c r="C896" s="1" t="s">
        <v>14</v>
      </c>
      <c r="D896" s="1" t="s">
        <v>47</v>
      </c>
      <c r="E896" s="1" t="s">
        <v>12</v>
      </c>
      <c r="F896" s="1">
        <v>1348.53</v>
      </c>
      <c r="G896" s="1" t="s">
        <v>127</v>
      </c>
      <c r="H896" s="2">
        <v>31846</v>
      </c>
      <c r="I896" s="2">
        <v>45058</v>
      </c>
      <c r="J896" s="1">
        <v>37.67</v>
      </c>
      <c r="K896" s="4">
        <f t="shared" si="29"/>
        <v>507.99125100000003</v>
      </c>
      <c r="L896" s="4">
        <f t="shared" si="30"/>
        <v>840.53874899999994</v>
      </c>
    </row>
    <row r="897" spans="1:12" x14ac:dyDescent="0.3">
      <c r="A897" s="1">
        <v>1895</v>
      </c>
      <c r="B897" s="2">
        <v>45847</v>
      </c>
      <c r="C897" s="1" t="s">
        <v>26</v>
      </c>
      <c r="D897" s="1" t="s">
        <v>58</v>
      </c>
      <c r="E897" s="1" t="s">
        <v>31</v>
      </c>
      <c r="F897" s="1">
        <v>1426.01</v>
      </c>
      <c r="G897" s="1" t="s">
        <v>101</v>
      </c>
      <c r="H897" s="2">
        <v>31331</v>
      </c>
      <c r="I897" s="2">
        <v>45851</v>
      </c>
      <c r="J897" s="1">
        <v>26.73</v>
      </c>
      <c r="K897" s="4">
        <f t="shared" si="29"/>
        <v>381.17247299999997</v>
      </c>
      <c r="L897" s="4">
        <f t="shared" si="30"/>
        <v>1044.8375270000001</v>
      </c>
    </row>
    <row r="898" spans="1:12" x14ac:dyDescent="0.3">
      <c r="A898" s="1">
        <v>1896</v>
      </c>
      <c r="B898" s="2">
        <v>44786</v>
      </c>
      <c r="C898" s="1" t="s">
        <v>35</v>
      </c>
      <c r="D898" s="1" t="s">
        <v>53</v>
      </c>
      <c r="E898" s="1" t="s">
        <v>28</v>
      </c>
      <c r="F898" s="1">
        <v>4689.82</v>
      </c>
      <c r="G898" s="1" t="s">
        <v>317</v>
      </c>
      <c r="H898" s="2">
        <v>32196</v>
      </c>
      <c r="I898" s="2">
        <v>44796</v>
      </c>
      <c r="J898" s="1">
        <v>28.56</v>
      </c>
      <c r="K898" s="4">
        <f t="shared" si="29"/>
        <v>1339.4125919999997</v>
      </c>
      <c r="L898" s="4">
        <f t="shared" si="30"/>
        <v>3350.407408</v>
      </c>
    </row>
    <row r="899" spans="1:12" x14ac:dyDescent="0.3">
      <c r="A899" s="1">
        <v>1897</v>
      </c>
      <c r="B899" s="2">
        <v>44225</v>
      </c>
      <c r="C899" s="1" t="s">
        <v>21</v>
      </c>
      <c r="D899" s="1" t="s">
        <v>65</v>
      </c>
      <c r="E899" s="1" t="s">
        <v>19</v>
      </c>
      <c r="F899" s="1">
        <v>2668.25</v>
      </c>
      <c r="G899" s="1" t="s">
        <v>188</v>
      </c>
      <c r="H899" s="2">
        <v>31467</v>
      </c>
      <c r="I899" s="2">
        <v>44232</v>
      </c>
      <c r="J899" s="1">
        <v>16.52</v>
      </c>
      <c r="K899" s="4">
        <f t="shared" ref="K899:K962" si="31">F899*J899%</f>
        <v>440.79489999999998</v>
      </c>
      <c r="L899" s="4">
        <f t="shared" ref="L899:L962" si="32">F899-K899</f>
        <v>2227.4551000000001</v>
      </c>
    </row>
    <row r="900" spans="1:12" x14ac:dyDescent="0.3">
      <c r="A900" s="1">
        <v>1898</v>
      </c>
      <c r="B900" s="2">
        <v>44273</v>
      </c>
      <c r="C900" s="1" t="s">
        <v>35</v>
      </c>
      <c r="D900" s="1" t="s">
        <v>71</v>
      </c>
      <c r="E900" s="1" t="s">
        <v>31</v>
      </c>
      <c r="F900" s="1">
        <v>3591.29</v>
      </c>
      <c r="G900" s="1" t="s">
        <v>235</v>
      </c>
      <c r="H900" s="2">
        <v>36760</v>
      </c>
      <c r="I900" s="2">
        <v>44283</v>
      </c>
      <c r="J900" s="1">
        <v>11.69</v>
      </c>
      <c r="K900" s="4">
        <f t="shared" si="31"/>
        <v>419.82180099999994</v>
      </c>
      <c r="L900" s="4">
        <f t="shared" si="32"/>
        <v>3171.4681989999999</v>
      </c>
    </row>
    <row r="901" spans="1:12" x14ac:dyDescent="0.3">
      <c r="A901" s="1">
        <v>1899</v>
      </c>
      <c r="B901" s="2">
        <v>45325</v>
      </c>
      <c r="C901" s="1" t="s">
        <v>10</v>
      </c>
      <c r="D901" s="1" t="s">
        <v>88</v>
      </c>
      <c r="E901" s="1" t="s">
        <v>16</v>
      </c>
      <c r="F901" s="1">
        <v>1048.28</v>
      </c>
      <c r="G901" s="1" t="s">
        <v>204</v>
      </c>
      <c r="H901" s="2">
        <v>23718</v>
      </c>
      <c r="I901" s="2">
        <v>45326</v>
      </c>
      <c r="J901" s="1">
        <v>24.55</v>
      </c>
      <c r="K901" s="4">
        <f t="shared" si="31"/>
        <v>257.35273999999998</v>
      </c>
      <c r="L901" s="4">
        <f t="shared" si="32"/>
        <v>790.92725999999993</v>
      </c>
    </row>
    <row r="902" spans="1:12" x14ac:dyDescent="0.3">
      <c r="A902" s="1">
        <v>1900</v>
      </c>
      <c r="B902" s="2">
        <v>45824</v>
      </c>
      <c r="C902" s="1" t="s">
        <v>10</v>
      </c>
      <c r="D902" s="1" t="s">
        <v>27</v>
      </c>
      <c r="E902" s="1" t="s">
        <v>28</v>
      </c>
      <c r="F902" s="1">
        <v>3162.97</v>
      </c>
      <c r="G902" s="1" t="s">
        <v>236</v>
      </c>
      <c r="H902" s="2">
        <v>36099</v>
      </c>
      <c r="I902" s="2">
        <v>45836</v>
      </c>
      <c r="J902" s="1">
        <v>5.03</v>
      </c>
      <c r="K902" s="4">
        <f t="shared" si="31"/>
        <v>159.09739100000002</v>
      </c>
      <c r="L902" s="4">
        <f t="shared" si="32"/>
        <v>3003.872609</v>
      </c>
    </row>
    <row r="903" spans="1:12" x14ac:dyDescent="0.3">
      <c r="A903" s="1">
        <v>1901</v>
      </c>
      <c r="B903" s="2">
        <v>45510</v>
      </c>
      <c r="C903" s="1" t="s">
        <v>14</v>
      </c>
      <c r="D903" s="1" t="s">
        <v>44</v>
      </c>
      <c r="E903" s="1" t="s">
        <v>16</v>
      </c>
      <c r="F903" s="1">
        <v>1671.46</v>
      </c>
      <c r="G903" s="1" t="s">
        <v>42</v>
      </c>
      <c r="H903" s="2">
        <v>26027</v>
      </c>
      <c r="I903" s="2">
        <v>45523</v>
      </c>
      <c r="J903" s="1">
        <v>12.98</v>
      </c>
      <c r="K903" s="4">
        <f t="shared" si="31"/>
        <v>216.95550800000001</v>
      </c>
      <c r="L903" s="4">
        <f t="shared" si="32"/>
        <v>1454.504492</v>
      </c>
    </row>
    <row r="904" spans="1:12" x14ac:dyDescent="0.3">
      <c r="A904" s="1">
        <v>1902</v>
      </c>
      <c r="B904" s="2">
        <v>45722</v>
      </c>
      <c r="C904" s="1" t="s">
        <v>26</v>
      </c>
      <c r="D904" s="1" t="s">
        <v>40</v>
      </c>
      <c r="E904" s="1" t="s">
        <v>16</v>
      </c>
      <c r="F904" s="1">
        <v>4425.9799999999996</v>
      </c>
      <c r="G904" s="1" t="s">
        <v>105</v>
      </c>
      <c r="H904" s="2">
        <v>35889</v>
      </c>
      <c r="I904" s="2">
        <v>45731</v>
      </c>
      <c r="J904" s="1">
        <v>21.97</v>
      </c>
      <c r="K904" s="4">
        <f t="shared" si="31"/>
        <v>972.38780599999984</v>
      </c>
      <c r="L904" s="4">
        <f t="shared" si="32"/>
        <v>3453.5921939999998</v>
      </c>
    </row>
    <row r="905" spans="1:12" x14ac:dyDescent="0.3">
      <c r="A905" s="1">
        <v>1903</v>
      </c>
      <c r="B905" s="2">
        <v>45709</v>
      </c>
      <c r="C905" s="1" t="s">
        <v>26</v>
      </c>
      <c r="D905" s="1" t="s">
        <v>33</v>
      </c>
      <c r="E905" s="1" t="s">
        <v>16</v>
      </c>
      <c r="F905" s="1">
        <v>2140.41</v>
      </c>
      <c r="G905" s="1" t="s">
        <v>32</v>
      </c>
      <c r="H905" s="2">
        <v>27166</v>
      </c>
      <c r="I905" s="2">
        <v>45719</v>
      </c>
      <c r="J905" s="1">
        <v>38.58</v>
      </c>
      <c r="K905" s="4">
        <f t="shared" si="31"/>
        <v>825.77017799999987</v>
      </c>
      <c r="L905" s="4">
        <f t="shared" si="32"/>
        <v>1314.6398220000001</v>
      </c>
    </row>
    <row r="906" spans="1:12" x14ac:dyDescent="0.3">
      <c r="A906" s="1">
        <v>1904</v>
      </c>
      <c r="B906" s="2">
        <v>45077</v>
      </c>
      <c r="C906" s="1" t="s">
        <v>26</v>
      </c>
      <c r="D906" s="1" t="s">
        <v>22</v>
      </c>
      <c r="E906" s="1" t="s">
        <v>19</v>
      </c>
      <c r="F906" s="1">
        <v>3313.01</v>
      </c>
      <c r="G906" s="1" t="s">
        <v>290</v>
      </c>
      <c r="H906" s="2">
        <v>31764</v>
      </c>
      <c r="I906" s="2">
        <v>45090</v>
      </c>
      <c r="J906" s="1">
        <v>4.28</v>
      </c>
      <c r="K906" s="4">
        <f t="shared" si="31"/>
        <v>141.79682800000003</v>
      </c>
      <c r="L906" s="4">
        <f t="shared" si="32"/>
        <v>3171.2131720000002</v>
      </c>
    </row>
    <row r="907" spans="1:12" x14ac:dyDescent="0.3">
      <c r="A907" s="1">
        <v>1905</v>
      </c>
      <c r="B907" s="2">
        <v>44945</v>
      </c>
      <c r="C907" s="1" t="s">
        <v>14</v>
      </c>
      <c r="D907" s="1" t="s">
        <v>53</v>
      </c>
      <c r="E907" s="1" t="s">
        <v>28</v>
      </c>
      <c r="F907" s="1">
        <v>4965.43</v>
      </c>
      <c r="G907" s="1" t="s">
        <v>324</v>
      </c>
      <c r="H907" s="2">
        <v>28747</v>
      </c>
      <c r="I907" s="2">
        <v>44956</v>
      </c>
      <c r="J907" s="1">
        <v>23.85</v>
      </c>
      <c r="K907" s="4">
        <f t="shared" si="31"/>
        <v>1184.2550550000001</v>
      </c>
      <c r="L907" s="4">
        <f t="shared" si="32"/>
        <v>3781.1749450000002</v>
      </c>
    </row>
    <row r="908" spans="1:12" x14ac:dyDescent="0.3">
      <c r="A908" s="1">
        <v>1906</v>
      </c>
      <c r="B908" s="2">
        <v>44731</v>
      </c>
      <c r="C908" s="1" t="s">
        <v>10</v>
      </c>
      <c r="D908" s="1" t="s">
        <v>102</v>
      </c>
      <c r="E908" s="1" t="s">
        <v>12</v>
      </c>
      <c r="F908" s="1">
        <v>4140.05</v>
      </c>
      <c r="G908" s="1" t="s">
        <v>50</v>
      </c>
      <c r="H908" s="2">
        <v>22594</v>
      </c>
      <c r="I908" s="2">
        <v>44736</v>
      </c>
      <c r="J908" s="1">
        <v>0.33</v>
      </c>
      <c r="K908" s="4">
        <f t="shared" si="31"/>
        <v>13.662165</v>
      </c>
      <c r="L908" s="4">
        <f t="shared" si="32"/>
        <v>4126.3878350000005</v>
      </c>
    </row>
    <row r="909" spans="1:12" x14ac:dyDescent="0.3">
      <c r="A909" s="1">
        <v>1907</v>
      </c>
      <c r="B909" s="2">
        <v>45762</v>
      </c>
      <c r="C909" s="1" t="s">
        <v>21</v>
      </c>
      <c r="D909" s="1" t="s">
        <v>24</v>
      </c>
      <c r="E909" s="1" t="s">
        <v>19</v>
      </c>
      <c r="F909" s="1">
        <v>1722.88</v>
      </c>
      <c r="G909" s="1" t="s">
        <v>315</v>
      </c>
      <c r="H909" s="2">
        <v>32330</v>
      </c>
      <c r="I909" s="2">
        <v>45764</v>
      </c>
      <c r="J909" s="1">
        <v>27.61</v>
      </c>
      <c r="K909" s="4">
        <f t="shared" si="31"/>
        <v>475.68716800000004</v>
      </c>
      <c r="L909" s="4">
        <f t="shared" si="32"/>
        <v>1247.1928320000002</v>
      </c>
    </row>
    <row r="910" spans="1:12" x14ac:dyDescent="0.3">
      <c r="A910" s="1">
        <v>1908</v>
      </c>
      <c r="B910" s="2">
        <v>45286</v>
      </c>
      <c r="C910" s="1" t="s">
        <v>10</v>
      </c>
      <c r="D910" s="1" t="s">
        <v>47</v>
      </c>
      <c r="E910" s="1" t="s">
        <v>12</v>
      </c>
      <c r="F910" s="1">
        <v>1275.42</v>
      </c>
      <c r="G910" s="1" t="s">
        <v>195</v>
      </c>
      <c r="H910" s="2">
        <v>28065</v>
      </c>
      <c r="I910" s="2">
        <v>45296</v>
      </c>
      <c r="J910" s="1">
        <v>4.88</v>
      </c>
      <c r="K910" s="4">
        <f t="shared" si="31"/>
        <v>62.240496</v>
      </c>
      <c r="L910" s="4">
        <f t="shared" si="32"/>
        <v>1213.1795040000002</v>
      </c>
    </row>
    <row r="911" spans="1:12" x14ac:dyDescent="0.3">
      <c r="A911" s="1">
        <v>1909</v>
      </c>
      <c r="B911" s="2">
        <v>44909</v>
      </c>
      <c r="C911" s="1" t="s">
        <v>10</v>
      </c>
      <c r="D911" s="1" t="s">
        <v>24</v>
      </c>
      <c r="E911" s="1" t="s">
        <v>19</v>
      </c>
      <c r="F911" s="1">
        <v>3335.8</v>
      </c>
      <c r="G911" s="1" t="s">
        <v>120</v>
      </c>
      <c r="H911" s="2">
        <v>30820</v>
      </c>
      <c r="I911" s="2">
        <v>44917</v>
      </c>
      <c r="J911" s="1">
        <v>33.119999999999997</v>
      </c>
      <c r="K911" s="4">
        <f t="shared" si="31"/>
        <v>1104.8169600000001</v>
      </c>
      <c r="L911" s="4">
        <f t="shared" si="32"/>
        <v>2230.9830400000001</v>
      </c>
    </row>
    <row r="912" spans="1:12" x14ac:dyDescent="0.3">
      <c r="A912" s="1">
        <v>1910</v>
      </c>
      <c r="B912" s="2">
        <v>44597</v>
      </c>
      <c r="C912" s="1" t="s">
        <v>35</v>
      </c>
      <c r="D912" s="1" t="s">
        <v>15</v>
      </c>
      <c r="E912" s="1" t="s">
        <v>16</v>
      </c>
      <c r="F912" s="1">
        <v>387.6</v>
      </c>
      <c r="G912" s="1" t="s">
        <v>200</v>
      </c>
      <c r="H912" s="2">
        <v>30222</v>
      </c>
      <c r="I912" s="2">
        <v>44604</v>
      </c>
      <c r="J912" s="1">
        <v>26.01</v>
      </c>
      <c r="K912" s="4">
        <f t="shared" si="31"/>
        <v>100.81476000000001</v>
      </c>
      <c r="L912" s="4">
        <f t="shared" si="32"/>
        <v>286.78524000000004</v>
      </c>
    </row>
    <row r="913" spans="1:12" x14ac:dyDescent="0.3">
      <c r="A913" s="1">
        <v>1911</v>
      </c>
      <c r="B913" s="2">
        <v>45354</v>
      </c>
      <c r="C913" s="1" t="s">
        <v>14</v>
      </c>
      <c r="D913" s="1" t="s">
        <v>49</v>
      </c>
      <c r="E913" s="1" t="s">
        <v>12</v>
      </c>
      <c r="F913" s="1">
        <v>2218.13</v>
      </c>
      <c r="G913" s="1" t="s">
        <v>130</v>
      </c>
      <c r="H913" s="2">
        <v>38750</v>
      </c>
      <c r="I913" s="2">
        <v>45361</v>
      </c>
      <c r="J913" s="1">
        <v>42.31</v>
      </c>
      <c r="K913" s="4">
        <f t="shared" si="31"/>
        <v>938.49080300000014</v>
      </c>
      <c r="L913" s="4">
        <f t="shared" si="32"/>
        <v>1279.639197</v>
      </c>
    </row>
    <row r="914" spans="1:12" x14ac:dyDescent="0.3">
      <c r="A914" s="1">
        <v>1912</v>
      </c>
      <c r="B914" s="2">
        <v>44738</v>
      </c>
      <c r="C914" s="1" t="s">
        <v>10</v>
      </c>
      <c r="D914" s="1" t="s">
        <v>24</v>
      </c>
      <c r="E914" s="1" t="s">
        <v>19</v>
      </c>
      <c r="F914" s="1">
        <v>708.62</v>
      </c>
      <c r="G914" s="1" t="s">
        <v>148</v>
      </c>
      <c r="H914" s="2">
        <v>22007</v>
      </c>
      <c r="I914" s="2">
        <v>44747</v>
      </c>
      <c r="J914" s="1">
        <v>26.71</v>
      </c>
      <c r="K914" s="4">
        <f t="shared" si="31"/>
        <v>189.272402</v>
      </c>
      <c r="L914" s="4">
        <f t="shared" si="32"/>
        <v>519.34759800000006</v>
      </c>
    </row>
    <row r="915" spans="1:12" x14ac:dyDescent="0.3">
      <c r="A915" s="1">
        <v>1913</v>
      </c>
      <c r="B915" s="2">
        <v>45260</v>
      </c>
      <c r="C915" s="1" t="s">
        <v>26</v>
      </c>
      <c r="D915" s="1" t="s">
        <v>33</v>
      </c>
      <c r="E915" s="1" t="s">
        <v>16</v>
      </c>
      <c r="F915" s="1">
        <v>3442.63</v>
      </c>
      <c r="G915" s="1" t="s">
        <v>151</v>
      </c>
      <c r="H915" s="2">
        <v>34427</v>
      </c>
      <c r="I915" s="2">
        <v>45274</v>
      </c>
      <c r="J915" s="1">
        <v>23.72</v>
      </c>
      <c r="K915" s="4">
        <f t="shared" si="31"/>
        <v>816.59183600000006</v>
      </c>
      <c r="L915" s="4">
        <f t="shared" si="32"/>
        <v>2626.0381640000001</v>
      </c>
    </row>
    <row r="916" spans="1:12" x14ac:dyDescent="0.3">
      <c r="A916" s="1">
        <v>1914</v>
      </c>
      <c r="B916" s="2">
        <v>44398</v>
      </c>
      <c r="C916" s="1" t="s">
        <v>10</v>
      </c>
      <c r="D916" s="1" t="s">
        <v>102</v>
      </c>
      <c r="E916" s="1" t="s">
        <v>12</v>
      </c>
      <c r="F916" s="1">
        <v>4270.34</v>
      </c>
      <c r="G916" s="1" t="s">
        <v>238</v>
      </c>
      <c r="H916" s="2">
        <v>31880</v>
      </c>
      <c r="I916" s="2">
        <v>44410</v>
      </c>
      <c r="J916" s="1">
        <v>8.23</v>
      </c>
      <c r="K916" s="4">
        <f t="shared" si="31"/>
        <v>351.448982</v>
      </c>
      <c r="L916" s="4">
        <f t="shared" si="32"/>
        <v>3918.8910180000003</v>
      </c>
    </row>
    <row r="917" spans="1:12" x14ac:dyDescent="0.3">
      <c r="A917" s="1">
        <v>1915</v>
      </c>
      <c r="B917" s="2">
        <v>44264</v>
      </c>
      <c r="C917" s="1" t="s">
        <v>35</v>
      </c>
      <c r="D917" s="1" t="s">
        <v>11</v>
      </c>
      <c r="E917" s="1" t="s">
        <v>12</v>
      </c>
      <c r="F917" s="1">
        <v>1651.51</v>
      </c>
      <c r="G917" s="1" t="s">
        <v>54</v>
      </c>
      <c r="H917" s="2">
        <v>31082</v>
      </c>
      <c r="I917" s="2">
        <v>44266</v>
      </c>
      <c r="J917" s="1">
        <v>16.899999999999999</v>
      </c>
      <c r="K917" s="4">
        <f t="shared" si="31"/>
        <v>279.10518999999999</v>
      </c>
      <c r="L917" s="4">
        <f t="shared" si="32"/>
        <v>1372.40481</v>
      </c>
    </row>
    <row r="918" spans="1:12" x14ac:dyDescent="0.3">
      <c r="A918" s="1">
        <v>1916</v>
      </c>
      <c r="B918" s="2">
        <v>44360</v>
      </c>
      <c r="C918" s="1" t="s">
        <v>35</v>
      </c>
      <c r="D918" s="1" t="s">
        <v>40</v>
      </c>
      <c r="E918" s="1" t="s">
        <v>16</v>
      </c>
      <c r="F918" s="1">
        <v>2540.2399999999998</v>
      </c>
      <c r="G918" s="1" t="s">
        <v>276</v>
      </c>
      <c r="H918" s="2">
        <v>33394</v>
      </c>
      <c r="I918" s="2">
        <v>44372</v>
      </c>
      <c r="J918" s="1">
        <v>33.18</v>
      </c>
      <c r="K918" s="4">
        <f t="shared" si="31"/>
        <v>842.85163199999988</v>
      </c>
      <c r="L918" s="4">
        <f t="shared" si="32"/>
        <v>1697.3883679999999</v>
      </c>
    </row>
    <row r="919" spans="1:12" x14ac:dyDescent="0.3">
      <c r="A919" s="1">
        <v>1917</v>
      </c>
      <c r="B919" s="2">
        <v>45643</v>
      </c>
      <c r="C919" s="1" t="s">
        <v>26</v>
      </c>
      <c r="D919" s="1" t="s">
        <v>11</v>
      </c>
      <c r="E919" s="1" t="s">
        <v>12</v>
      </c>
      <c r="F919" s="1">
        <v>4900.82</v>
      </c>
      <c r="G919" s="1" t="s">
        <v>134</v>
      </c>
      <c r="H919" s="2">
        <v>30299</v>
      </c>
      <c r="I919" s="2">
        <v>45655</v>
      </c>
      <c r="J919" s="1">
        <v>26.72</v>
      </c>
      <c r="K919" s="4">
        <f t="shared" si="31"/>
        <v>1309.499104</v>
      </c>
      <c r="L919" s="4">
        <f t="shared" si="32"/>
        <v>3591.3208959999997</v>
      </c>
    </row>
    <row r="920" spans="1:12" x14ac:dyDescent="0.3">
      <c r="A920" s="1">
        <v>1918</v>
      </c>
      <c r="B920" s="2">
        <v>45298</v>
      </c>
      <c r="C920" s="1" t="s">
        <v>21</v>
      </c>
      <c r="D920" s="1" t="s">
        <v>53</v>
      </c>
      <c r="E920" s="1" t="s">
        <v>28</v>
      </c>
      <c r="F920" s="1">
        <v>4280.42</v>
      </c>
      <c r="G920" s="1" t="s">
        <v>182</v>
      </c>
      <c r="H920" s="2">
        <v>24719</v>
      </c>
      <c r="I920" s="2">
        <v>45300</v>
      </c>
      <c r="J920" s="1">
        <v>45.87</v>
      </c>
      <c r="K920" s="4">
        <f t="shared" si="31"/>
        <v>1963.4286540000001</v>
      </c>
      <c r="L920" s="4">
        <f t="shared" si="32"/>
        <v>2316.9913459999998</v>
      </c>
    </row>
    <row r="921" spans="1:12" x14ac:dyDescent="0.3">
      <c r="A921" s="1">
        <v>1919</v>
      </c>
      <c r="B921" s="2">
        <v>44270</v>
      </c>
      <c r="C921" s="1" t="s">
        <v>14</v>
      </c>
      <c r="D921" s="1" t="s">
        <v>22</v>
      </c>
      <c r="E921" s="1" t="s">
        <v>19</v>
      </c>
      <c r="F921" s="1">
        <v>651.54</v>
      </c>
      <c r="G921" s="1" t="s">
        <v>217</v>
      </c>
      <c r="H921" s="2">
        <v>36951</v>
      </c>
      <c r="I921" s="2">
        <v>44273</v>
      </c>
      <c r="J921" s="1">
        <v>13.56</v>
      </c>
      <c r="K921" s="4">
        <f t="shared" si="31"/>
        <v>88.348823999999993</v>
      </c>
      <c r="L921" s="4">
        <f t="shared" si="32"/>
        <v>563.19117599999993</v>
      </c>
    </row>
    <row r="922" spans="1:12" x14ac:dyDescent="0.3">
      <c r="A922" s="1">
        <v>1920</v>
      </c>
      <c r="B922" s="2">
        <v>45806</v>
      </c>
      <c r="C922" s="1" t="s">
        <v>26</v>
      </c>
      <c r="D922" s="1" t="s">
        <v>40</v>
      </c>
      <c r="E922" s="1" t="s">
        <v>16</v>
      </c>
      <c r="F922" s="1">
        <v>1915.59</v>
      </c>
      <c r="G922" s="1" t="s">
        <v>194</v>
      </c>
      <c r="H922" s="2">
        <v>22210</v>
      </c>
      <c r="I922" s="2">
        <v>45810</v>
      </c>
      <c r="J922" s="1">
        <v>31.63</v>
      </c>
      <c r="K922" s="4">
        <f t="shared" si="31"/>
        <v>605.90111699999989</v>
      </c>
      <c r="L922" s="4">
        <f t="shared" si="32"/>
        <v>1309.688883</v>
      </c>
    </row>
    <row r="923" spans="1:12" x14ac:dyDescent="0.3">
      <c r="A923" s="1">
        <v>1921</v>
      </c>
      <c r="B923" s="2">
        <v>45361</v>
      </c>
      <c r="C923" s="1" t="s">
        <v>10</v>
      </c>
      <c r="D923" s="1" t="s">
        <v>69</v>
      </c>
      <c r="E923" s="1" t="s">
        <v>12</v>
      </c>
      <c r="F923" s="1">
        <v>106.78</v>
      </c>
      <c r="G923" s="1" t="s">
        <v>323</v>
      </c>
      <c r="H923" s="2">
        <v>33840</v>
      </c>
      <c r="I923" s="2">
        <v>45373</v>
      </c>
      <c r="J923" s="1">
        <v>44.76</v>
      </c>
      <c r="K923" s="4">
        <f t="shared" si="31"/>
        <v>47.794727999999999</v>
      </c>
      <c r="L923" s="4">
        <f t="shared" si="32"/>
        <v>58.985272000000002</v>
      </c>
    </row>
    <row r="924" spans="1:12" x14ac:dyDescent="0.3">
      <c r="A924" s="1">
        <v>1922</v>
      </c>
      <c r="B924" s="2">
        <v>45034</v>
      </c>
      <c r="C924" s="1" t="s">
        <v>35</v>
      </c>
      <c r="D924" s="1" t="s">
        <v>88</v>
      </c>
      <c r="E924" s="1" t="s">
        <v>16</v>
      </c>
      <c r="F924" s="1">
        <v>3524.42</v>
      </c>
      <c r="G924" s="1" t="s">
        <v>180</v>
      </c>
      <c r="H924" s="2">
        <v>25163</v>
      </c>
      <c r="I924" s="2">
        <v>45040</v>
      </c>
      <c r="J924" s="1">
        <v>47.61</v>
      </c>
      <c r="K924" s="4">
        <f t="shared" si="31"/>
        <v>1677.9763619999999</v>
      </c>
      <c r="L924" s="4">
        <f t="shared" si="32"/>
        <v>1846.4436380000002</v>
      </c>
    </row>
    <row r="925" spans="1:12" x14ac:dyDescent="0.3">
      <c r="A925" s="1">
        <v>1923</v>
      </c>
      <c r="B925" s="2">
        <v>44304</v>
      </c>
      <c r="C925" s="1" t="s">
        <v>21</v>
      </c>
      <c r="D925" s="1" t="s">
        <v>18</v>
      </c>
      <c r="E925" s="1" t="s">
        <v>19</v>
      </c>
      <c r="F925" s="1">
        <v>1287.42</v>
      </c>
      <c r="G925" s="1" t="s">
        <v>196</v>
      </c>
      <c r="H925" s="2">
        <v>26300</v>
      </c>
      <c r="I925" s="2">
        <v>44313</v>
      </c>
      <c r="J925" s="1">
        <v>1.5</v>
      </c>
      <c r="K925" s="4">
        <f t="shared" si="31"/>
        <v>19.311299999999999</v>
      </c>
      <c r="L925" s="4">
        <f t="shared" si="32"/>
        <v>1268.1087</v>
      </c>
    </row>
    <row r="926" spans="1:12" x14ac:dyDescent="0.3">
      <c r="A926" s="1">
        <v>1924</v>
      </c>
      <c r="B926" s="2">
        <v>44516</v>
      </c>
      <c r="C926" s="1" t="s">
        <v>26</v>
      </c>
      <c r="D926" s="1" t="s">
        <v>38</v>
      </c>
      <c r="E926" s="1" t="s">
        <v>28</v>
      </c>
      <c r="F926" s="1">
        <v>391.23</v>
      </c>
      <c r="G926" s="1" t="s">
        <v>255</v>
      </c>
      <c r="H926" s="2">
        <v>22646</v>
      </c>
      <c r="I926" s="2">
        <v>44517</v>
      </c>
      <c r="J926" s="1">
        <v>7.7</v>
      </c>
      <c r="K926" s="4">
        <f t="shared" si="31"/>
        <v>30.12471</v>
      </c>
      <c r="L926" s="4">
        <f t="shared" si="32"/>
        <v>361.10529000000002</v>
      </c>
    </row>
    <row r="927" spans="1:12" x14ac:dyDescent="0.3">
      <c r="A927" s="1">
        <v>1925</v>
      </c>
      <c r="B927" s="2">
        <v>45846</v>
      </c>
      <c r="C927" s="1" t="s">
        <v>26</v>
      </c>
      <c r="D927" s="1" t="s">
        <v>18</v>
      </c>
      <c r="E927" s="1" t="s">
        <v>19</v>
      </c>
      <c r="F927" s="1">
        <v>1569.98</v>
      </c>
      <c r="G927" s="1" t="s">
        <v>315</v>
      </c>
      <c r="H927" s="2">
        <v>32330</v>
      </c>
      <c r="I927" s="2">
        <v>45848</v>
      </c>
      <c r="J927" s="1">
        <v>49.99</v>
      </c>
      <c r="K927" s="4">
        <f t="shared" si="31"/>
        <v>784.83300200000008</v>
      </c>
      <c r="L927" s="4">
        <f t="shared" si="32"/>
        <v>785.14699799999994</v>
      </c>
    </row>
    <row r="928" spans="1:12" x14ac:dyDescent="0.3">
      <c r="A928" s="1">
        <v>1926</v>
      </c>
      <c r="B928" s="2">
        <v>44778</v>
      </c>
      <c r="C928" s="1" t="s">
        <v>35</v>
      </c>
      <c r="D928" s="1" t="s">
        <v>73</v>
      </c>
      <c r="E928" s="1" t="s">
        <v>28</v>
      </c>
      <c r="F928" s="1">
        <v>4978.8</v>
      </c>
      <c r="G928" s="1" t="s">
        <v>252</v>
      </c>
      <c r="H928" s="2">
        <v>34209</v>
      </c>
      <c r="I928" s="2">
        <v>44790</v>
      </c>
      <c r="J928" s="1">
        <v>19.88</v>
      </c>
      <c r="K928" s="4">
        <f t="shared" si="31"/>
        <v>989.78543999999988</v>
      </c>
      <c r="L928" s="4">
        <f t="shared" si="32"/>
        <v>3989.0145600000005</v>
      </c>
    </row>
    <row r="929" spans="1:12" x14ac:dyDescent="0.3">
      <c r="A929" s="1">
        <v>1927</v>
      </c>
      <c r="B929" s="2">
        <v>44664</v>
      </c>
      <c r="C929" s="1" t="s">
        <v>14</v>
      </c>
      <c r="D929" s="1" t="s">
        <v>15</v>
      </c>
      <c r="E929" s="1" t="s">
        <v>16</v>
      </c>
      <c r="F929" s="1">
        <v>4206.6099999999997</v>
      </c>
      <c r="G929" s="1" t="s">
        <v>274</v>
      </c>
      <c r="H929" s="2">
        <v>34557</v>
      </c>
      <c r="I929" s="2">
        <v>44670</v>
      </c>
      <c r="J929" s="1">
        <v>26.31</v>
      </c>
      <c r="K929" s="4">
        <f t="shared" si="31"/>
        <v>1106.7590909999999</v>
      </c>
      <c r="L929" s="4">
        <f t="shared" si="32"/>
        <v>3099.8509089999998</v>
      </c>
    </row>
    <row r="930" spans="1:12" x14ac:dyDescent="0.3">
      <c r="A930" s="1">
        <v>1928</v>
      </c>
      <c r="B930" s="2">
        <v>45402</v>
      </c>
      <c r="C930" s="1" t="s">
        <v>35</v>
      </c>
      <c r="D930" s="1" t="s">
        <v>73</v>
      </c>
      <c r="E930" s="1" t="s">
        <v>28</v>
      </c>
      <c r="F930" s="1">
        <v>3917.77</v>
      </c>
      <c r="G930" s="1" t="s">
        <v>29</v>
      </c>
      <c r="H930" s="2">
        <v>24033</v>
      </c>
      <c r="I930" s="2">
        <v>45403</v>
      </c>
      <c r="J930" s="1">
        <v>18.149999999999999</v>
      </c>
      <c r="K930" s="4">
        <f t="shared" si="31"/>
        <v>711.07525499999997</v>
      </c>
      <c r="L930" s="4">
        <f t="shared" si="32"/>
        <v>3206.6947449999998</v>
      </c>
    </row>
    <row r="931" spans="1:12" x14ac:dyDescent="0.3">
      <c r="A931" s="1">
        <v>1929</v>
      </c>
      <c r="B931" s="2">
        <v>45169</v>
      </c>
      <c r="C931" s="1" t="s">
        <v>10</v>
      </c>
      <c r="D931" s="1" t="s">
        <v>73</v>
      </c>
      <c r="E931" s="1" t="s">
        <v>28</v>
      </c>
      <c r="F931" s="1">
        <v>1214.76</v>
      </c>
      <c r="G931" s="1" t="s">
        <v>325</v>
      </c>
      <c r="H931" s="2">
        <v>28731</v>
      </c>
      <c r="I931" s="2">
        <v>45176</v>
      </c>
      <c r="J931" s="1">
        <v>34.880000000000003</v>
      </c>
      <c r="K931" s="4">
        <f t="shared" si="31"/>
        <v>423.70828799999998</v>
      </c>
      <c r="L931" s="4">
        <f t="shared" si="32"/>
        <v>791.05171199999995</v>
      </c>
    </row>
    <row r="932" spans="1:12" x14ac:dyDescent="0.3">
      <c r="A932" s="1">
        <v>1930</v>
      </c>
      <c r="B932" s="2">
        <v>45578</v>
      </c>
      <c r="C932" s="1" t="s">
        <v>26</v>
      </c>
      <c r="D932" s="1" t="s">
        <v>73</v>
      </c>
      <c r="E932" s="1" t="s">
        <v>28</v>
      </c>
      <c r="F932" s="1">
        <v>3782.03</v>
      </c>
      <c r="G932" s="1" t="s">
        <v>161</v>
      </c>
      <c r="H932" s="2">
        <v>29386</v>
      </c>
      <c r="I932" s="2">
        <v>45590</v>
      </c>
      <c r="J932" s="1">
        <v>10.24</v>
      </c>
      <c r="K932" s="4">
        <f t="shared" si="31"/>
        <v>387.27987200000001</v>
      </c>
      <c r="L932" s="4">
        <f t="shared" si="32"/>
        <v>3394.7501280000001</v>
      </c>
    </row>
    <row r="933" spans="1:12" x14ac:dyDescent="0.3">
      <c r="A933" s="1">
        <v>1931</v>
      </c>
      <c r="B933" s="2">
        <v>45036</v>
      </c>
      <c r="C933" s="1" t="s">
        <v>10</v>
      </c>
      <c r="D933" s="1" t="s">
        <v>61</v>
      </c>
      <c r="E933" s="1" t="s">
        <v>19</v>
      </c>
      <c r="F933" s="1">
        <v>1401.86</v>
      </c>
      <c r="G933" s="1" t="s">
        <v>235</v>
      </c>
      <c r="H933" s="2">
        <v>36760</v>
      </c>
      <c r="I933" s="2">
        <v>45050</v>
      </c>
      <c r="J933" s="1">
        <v>40.04</v>
      </c>
      <c r="K933" s="4">
        <f t="shared" si="31"/>
        <v>561.30474399999991</v>
      </c>
      <c r="L933" s="4">
        <f t="shared" si="32"/>
        <v>840.55525599999999</v>
      </c>
    </row>
    <row r="934" spans="1:12" x14ac:dyDescent="0.3">
      <c r="A934" s="1">
        <v>1932</v>
      </c>
      <c r="B934" s="2">
        <v>44067</v>
      </c>
      <c r="C934" s="1" t="s">
        <v>14</v>
      </c>
      <c r="D934" s="1" t="s">
        <v>22</v>
      </c>
      <c r="E934" s="1" t="s">
        <v>19</v>
      </c>
      <c r="F934" s="1">
        <v>4472.6000000000004</v>
      </c>
      <c r="G934" s="1" t="s">
        <v>235</v>
      </c>
      <c r="H934" s="2">
        <v>36760</v>
      </c>
      <c r="I934" s="2">
        <v>44072</v>
      </c>
      <c r="J934" s="1">
        <v>17.690000000000001</v>
      </c>
      <c r="K934" s="4">
        <f t="shared" si="31"/>
        <v>791.20294000000013</v>
      </c>
      <c r="L934" s="4">
        <f t="shared" si="32"/>
        <v>3681.3970600000002</v>
      </c>
    </row>
    <row r="935" spans="1:12" x14ac:dyDescent="0.3">
      <c r="A935" s="1">
        <v>1933</v>
      </c>
      <c r="B935" s="2">
        <v>44864</v>
      </c>
      <c r="C935" s="1" t="s">
        <v>35</v>
      </c>
      <c r="D935" s="1" t="s">
        <v>71</v>
      </c>
      <c r="E935" s="1" t="s">
        <v>31</v>
      </c>
      <c r="F935" s="1">
        <v>2128.62</v>
      </c>
      <c r="G935" s="1" t="s">
        <v>248</v>
      </c>
      <c r="H935" s="2">
        <v>32685</v>
      </c>
      <c r="I935" s="2">
        <v>44878</v>
      </c>
      <c r="J935" s="1">
        <v>40.1</v>
      </c>
      <c r="K935" s="4">
        <f t="shared" si="31"/>
        <v>853.57662000000005</v>
      </c>
      <c r="L935" s="4">
        <f t="shared" si="32"/>
        <v>1275.0433799999998</v>
      </c>
    </row>
    <row r="936" spans="1:12" x14ac:dyDescent="0.3">
      <c r="A936" s="1">
        <v>1934</v>
      </c>
      <c r="B936" s="2">
        <v>44178</v>
      </c>
      <c r="C936" s="1" t="s">
        <v>26</v>
      </c>
      <c r="D936" s="1" t="s">
        <v>15</v>
      </c>
      <c r="E936" s="1" t="s">
        <v>16</v>
      </c>
      <c r="F936" s="1">
        <v>314.91000000000003</v>
      </c>
      <c r="G936" s="1" t="s">
        <v>286</v>
      </c>
      <c r="H936" s="2">
        <v>33430</v>
      </c>
      <c r="I936" s="2">
        <v>44182</v>
      </c>
      <c r="J936" s="1">
        <v>19.690000000000001</v>
      </c>
      <c r="K936" s="4">
        <f t="shared" si="31"/>
        <v>62.005779000000011</v>
      </c>
      <c r="L936" s="4">
        <f t="shared" si="32"/>
        <v>252.90422100000001</v>
      </c>
    </row>
    <row r="937" spans="1:12" x14ac:dyDescent="0.3">
      <c r="A937" s="1">
        <v>1935</v>
      </c>
      <c r="B937" s="2">
        <v>45710</v>
      </c>
      <c r="C937" s="1" t="s">
        <v>26</v>
      </c>
      <c r="D937" s="1" t="s">
        <v>49</v>
      </c>
      <c r="E937" s="1" t="s">
        <v>12</v>
      </c>
      <c r="F937" s="1">
        <v>3345.99</v>
      </c>
      <c r="G937" s="1" t="s">
        <v>97</v>
      </c>
      <c r="H937" s="2">
        <v>24706</v>
      </c>
      <c r="I937" s="2">
        <v>45721</v>
      </c>
      <c r="J937" s="1">
        <v>38.380000000000003</v>
      </c>
      <c r="K937" s="4">
        <f t="shared" si="31"/>
        <v>1284.1909620000001</v>
      </c>
      <c r="L937" s="4">
        <f t="shared" si="32"/>
        <v>2061.7990379999997</v>
      </c>
    </row>
    <row r="938" spans="1:12" x14ac:dyDescent="0.3">
      <c r="A938" s="1">
        <v>1936</v>
      </c>
      <c r="B938" s="2">
        <v>45607</v>
      </c>
      <c r="C938" s="1" t="s">
        <v>21</v>
      </c>
      <c r="D938" s="1" t="s">
        <v>40</v>
      </c>
      <c r="E938" s="1" t="s">
        <v>16</v>
      </c>
      <c r="F938" s="1">
        <v>489.14</v>
      </c>
      <c r="G938" s="1" t="s">
        <v>178</v>
      </c>
      <c r="H938" s="2">
        <v>23890</v>
      </c>
      <c r="I938" s="2">
        <v>45608</v>
      </c>
      <c r="J938" s="1">
        <v>21.66</v>
      </c>
      <c r="K938" s="4">
        <f t="shared" si="31"/>
        <v>105.94772400000001</v>
      </c>
      <c r="L938" s="4">
        <f t="shared" si="32"/>
        <v>383.19227599999999</v>
      </c>
    </row>
    <row r="939" spans="1:12" x14ac:dyDescent="0.3">
      <c r="A939" s="1">
        <v>1937</v>
      </c>
      <c r="B939" s="2">
        <v>44704</v>
      </c>
      <c r="C939" s="1" t="s">
        <v>10</v>
      </c>
      <c r="D939" s="1" t="s">
        <v>36</v>
      </c>
      <c r="E939" s="1" t="s">
        <v>28</v>
      </c>
      <c r="F939" s="1">
        <v>4141.28</v>
      </c>
      <c r="G939" s="1" t="s">
        <v>239</v>
      </c>
      <c r="H939" s="2">
        <v>38442</v>
      </c>
      <c r="I939" s="2">
        <v>44713</v>
      </c>
      <c r="J939" s="1">
        <v>45.35</v>
      </c>
      <c r="K939" s="4">
        <f t="shared" si="31"/>
        <v>1878.0704799999999</v>
      </c>
      <c r="L939" s="4">
        <f t="shared" si="32"/>
        <v>2263.2095199999999</v>
      </c>
    </row>
    <row r="940" spans="1:12" x14ac:dyDescent="0.3">
      <c r="A940" s="1">
        <v>1938</v>
      </c>
      <c r="B940" s="2">
        <v>45162</v>
      </c>
      <c r="C940" s="1" t="s">
        <v>10</v>
      </c>
      <c r="D940" s="1" t="s">
        <v>22</v>
      </c>
      <c r="E940" s="1" t="s">
        <v>19</v>
      </c>
      <c r="F940" s="1">
        <v>3591.8</v>
      </c>
      <c r="G940" s="1" t="s">
        <v>219</v>
      </c>
      <c r="H940" s="2">
        <v>25321</v>
      </c>
      <c r="I940" s="2">
        <v>45171</v>
      </c>
      <c r="J940" s="1">
        <v>14.86</v>
      </c>
      <c r="K940" s="4">
        <f t="shared" si="31"/>
        <v>533.74147999999991</v>
      </c>
      <c r="L940" s="4">
        <f t="shared" si="32"/>
        <v>3058.0585200000005</v>
      </c>
    </row>
    <row r="941" spans="1:12" x14ac:dyDescent="0.3">
      <c r="A941" s="1">
        <v>1939</v>
      </c>
      <c r="B941" s="2">
        <v>44974</v>
      </c>
      <c r="C941" s="1" t="s">
        <v>14</v>
      </c>
      <c r="D941" s="1" t="s">
        <v>61</v>
      </c>
      <c r="E941" s="1" t="s">
        <v>19</v>
      </c>
      <c r="F941" s="1">
        <v>4649.03</v>
      </c>
      <c r="G941" s="1" t="s">
        <v>70</v>
      </c>
      <c r="H941" s="2">
        <v>30887</v>
      </c>
      <c r="I941" s="2">
        <v>44983</v>
      </c>
      <c r="J941" s="1">
        <v>18.34</v>
      </c>
      <c r="K941" s="4">
        <f t="shared" si="31"/>
        <v>852.63210200000003</v>
      </c>
      <c r="L941" s="4">
        <f t="shared" si="32"/>
        <v>3796.3978979999997</v>
      </c>
    </row>
    <row r="942" spans="1:12" x14ac:dyDescent="0.3">
      <c r="A942" s="1">
        <v>1940</v>
      </c>
      <c r="B942" s="2">
        <v>44896</v>
      </c>
      <c r="C942" s="1" t="s">
        <v>26</v>
      </c>
      <c r="D942" s="1" t="s">
        <v>73</v>
      </c>
      <c r="E942" s="1" t="s">
        <v>28</v>
      </c>
      <c r="F942" s="1">
        <v>2701.12</v>
      </c>
      <c r="G942" s="1" t="s">
        <v>41</v>
      </c>
      <c r="H942" s="2">
        <v>35818</v>
      </c>
      <c r="I942" s="2">
        <v>44902</v>
      </c>
      <c r="J942" s="1">
        <v>4.6500000000000004</v>
      </c>
      <c r="K942" s="4">
        <f t="shared" si="31"/>
        <v>125.60208000000002</v>
      </c>
      <c r="L942" s="4">
        <f t="shared" si="32"/>
        <v>2575.5179199999998</v>
      </c>
    </row>
    <row r="943" spans="1:12" x14ac:dyDescent="0.3">
      <c r="A943" s="1">
        <v>1941</v>
      </c>
      <c r="B943" s="2">
        <v>45776</v>
      </c>
      <c r="C943" s="1" t="s">
        <v>14</v>
      </c>
      <c r="D943" s="1" t="s">
        <v>61</v>
      </c>
      <c r="E943" s="1" t="s">
        <v>19</v>
      </c>
      <c r="F943" s="1">
        <v>1951.11</v>
      </c>
      <c r="G943" s="1" t="s">
        <v>188</v>
      </c>
      <c r="H943" s="2">
        <v>31467</v>
      </c>
      <c r="I943" s="2">
        <v>45781</v>
      </c>
      <c r="J943" s="1">
        <v>32.76</v>
      </c>
      <c r="K943" s="4">
        <f t="shared" si="31"/>
        <v>639.18363599999998</v>
      </c>
      <c r="L943" s="4">
        <f t="shared" si="32"/>
        <v>1311.9263639999999</v>
      </c>
    </row>
    <row r="944" spans="1:12" x14ac:dyDescent="0.3">
      <c r="A944" s="1">
        <v>1942</v>
      </c>
      <c r="B944" s="2">
        <v>44399</v>
      </c>
      <c r="C944" s="1" t="s">
        <v>21</v>
      </c>
      <c r="D944" s="1" t="s">
        <v>40</v>
      </c>
      <c r="E944" s="1" t="s">
        <v>16</v>
      </c>
      <c r="F944" s="1">
        <v>4608.12</v>
      </c>
      <c r="G944" s="1" t="s">
        <v>238</v>
      </c>
      <c r="H944" s="2">
        <v>31880</v>
      </c>
      <c r="I944" s="2">
        <v>44403</v>
      </c>
      <c r="J944" s="1">
        <v>43.95</v>
      </c>
      <c r="K944" s="4">
        <f t="shared" si="31"/>
        <v>2025.26874</v>
      </c>
      <c r="L944" s="4">
        <f t="shared" si="32"/>
        <v>2582.8512599999999</v>
      </c>
    </row>
    <row r="945" spans="1:12" x14ac:dyDescent="0.3">
      <c r="A945" s="1">
        <v>1943</v>
      </c>
      <c r="B945" s="2">
        <v>44656</v>
      </c>
      <c r="C945" s="1" t="s">
        <v>14</v>
      </c>
      <c r="D945" s="1" t="s">
        <v>53</v>
      </c>
      <c r="E945" s="1" t="s">
        <v>28</v>
      </c>
      <c r="F945" s="1">
        <v>2211.34</v>
      </c>
      <c r="G945" s="1" t="s">
        <v>263</v>
      </c>
      <c r="H945" s="2">
        <v>35629</v>
      </c>
      <c r="I945" s="2">
        <v>44662</v>
      </c>
      <c r="J945" s="1">
        <v>10.82</v>
      </c>
      <c r="K945" s="4">
        <f t="shared" si="31"/>
        <v>239.26698800000003</v>
      </c>
      <c r="L945" s="4">
        <f t="shared" si="32"/>
        <v>1972.0730120000001</v>
      </c>
    </row>
    <row r="946" spans="1:12" x14ac:dyDescent="0.3">
      <c r="A946" s="1">
        <v>1944</v>
      </c>
      <c r="B946" s="2">
        <v>44115</v>
      </c>
      <c r="C946" s="1" t="s">
        <v>35</v>
      </c>
      <c r="D946" s="1" t="s">
        <v>38</v>
      </c>
      <c r="E946" s="1" t="s">
        <v>28</v>
      </c>
      <c r="F946" s="1">
        <v>2815.86</v>
      </c>
      <c r="G946" s="1" t="s">
        <v>230</v>
      </c>
      <c r="H946" s="2">
        <v>35642</v>
      </c>
      <c r="I946" s="2">
        <v>44119</v>
      </c>
      <c r="J946" s="1">
        <v>7.31</v>
      </c>
      <c r="K946" s="4">
        <f t="shared" si="31"/>
        <v>205.83936600000001</v>
      </c>
      <c r="L946" s="4">
        <f t="shared" si="32"/>
        <v>2610.020634</v>
      </c>
    </row>
    <row r="947" spans="1:12" x14ac:dyDescent="0.3">
      <c r="A947" s="1">
        <v>1945</v>
      </c>
      <c r="B947" s="2">
        <v>45006</v>
      </c>
      <c r="C947" s="1" t="s">
        <v>10</v>
      </c>
      <c r="D947" s="1" t="s">
        <v>15</v>
      </c>
      <c r="E947" s="1" t="s">
        <v>16</v>
      </c>
      <c r="F947" s="1">
        <v>2209.85</v>
      </c>
      <c r="G947" s="1" t="s">
        <v>326</v>
      </c>
      <c r="H947" s="2">
        <v>25663</v>
      </c>
      <c r="I947" s="2">
        <v>45011</v>
      </c>
      <c r="J947" s="1">
        <v>35.65</v>
      </c>
      <c r="K947" s="4">
        <f t="shared" si="31"/>
        <v>787.81152499999996</v>
      </c>
      <c r="L947" s="4">
        <f t="shared" si="32"/>
        <v>1422.0384749999998</v>
      </c>
    </row>
    <row r="948" spans="1:12" x14ac:dyDescent="0.3">
      <c r="A948" s="1">
        <v>1946</v>
      </c>
      <c r="B948" s="2">
        <v>45032</v>
      </c>
      <c r="C948" s="1" t="s">
        <v>35</v>
      </c>
      <c r="D948" s="1" t="s">
        <v>11</v>
      </c>
      <c r="E948" s="1" t="s">
        <v>12</v>
      </c>
      <c r="F948" s="1">
        <v>3412.98</v>
      </c>
      <c r="G948" s="1" t="s">
        <v>70</v>
      </c>
      <c r="H948" s="2">
        <v>30887</v>
      </c>
      <c r="I948" s="2">
        <v>45041</v>
      </c>
      <c r="J948" s="1">
        <v>43.36</v>
      </c>
      <c r="K948" s="4">
        <f t="shared" si="31"/>
        <v>1479.8681280000001</v>
      </c>
      <c r="L948" s="4">
        <f t="shared" si="32"/>
        <v>1933.1118719999999</v>
      </c>
    </row>
    <row r="949" spans="1:12" x14ac:dyDescent="0.3">
      <c r="A949" s="1">
        <v>1947</v>
      </c>
      <c r="B949" s="2">
        <v>44509</v>
      </c>
      <c r="C949" s="1" t="s">
        <v>21</v>
      </c>
      <c r="D949" s="1" t="s">
        <v>30</v>
      </c>
      <c r="E949" s="1" t="s">
        <v>31</v>
      </c>
      <c r="F949" s="1">
        <v>3690.16</v>
      </c>
      <c r="G949" s="1" t="s">
        <v>316</v>
      </c>
      <c r="H949" s="2">
        <v>36087</v>
      </c>
      <c r="I949" s="2">
        <v>44517</v>
      </c>
      <c r="J949" s="1">
        <v>40.450000000000003</v>
      </c>
      <c r="K949" s="4">
        <f t="shared" si="31"/>
        <v>1492.6697200000001</v>
      </c>
      <c r="L949" s="4">
        <f t="shared" si="32"/>
        <v>2197.49028</v>
      </c>
    </row>
    <row r="950" spans="1:12" x14ac:dyDescent="0.3">
      <c r="A950" s="1">
        <v>1948</v>
      </c>
      <c r="B950" s="2">
        <v>45669</v>
      </c>
      <c r="C950" s="1" t="s">
        <v>14</v>
      </c>
      <c r="D950" s="1" t="s">
        <v>65</v>
      </c>
      <c r="E950" s="1" t="s">
        <v>19</v>
      </c>
      <c r="F950" s="1">
        <v>3714.34</v>
      </c>
      <c r="G950" s="1" t="s">
        <v>78</v>
      </c>
      <c r="H950" s="2">
        <v>25099</v>
      </c>
      <c r="I950" s="2">
        <v>45670</v>
      </c>
      <c r="J950" s="1">
        <v>47.5</v>
      </c>
      <c r="K950" s="4">
        <f t="shared" si="31"/>
        <v>1764.3115</v>
      </c>
      <c r="L950" s="4">
        <f t="shared" si="32"/>
        <v>1950.0285000000001</v>
      </c>
    </row>
    <row r="951" spans="1:12" x14ac:dyDescent="0.3">
      <c r="A951" s="1">
        <v>1949</v>
      </c>
      <c r="B951" s="2">
        <v>44210</v>
      </c>
      <c r="C951" s="1" t="s">
        <v>14</v>
      </c>
      <c r="D951" s="1" t="s">
        <v>55</v>
      </c>
      <c r="E951" s="1" t="s">
        <v>31</v>
      </c>
      <c r="F951" s="1">
        <v>1241.3399999999999</v>
      </c>
      <c r="G951" s="1" t="s">
        <v>74</v>
      </c>
      <c r="H951" s="2">
        <v>31224</v>
      </c>
      <c r="I951" s="2">
        <v>44214</v>
      </c>
      <c r="J951" s="1">
        <v>29.02</v>
      </c>
      <c r="K951" s="4">
        <f t="shared" si="31"/>
        <v>360.23686800000002</v>
      </c>
      <c r="L951" s="4">
        <f t="shared" si="32"/>
        <v>881.10313199999996</v>
      </c>
    </row>
    <row r="952" spans="1:12" x14ac:dyDescent="0.3">
      <c r="A952" s="1">
        <v>1950</v>
      </c>
      <c r="B952" s="2">
        <v>45678</v>
      </c>
      <c r="C952" s="1" t="s">
        <v>10</v>
      </c>
      <c r="D952" s="1" t="s">
        <v>11</v>
      </c>
      <c r="E952" s="1" t="s">
        <v>12</v>
      </c>
      <c r="F952" s="1">
        <v>3443.53</v>
      </c>
      <c r="G952" s="1" t="s">
        <v>138</v>
      </c>
      <c r="H952" s="2">
        <v>25948</v>
      </c>
      <c r="I952" s="2">
        <v>45679</v>
      </c>
      <c r="J952" s="1">
        <v>21.96</v>
      </c>
      <c r="K952" s="4">
        <f t="shared" si="31"/>
        <v>756.19918800000005</v>
      </c>
      <c r="L952" s="4">
        <f t="shared" si="32"/>
        <v>2687.3308120000002</v>
      </c>
    </row>
    <row r="953" spans="1:12" x14ac:dyDescent="0.3">
      <c r="A953" s="1">
        <v>1951</v>
      </c>
      <c r="B953" s="2">
        <v>44071</v>
      </c>
      <c r="C953" s="1" t="s">
        <v>21</v>
      </c>
      <c r="D953" s="1" t="s">
        <v>69</v>
      </c>
      <c r="E953" s="1" t="s">
        <v>12</v>
      </c>
      <c r="F953" s="1">
        <v>3359.09</v>
      </c>
      <c r="G953" s="1" t="s">
        <v>211</v>
      </c>
      <c r="H953" s="2">
        <v>35702</v>
      </c>
      <c r="I953" s="2">
        <v>44074</v>
      </c>
      <c r="J953" s="1">
        <v>26.73</v>
      </c>
      <c r="K953" s="4">
        <f t="shared" si="31"/>
        <v>897.88475699999992</v>
      </c>
      <c r="L953" s="4">
        <f t="shared" si="32"/>
        <v>2461.2052430000003</v>
      </c>
    </row>
    <row r="954" spans="1:12" x14ac:dyDescent="0.3">
      <c r="A954" s="1">
        <v>1952</v>
      </c>
      <c r="B954" s="2">
        <v>45575</v>
      </c>
      <c r="C954" s="1" t="s">
        <v>14</v>
      </c>
      <c r="D954" s="1" t="s">
        <v>49</v>
      </c>
      <c r="E954" s="1" t="s">
        <v>12</v>
      </c>
      <c r="F954" s="1">
        <v>2503.42</v>
      </c>
      <c r="G954" s="1" t="s">
        <v>142</v>
      </c>
      <c r="H954" s="2">
        <v>29541</v>
      </c>
      <c r="I954" s="2">
        <v>45580</v>
      </c>
      <c r="J954" s="1">
        <v>5.45</v>
      </c>
      <c r="K954" s="4">
        <f t="shared" si="31"/>
        <v>136.43639000000002</v>
      </c>
      <c r="L954" s="4">
        <f t="shared" si="32"/>
        <v>2366.9836100000002</v>
      </c>
    </row>
    <row r="955" spans="1:12" x14ac:dyDescent="0.3">
      <c r="A955" s="1">
        <v>1953</v>
      </c>
      <c r="B955" s="2">
        <v>45189</v>
      </c>
      <c r="C955" s="1" t="s">
        <v>26</v>
      </c>
      <c r="D955" s="1" t="s">
        <v>61</v>
      </c>
      <c r="E955" s="1" t="s">
        <v>19</v>
      </c>
      <c r="F955" s="1">
        <v>1687.13</v>
      </c>
      <c r="G955" s="1" t="s">
        <v>160</v>
      </c>
      <c r="H955" s="2">
        <v>35321</v>
      </c>
      <c r="I955" s="2">
        <v>45201</v>
      </c>
      <c r="J955" s="1">
        <v>8.3800000000000008</v>
      </c>
      <c r="K955" s="4">
        <f t="shared" si="31"/>
        <v>141.38149400000003</v>
      </c>
      <c r="L955" s="4">
        <f t="shared" si="32"/>
        <v>1545.7485060000001</v>
      </c>
    </row>
    <row r="956" spans="1:12" x14ac:dyDescent="0.3">
      <c r="A956" s="1">
        <v>1954</v>
      </c>
      <c r="B956" s="2">
        <v>45382</v>
      </c>
      <c r="C956" s="1" t="s">
        <v>14</v>
      </c>
      <c r="D956" s="1" t="s">
        <v>40</v>
      </c>
      <c r="E956" s="1" t="s">
        <v>16</v>
      </c>
      <c r="F956" s="1">
        <v>1612.54</v>
      </c>
      <c r="G956" s="1" t="s">
        <v>224</v>
      </c>
      <c r="H956" s="2">
        <v>35405</v>
      </c>
      <c r="I956" s="2">
        <v>45389</v>
      </c>
      <c r="J956" s="1">
        <v>39.380000000000003</v>
      </c>
      <c r="K956" s="4">
        <f t="shared" si="31"/>
        <v>635.01825200000007</v>
      </c>
      <c r="L956" s="4">
        <f t="shared" si="32"/>
        <v>977.52174799999989</v>
      </c>
    </row>
    <row r="957" spans="1:12" x14ac:dyDescent="0.3">
      <c r="A957" s="1">
        <v>1955</v>
      </c>
      <c r="B957" s="2">
        <v>44402</v>
      </c>
      <c r="C957" s="1" t="s">
        <v>26</v>
      </c>
      <c r="D957" s="1" t="s">
        <v>15</v>
      </c>
      <c r="E957" s="1" t="s">
        <v>16</v>
      </c>
      <c r="F957" s="1">
        <v>1837.14</v>
      </c>
      <c r="G957" s="1" t="s">
        <v>230</v>
      </c>
      <c r="H957" s="2">
        <v>35642</v>
      </c>
      <c r="I957" s="2">
        <v>44412</v>
      </c>
      <c r="J957" s="1">
        <v>26.52</v>
      </c>
      <c r="K957" s="4">
        <f t="shared" si="31"/>
        <v>487.20952800000003</v>
      </c>
      <c r="L957" s="4">
        <f t="shared" si="32"/>
        <v>1349.930472</v>
      </c>
    </row>
    <row r="958" spans="1:12" x14ac:dyDescent="0.3">
      <c r="A958" s="1">
        <v>1956</v>
      </c>
      <c r="B958" s="2">
        <v>44520</v>
      </c>
      <c r="C958" s="1" t="s">
        <v>10</v>
      </c>
      <c r="D958" s="1" t="s">
        <v>11</v>
      </c>
      <c r="E958" s="1" t="s">
        <v>12</v>
      </c>
      <c r="F958" s="1">
        <v>4483.1499999999996</v>
      </c>
      <c r="G958" s="1" t="s">
        <v>170</v>
      </c>
      <c r="H958" s="2">
        <v>34205</v>
      </c>
      <c r="I958" s="2">
        <v>44526</v>
      </c>
      <c r="J958" s="1">
        <v>40.35</v>
      </c>
      <c r="K958" s="4">
        <f t="shared" si="31"/>
        <v>1808.9510250000001</v>
      </c>
      <c r="L958" s="4">
        <f t="shared" si="32"/>
        <v>2674.1989749999993</v>
      </c>
    </row>
    <row r="959" spans="1:12" x14ac:dyDescent="0.3">
      <c r="A959" s="1">
        <v>1957</v>
      </c>
      <c r="B959" s="2">
        <v>44245</v>
      </c>
      <c r="C959" s="1" t="s">
        <v>21</v>
      </c>
      <c r="D959" s="1" t="s">
        <v>49</v>
      </c>
      <c r="E959" s="1" t="s">
        <v>12</v>
      </c>
      <c r="F959" s="1">
        <v>1254.9100000000001</v>
      </c>
      <c r="G959" s="1" t="s">
        <v>242</v>
      </c>
      <c r="H959" s="2">
        <v>21785</v>
      </c>
      <c r="I959" s="2">
        <v>44258</v>
      </c>
      <c r="J959" s="1">
        <v>39.520000000000003</v>
      </c>
      <c r="K959" s="4">
        <f t="shared" si="31"/>
        <v>495.9404320000001</v>
      </c>
      <c r="L959" s="4">
        <f t="shared" si="32"/>
        <v>758.96956799999998</v>
      </c>
    </row>
    <row r="960" spans="1:12" x14ac:dyDescent="0.3">
      <c r="A960" s="1">
        <v>1958</v>
      </c>
      <c r="B960" s="2">
        <v>44353</v>
      </c>
      <c r="C960" s="1" t="s">
        <v>21</v>
      </c>
      <c r="D960" s="1" t="s">
        <v>40</v>
      </c>
      <c r="E960" s="1" t="s">
        <v>16</v>
      </c>
      <c r="F960" s="1">
        <v>2931.39</v>
      </c>
      <c r="G960" s="1" t="s">
        <v>79</v>
      </c>
      <c r="H960" s="2">
        <v>28675</v>
      </c>
      <c r="I960" s="2">
        <v>44356</v>
      </c>
      <c r="J960" s="1">
        <v>41.44</v>
      </c>
      <c r="K960" s="4">
        <f t="shared" si="31"/>
        <v>1214.768016</v>
      </c>
      <c r="L960" s="4">
        <f t="shared" si="32"/>
        <v>1716.6219839999999</v>
      </c>
    </row>
    <row r="961" spans="1:12" x14ac:dyDescent="0.3">
      <c r="A961" s="1">
        <v>1959</v>
      </c>
      <c r="B961" s="2">
        <v>45785</v>
      </c>
      <c r="C961" s="1" t="s">
        <v>26</v>
      </c>
      <c r="D961" s="1" t="s">
        <v>49</v>
      </c>
      <c r="E961" s="1" t="s">
        <v>12</v>
      </c>
      <c r="F961" s="1">
        <v>4482.41</v>
      </c>
      <c r="G961" s="1" t="s">
        <v>131</v>
      </c>
      <c r="H961" s="2">
        <v>38087</v>
      </c>
      <c r="I961" s="2">
        <v>45797</v>
      </c>
      <c r="J961" s="1">
        <v>45.9</v>
      </c>
      <c r="K961" s="4">
        <f t="shared" si="31"/>
        <v>2057.4261899999997</v>
      </c>
      <c r="L961" s="4">
        <f t="shared" si="32"/>
        <v>2424.9838100000002</v>
      </c>
    </row>
    <row r="962" spans="1:12" x14ac:dyDescent="0.3">
      <c r="A962" s="1">
        <v>1960</v>
      </c>
      <c r="B962" s="2">
        <v>45063</v>
      </c>
      <c r="C962" s="1" t="s">
        <v>35</v>
      </c>
      <c r="D962" s="1" t="s">
        <v>69</v>
      </c>
      <c r="E962" s="1" t="s">
        <v>31</v>
      </c>
      <c r="F962" s="1">
        <v>2174.3000000000002</v>
      </c>
      <c r="G962" s="1" t="s">
        <v>326</v>
      </c>
      <c r="H962" s="2">
        <v>25663</v>
      </c>
      <c r="I962" s="2">
        <v>45073</v>
      </c>
      <c r="J962" s="1">
        <v>31.81</v>
      </c>
      <c r="K962" s="4">
        <f t="shared" si="31"/>
        <v>691.64483000000007</v>
      </c>
      <c r="L962" s="4">
        <f t="shared" si="32"/>
        <v>1482.65517</v>
      </c>
    </row>
    <row r="963" spans="1:12" x14ac:dyDescent="0.3">
      <c r="A963" s="1">
        <v>1961</v>
      </c>
      <c r="B963" s="2">
        <v>44600</v>
      </c>
      <c r="C963" s="1" t="s">
        <v>14</v>
      </c>
      <c r="D963" s="1" t="s">
        <v>11</v>
      </c>
      <c r="E963" s="1" t="s">
        <v>12</v>
      </c>
      <c r="F963" s="1">
        <v>1709.59</v>
      </c>
      <c r="G963" s="1" t="s">
        <v>128</v>
      </c>
      <c r="H963" s="2">
        <v>37961</v>
      </c>
      <c r="I963" s="2">
        <v>44604</v>
      </c>
      <c r="J963" s="1">
        <v>47.88</v>
      </c>
      <c r="K963" s="4">
        <f t="shared" ref="K963:K1001" si="33">F963*J963%</f>
        <v>818.551692</v>
      </c>
      <c r="L963" s="4">
        <f t="shared" ref="L963:L1001" si="34">F963-K963</f>
        <v>891.03830799999992</v>
      </c>
    </row>
    <row r="964" spans="1:12" x14ac:dyDescent="0.3">
      <c r="A964" s="1">
        <v>1962</v>
      </c>
      <c r="B964" s="2">
        <v>44515</v>
      </c>
      <c r="C964" s="1" t="s">
        <v>26</v>
      </c>
      <c r="D964" s="1" t="s">
        <v>18</v>
      </c>
      <c r="E964" s="1" t="s">
        <v>19</v>
      </c>
      <c r="F964" s="1">
        <v>3171.06</v>
      </c>
      <c r="G964" s="1" t="s">
        <v>298</v>
      </c>
      <c r="H964" s="2">
        <v>30410</v>
      </c>
      <c r="I964" s="2">
        <v>44529</v>
      </c>
      <c r="J964" s="1">
        <v>47.15</v>
      </c>
      <c r="K964" s="4">
        <f t="shared" si="33"/>
        <v>1495.1547899999998</v>
      </c>
      <c r="L964" s="4">
        <f t="shared" si="34"/>
        <v>1675.9052100000001</v>
      </c>
    </row>
    <row r="965" spans="1:12" x14ac:dyDescent="0.3">
      <c r="A965" s="1">
        <v>1963</v>
      </c>
      <c r="B965" s="2">
        <v>44608</v>
      </c>
      <c r="C965" s="1" t="s">
        <v>35</v>
      </c>
      <c r="D965" s="1" t="s">
        <v>55</v>
      </c>
      <c r="E965" s="1" t="s">
        <v>31</v>
      </c>
      <c r="F965" s="1">
        <v>4888.68</v>
      </c>
      <c r="G965" s="1" t="s">
        <v>158</v>
      </c>
      <c r="H965" s="2">
        <v>34871</v>
      </c>
      <c r="I965" s="2">
        <v>44619</v>
      </c>
      <c r="J965" s="1">
        <v>38.729999999999997</v>
      </c>
      <c r="K965" s="4">
        <f t="shared" si="33"/>
        <v>1893.3857640000001</v>
      </c>
      <c r="L965" s="4">
        <f t="shared" si="34"/>
        <v>2995.2942360000002</v>
      </c>
    </row>
    <row r="966" spans="1:12" x14ac:dyDescent="0.3">
      <c r="A966" s="1">
        <v>1964</v>
      </c>
      <c r="B966" s="2">
        <v>44421</v>
      </c>
      <c r="C966" s="1" t="s">
        <v>10</v>
      </c>
      <c r="D966" s="1" t="s">
        <v>71</v>
      </c>
      <c r="E966" s="1" t="s">
        <v>31</v>
      </c>
      <c r="F966" s="1">
        <v>1024.3699999999999</v>
      </c>
      <c r="G966" s="1" t="s">
        <v>260</v>
      </c>
      <c r="H966" s="2">
        <v>38628</v>
      </c>
      <c r="I966" s="2">
        <v>44430</v>
      </c>
      <c r="J966" s="1">
        <v>41.87</v>
      </c>
      <c r="K966" s="4">
        <f t="shared" si="33"/>
        <v>428.90371899999991</v>
      </c>
      <c r="L966" s="4">
        <f t="shared" si="34"/>
        <v>595.46628099999998</v>
      </c>
    </row>
    <row r="967" spans="1:12" x14ac:dyDescent="0.3">
      <c r="A967" s="1">
        <v>1965</v>
      </c>
      <c r="B967" s="2">
        <v>44788</v>
      </c>
      <c r="C967" s="1" t="s">
        <v>21</v>
      </c>
      <c r="D967" s="1" t="s">
        <v>61</v>
      </c>
      <c r="E967" s="1" t="s">
        <v>19</v>
      </c>
      <c r="F967" s="1">
        <v>4581.2299999999996</v>
      </c>
      <c r="G967" s="1" t="s">
        <v>163</v>
      </c>
      <c r="H967" s="2">
        <v>30364</v>
      </c>
      <c r="I967" s="2">
        <v>44793</v>
      </c>
      <c r="J967" s="1">
        <v>47.09</v>
      </c>
      <c r="K967" s="4">
        <f t="shared" si="33"/>
        <v>2157.301207</v>
      </c>
      <c r="L967" s="4">
        <f t="shared" si="34"/>
        <v>2423.9287929999996</v>
      </c>
    </row>
    <row r="968" spans="1:12" x14ac:dyDescent="0.3">
      <c r="A968" s="1">
        <v>1966</v>
      </c>
      <c r="B968" s="2">
        <v>44086</v>
      </c>
      <c r="C968" s="1" t="s">
        <v>26</v>
      </c>
      <c r="D968" s="1" t="s">
        <v>65</v>
      </c>
      <c r="E968" s="1" t="s">
        <v>19</v>
      </c>
      <c r="F968" s="1">
        <v>2299.33</v>
      </c>
      <c r="G968" s="1" t="s">
        <v>84</v>
      </c>
      <c r="H968" s="2">
        <v>26472</v>
      </c>
      <c r="I968" s="2">
        <v>44095</v>
      </c>
      <c r="J968" s="1">
        <v>27.15</v>
      </c>
      <c r="K968" s="4">
        <f t="shared" si="33"/>
        <v>624.2680949999999</v>
      </c>
      <c r="L968" s="4">
        <f t="shared" si="34"/>
        <v>1675.061905</v>
      </c>
    </row>
    <row r="969" spans="1:12" x14ac:dyDescent="0.3">
      <c r="A969" s="1">
        <v>1967</v>
      </c>
      <c r="B969" s="2">
        <v>44316</v>
      </c>
      <c r="C969" s="1" t="s">
        <v>21</v>
      </c>
      <c r="D969" s="1" t="s">
        <v>15</v>
      </c>
      <c r="E969" s="1" t="s">
        <v>16</v>
      </c>
      <c r="F969" s="1">
        <v>2148.19</v>
      </c>
      <c r="G969" s="1" t="s">
        <v>223</v>
      </c>
      <c r="H969" s="2">
        <v>35407</v>
      </c>
      <c r="I969" s="2">
        <v>44324</v>
      </c>
      <c r="J969" s="1">
        <v>31.44</v>
      </c>
      <c r="K969" s="4">
        <f t="shared" si="33"/>
        <v>675.39093600000001</v>
      </c>
      <c r="L969" s="4">
        <f t="shared" si="34"/>
        <v>1472.799064</v>
      </c>
    </row>
    <row r="970" spans="1:12" x14ac:dyDescent="0.3">
      <c r="A970" s="1">
        <v>1968</v>
      </c>
      <c r="B970" s="2">
        <v>44287</v>
      </c>
      <c r="C970" s="1" t="s">
        <v>10</v>
      </c>
      <c r="D970" s="1" t="s">
        <v>22</v>
      </c>
      <c r="E970" s="1" t="s">
        <v>19</v>
      </c>
      <c r="F970" s="1">
        <v>4578.1099999999997</v>
      </c>
      <c r="G970" s="1" t="s">
        <v>23</v>
      </c>
      <c r="H970" s="2">
        <v>38378</v>
      </c>
      <c r="I970" s="2">
        <v>44289</v>
      </c>
      <c r="J970" s="1">
        <v>32.28</v>
      </c>
      <c r="K970" s="4">
        <f t="shared" si="33"/>
        <v>1477.8139080000001</v>
      </c>
      <c r="L970" s="4">
        <f t="shared" si="34"/>
        <v>3100.2960919999996</v>
      </c>
    </row>
    <row r="971" spans="1:12" x14ac:dyDescent="0.3">
      <c r="A971" s="1">
        <v>1969</v>
      </c>
      <c r="B971" s="2">
        <v>45483</v>
      </c>
      <c r="C971" s="1" t="s">
        <v>10</v>
      </c>
      <c r="D971" s="1" t="s">
        <v>71</v>
      </c>
      <c r="E971" s="1" t="s">
        <v>31</v>
      </c>
      <c r="F971" s="1">
        <v>1321.82</v>
      </c>
      <c r="G971" s="1" t="s">
        <v>254</v>
      </c>
      <c r="H971" s="2">
        <v>29366</v>
      </c>
      <c r="I971" s="2">
        <v>45497</v>
      </c>
      <c r="J971" s="1">
        <v>8.65</v>
      </c>
      <c r="K971" s="4">
        <f t="shared" si="33"/>
        <v>114.33743</v>
      </c>
      <c r="L971" s="4">
        <f t="shared" si="34"/>
        <v>1207.4825699999999</v>
      </c>
    </row>
    <row r="972" spans="1:12" x14ac:dyDescent="0.3">
      <c r="A972" s="1">
        <v>1970</v>
      </c>
      <c r="B972" s="2">
        <v>44111</v>
      </c>
      <c r="C972" s="1" t="s">
        <v>10</v>
      </c>
      <c r="D972" s="1" t="s">
        <v>58</v>
      </c>
      <c r="E972" s="1" t="s">
        <v>31</v>
      </c>
      <c r="F972" s="1">
        <v>4786.34</v>
      </c>
      <c r="G972" s="1" t="s">
        <v>327</v>
      </c>
      <c r="H972" s="2">
        <v>35343</v>
      </c>
      <c r="I972" s="2">
        <v>44115</v>
      </c>
      <c r="J972" s="1">
        <v>34.32</v>
      </c>
      <c r="K972" s="4">
        <f t="shared" si="33"/>
        <v>1642.6718880000001</v>
      </c>
      <c r="L972" s="4">
        <f t="shared" si="34"/>
        <v>3143.6681120000003</v>
      </c>
    </row>
    <row r="973" spans="1:12" x14ac:dyDescent="0.3">
      <c r="A973" s="1">
        <v>1971</v>
      </c>
      <c r="B973" s="2">
        <v>45884</v>
      </c>
      <c r="C973" s="1" t="s">
        <v>26</v>
      </c>
      <c r="D973" s="1" t="s">
        <v>44</v>
      </c>
      <c r="E973" s="1" t="s">
        <v>16</v>
      </c>
      <c r="F973" s="1">
        <v>3228.56</v>
      </c>
      <c r="G973" s="1" t="s">
        <v>37</v>
      </c>
      <c r="H973" s="2">
        <v>27534</v>
      </c>
      <c r="I973" s="2">
        <v>45890</v>
      </c>
      <c r="J973" s="1">
        <v>48.72</v>
      </c>
      <c r="K973" s="4">
        <f t="shared" si="33"/>
        <v>1572.9544319999998</v>
      </c>
      <c r="L973" s="4">
        <f t="shared" si="34"/>
        <v>1655.6055680000002</v>
      </c>
    </row>
    <row r="974" spans="1:12" x14ac:dyDescent="0.3">
      <c r="A974" s="1">
        <v>1972</v>
      </c>
      <c r="B974" s="2">
        <v>44421</v>
      </c>
      <c r="C974" s="1" t="s">
        <v>21</v>
      </c>
      <c r="D974" s="1" t="s">
        <v>40</v>
      </c>
      <c r="E974" s="1" t="s">
        <v>16</v>
      </c>
      <c r="F974" s="1">
        <v>2697.91</v>
      </c>
      <c r="G974" s="1" t="s">
        <v>80</v>
      </c>
      <c r="H974" s="2">
        <v>31578</v>
      </c>
      <c r="I974" s="2">
        <v>44431</v>
      </c>
      <c r="J974" s="1">
        <v>40.82</v>
      </c>
      <c r="K974" s="4">
        <f t="shared" si="33"/>
        <v>1101.2868619999999</v>
      </c>
      <c r="L974" s="4">
        <f t="shared" si="34"/>
        <v>1596.6231379999999</v>
      </c>
    </row>
    <row r="975" spans="1:12" x14ac:dyDescent="0.3">
      <c r="A975" s="1">
        <v>1973</v>
      </c>
      <c r="B975" s="2">
        <v>44350</v>
      </c>
      <c r="C975" s="1" t="s">
        <v>21</v>
      </c>
      <c r="D975" s="1" t="s">
        <v>40</v>
      </c>
      <c r="E975" s="1" t="s">
        <v>16</v>
      </c>
      <c r="F975" s="1">
        <v>3250.71</v>
      </c>
      <c r="G975" s="1" t="s">
        <v>205</v>
      </c>
      <c r="H975" s="2">
        <v>27526</v>
      </c>
      <c r="I975" s="2">
        <v>44352</v>
      </c>
      <c r="J975" s="1">
        <v>38.67</v>
      </c>
      <c r="K975" s="4">
        <f t="shared" si="33"/>
        <v>1257.049557</v>
      </c>
      <c r="L975" s="4">
        <f t="shared" si="34"/>
        <v>1993.660443</v>
      </c>
    </row>
    <row r="976" spans="1:12" x14ac:dyDescent="0.3">
      <c r="A976" s="1">
        <v>1974</v>
      </c>
      <c r="B976" s="2">
        <v>44959</v>
      </c>
      <c r="C976" s="1" t="s">
        <v>21</v>
      </c>
      <c r="D976" s="1" t="s">
        <v>24</v>
      </c>
      <c r="E976" s="1" t="s">
        <v>19</v>
      </c>
      <c r="F976" s="1">
        <v>1777.81</v>
      </c>
      <c r="G976" s="1" t="s">
        <v>70</v>
      </c>
      <c r="H976" s="2">
        <v>30887</v>
      </c>
      <c r="I976" s="2">
        <v>44966</v>
      </c>
      <c r="J976" s="1">
        <v>36.43</v>
      </c>
      <c r="K976" s="4">
        <f t="shared" si="33"/>
        <v>647.65618300000006</v>
      </c>
      <c r="L976" s="4">
        <f t="shared" si="34"/>
        <v>1130.1538169999999</v>
      </c>
    </row>
    <row r="977" spans="1:12" x14ac:dyDescent="0.3">
      <c r="A977" s="1">
        <v>1975</v>
      </c>
      <c r="B977" s="2">
        <v>45826</v>
      </c>
      <c r="C977" s="1" t="s">
        <v>26</v>
      </c>
      <c r="D977" s="1" t="s">
        <v>11</v>
      </c>
      <c r="E977" s="1" t="s">
        <v>12</v>
      </c>
      <c r="F977" s="1">
        <v>3112.42</v>
      </c>
      <c r="G977" s="1" t="s">
        <v>124</v>
      </c>
      <c r="H977" s="2">
        <v>30786</v>
      </c>
      <c r="I977" s="2">
        <v>45830</v>
      </c>
      <c r="J977" s="1">
        <v>38.31</v>
      </c>
      <c r="K977" s="4">
        <f t="shared" si="33"/>
        <v>1192.3681019999999</v>
      </c>
      <c r="L977" s="4">
        <f t="shared" si="34"/>
        <v>1920.0518980000002</v>
      </c>
    </row>
    <row r="978" spans="1:12" x14ac:dyDescent="0.3">
      <c r="A978" s="1">
        <v>1976</v>
      </c>
      <c r="B978" s="2">
        <v>45528</v>
      </c>
      <c r="C978" s="1" t="s">
        <v>14</v>
      </c>
      <c r="D978" s="1" t="s">
        <v>30</v>
      </c>
      <c r="E978" s="1" t="s">
        <v>31</v>
      </c>
      <c r="F978" s="1">
        <v>1607.63</v>
      </c>
      <c r="G978" s="1" t="s">
        <v>328</v>
      </c>
      <c r="H978" s="2">
        <v>28863</v>
      </c>
      <c r="I978" s="2">
        <v>45536</v>
      </c>
      <c r="J978" s="1">
        <v>25.29</v>
      </c>
      <c r="K978" s="4">
        <f t="shared" si="33"/>
        <v>406.56962700000003</v>
      </c>
      <c r="L978" s="4">
        <f t="shared" si="34"/>
        <v>1201.060373</v>
      </c>
    </row>
    <row r="979" spans="1:12" x14ac:dyDescent="0.3">
      <c r="A979" s="1">
        <v>1977</v>
      </c>
      <c r="B979" s="2">
        <v>44608</v>
      </c>
      <c r="C979" s="1" t="s">
        <v>35</v>
      </c>
      <c r="D979" s="1" t="s">
        <v>38</v>
      </c>
      <c r="E979" s="1" t="s">
        <v>28</v>
      </c>
      <c r="F979" s="1">
        <v>4210.1099999999997</v>
      </c>
      <c r="G979" s="1" t="s">
        <v>93</v>
      </c>
      <c r="H979" s="2">
        <v>33984</v>
      </c>
      <c r="I979" s="2">
        <v>44611</v>
      </c>
      <c r="J979" s="1">
        <v>24.74</v>
      </c>
      <c r="K979" s="4">
        <f t="shared" si="33"/>
        <v>1041.5812139999998</v>
      </c>
      <c r="L979" s="4">
        <f t="shared" si="34"/>
        <v>3168.5287859999999</v>
      </c>
    </row>
    <row r="980" spans="1:12" x14ac:dyDescent="0.3">
      <c r="A980" s="1">
        <v>1978</v>
      </c>
      <c r="B980" s="2">
        <v>44677</v>
      </c>
      <c r="C980" s="1" t="s">
        <v>35</v>
      </c>
      <c r="D980" s="1" t="s">
        <v>22</v>
      </c>
      <c r="E980" s="1" t="s">
        <v>19</v>
      </c>
      <c r="F980" s="1">
        <v>1140.3699999999999</v>
      </c>
      <c r="G980" s="1" t="s">
        <v>327</v>
      </c>
      <c r="H980" s="2">
        <v>35343</v>
      </c>
      <c r="I980" s="2">
        <v>44680</v>
      </c>
      <c r="J980" s="1">
        <v>23.17</v>
      </c>
      <c r="K980" s="4">
        <f t="shared" si="33"/>
        <v>264.22372899999999</v>
      </c>
      <c r="L980" s="4">
        <f t="shared" si="34"/>
        <v>876.14627099999984</v>
      </c>
    </row>
    <row r="981" spans="1:12" x14ac:dyDescent="0.3">
      <c r="A981" s="1">
        <v>1979</v>
      </c>
      <c r="B981" s="2">
        <v>45714</v>
      </c>
      <c r="C981" s="1" t="s">
        <v>10</v>
      </c>
      <c r="D981" s="1" t="s">
        <v>55</v>
      </c>
      <c r="E981" s="1" t="s">
        <v>31</v>
      </c>
      <c r="F981" s="1">
        <v>3651.65</v>
      </c>
      <c r="G981" s="1" t="s">
        <v>295</v>
      </c>
      <c r="H981" s="2">
        <v>23369</v>
      </c>
      <c r="I981" s="2">
        <v>45723</v>
      </c>
      <c r="J981" s="1">
        <v>17.829999999999998</v>
      </c>
      <c r="K981" s="4">
        <f t="shared" si="33"/>
        <v>651.08919500000002</v>
      </c>
      <c r="L981" s="4">
        <f t="shared" si="34"/>
        <v>3000.5608050000001</v>
      </c>
    </row>
    <row r="982" spans="1:12" x14ac:dyDescent="0.3">
      <c r="A982" s="1">
        <v>1980</v>
      </c>
      <c r="B982" s="2">
        <v>44666</v>
      </c>
      <c r="C982" s="1" t="s">
        <v>21</v>
      </c>
      <c r="D982" s="1" t="s">
        <v>65</v>
      </c>
      <c r="E982" s="1" t="s">
        <v>19</v>
      </c>
      <c r="F982" s="1">
        <v>2249.48</v>
      </c>
      <c r="G982" s="1" t="s">
        <v>240</v>
      </c>
      <c r="H982" s="2">
        <v>38478</v>
      </c>
      <c r="I982" s="2">
        <v>44671</v>
      </c>
      <c r="J982" s="1">
        <v>8.68</v>
      </c>
      <c r="K982" s="4">
        <f t="shared" si="33"/>
        <v>195.254864</v>
      </c>
      <c r="L982" s="4">
        <f t="shared" si="34"/>
        <v>2054.225136</v>
      </c>
    </row>
    <row r="983" spans="1:12" x14ac:dyDescent="0.3">
      <c r="A983" s="1">
        <v>1981</v>
      </c>
      <c r="B983" s="2">
        <v>44517</v>
      </c>
      <c r="C983" s="1" t="s">
        <v>10</v>
      </c>
      <c r="D983" s="1" t="s">
        <v>58</v>
      </c>
      <c r="E983" s="1" t="s">
        <v>31</v>
      </c>
      <c r="F983" s="1">
        <v>572.61</v>
      </c>
      <c r="G983" s="1" t="s">
        <v>228</v>
      </c>
      <c r="H983" s="2">
        <v>25811</v>
      </c>
      <c r="I983" s="2">
        <v>44521</v>
      </c>
      <c r="J983" s="1">
        <v>17.8</v>
      </c>
      <c r="K983" s="4">
        <f t="shared" si="33"/>
        <v>101.92458000000002</v>
      </c>
      <c r="L983" s="4">
        <f t="shared" si="34"/>
        <v>470.68542000000002</v>
      </c>
    </row>
    <row r="984" spans="1:12" x14ac:dyDescent="0.3">
      <c r="A984" s="1">
        <v>1982</v>
      </c>
      <c r="B984" s="2">
        <v>44780</v>
      </c>
      <c r="C984" s="1" t="s">
        <v>21</v>
      </c>
      <c r="D984" s="1" t="s">
        <v>24</v>
      </c>
      <c r="E984" s="1" t="s">
        <v>19</v>
      </c>
      <c r="F984" s="1">
        <v>3738.45</v>
      </c>
      <c r="G984" s="1" t="s">
        <v>287</v>
      </c>
      <c r="H984" s="2">
        <v>36329</v>
      </c>
      <c r="I984" s="2">
        <v>44783</v>
      </c>
      <c r="J984" s="1">
        <v>40.39</v>
      </c>
      <c r="K984" s="4">
        <f t="shared" si="33"/>
        <v>1509.9599549999998</v>
      </c>
      <c r="L984" s="4">
        <f t="shared" si="34"/>
        <v>2228.490045</v>
      </c>
    </row>
    <row r="985" spans="1:12" x14ac:dyDescent="0.3">
      <c r="A985" s="1">
        <v>1983</v>
      </c>
      <c r="B985" s="2">
        <v>45556</v>
      </c>
      <c r="C985" s="1" t="s">
        <v>10</v>
      </c>
      <c r="D985" s="1" t="s">
        <v>47</v>
      </c>
      <c r="E985" s="1" t="s">
        <v>12</v>
      </c>
      <c r="F985" s="1">
        <v>2860.02</v>
      </c>
      <c r="G985" s="1" t="s">
        <v>309</v>
      </c>
      <c r="H985" s="2">
        <v>23838</v>
      </c>
      <c r="I985" s="2">
        <v>45568</v>
      </c>
      <c r="J985" s="1">
        <v>9.4600000000000009</v>
      </c>
      <c r="K985" s="4">
        <f t="shared" si="33"/>
        <v>270.55789199999998</v>
      </c>
      <c r="L985" s="4">
        <f t="shared" si="34"/>
        <v>2589.4621080000002</v>
      </c>
    </row>
    <row r="986" spans="1:12" x14ac:dyDescent="0.3">
      <c r="A986" s="1">
        <v>1984</v>
      </c>
      <c r="B986" s="2">
        <v>44207</v>
      </c>
      <c r="C986" s="1" t="s">
        <v>10</v>
      </c>
      <c r="D986" s="1" t="s">
        <v>24</v>
      </c>
      <c r="E986" s="1" t="s">
        <v>19</v>
      </c>
      <c r="F986" s="1">
        <v>2382.77</v>
      </c>
      <c r="G986" s="1" t="s">
        <v>269</v>
      </c>
      <c r="H986" s="2">
        <v>30976</v>
      </c>
      <c r="I986" s="2">
        <v>44210</v>
      </c>
      <c r="J986" s="1">
        <v>28.79</v>
      </c>
      <c r="K986" s="4">
        <f t="shared" si="33"/>
        <v>685.99948299999994</v>
      </c>
      <c r="L986" s="4">
        <f t="shared" si="34"/>
        <v>1696.7705169999999</v>
      </c>
    </row>
    <row r="987" spans="1:12" x14ac:dyDescent="0.3">
      <c r="A987" s="1">
        <v>1985</v>
      </c>
      <c r="B987" s="2">
        <v>45108</v>
      </c>
      <c r="C987" s="1" t="s">
        <v>14</v>
      </c>
      <c r="D987" s="1" t="s">
        <v>24</v>
      </c>
      <c r="E987" s="1" t="s">
        <v>19</v>
      </c>
      <c r="F987" s="1">
        <v>2464.46</v>
      </c>
      <c r="G987" s="1" t="s">
        <v>304</v>
      </c>
      <c r="H987" s="2">
        <v>36246</v>
      </c>
      <c r="I987" s="2">
        <v>45111</v>
      </c>
      <c r="J987" s="1">
        <v>20.329999999999998</v>
      </c>
      <c r="K987" s="4">
        <f t="shared" si="33"/>
        <v>501.02471799999995</v>
      </c>
      <c r="L987" s="4">
        <f t="shared" si="34"/>
        <v>1963.4352820000001</v>
      </c>
    </row>
    <row r="988" spans="1:12" x14ac:dyDescent="0.3">
      <c r="A988" s="1">
        <v>1986</v>
      </c>
      <c r="B988" s="2">
        <v>45000</v>
      </c>
      <c r="C988" s="1" t="s">
        <v>21</v>
      </c>
      <c r="D988" s="1" t="s">
        <v>102</v>
      </c>
      <c r="E988" s="1" t="s">
        <v>12</v>
      </c>
      <c r="F988" s="1">
        <v>468.69</v>
      </c>
      <c r="G988" s="1" t="s">
        <v>216</v>
      </c>
      <c r="H988" s="2">
        <v>31419</v>
      </c>
      <c r="I988" s="2">
        <v>45014</v>
      </c>
      <c r="J988" s="1">
        <v>46.49</v>
      </c>
      <c r="K988" s="4">
        <f t="shared" si="33"/>
        <v>217.89398100000003</v>
      </c>
      <c r="L988" s="4">
        <f t="shared" si="34"/>
        <v>250.79601899999997</v>
      </c>
    </row>
    <row r="989" spans="1:12" x14ac:dyDescent="0.3">
      <c r="A989" s="1">
        <v>1987</v>
      </c>
      <c r="B989" s="2">
        <v>45619</v>
      </c>
      <c r="C989" s="1" t="s">
        <v>35</v>
      </c>
      <c r="D989" s="1" t="s">
        <v>71</v>
      </c>
      <c r="E989" s="1" t="s">
        <v>31</v>
      </c>
      <c r="F989" s="1">
        <v>677.56</v>
      </c>
      <c r="G989" s="1" t="s">
        <v>139</v>
      </c>
      <c r="H989" s="2">
        <v>29381</v>
      </c>
      <c r="I989" s="2">
        <v>45621</v>
      </c>
      <c r="J989" s="1">
        <v>37.049999999999997</v>
      </c>
      <c r="K989" s="4">
        <f t="shared" si="33"/>
        <v>251.03597999999997</v>
      </c>
      <c r="L989" s="4">
        <f t="shared" si="34"/>
        <v>426.52401999999995</v>
      </c>
    </row>
    <row r="990" spans="1:12" x14ac:dyDescent="0.3">
      <c r="A990" s="1">
        <v>1988</v>
      </c>
      <c r="B990" s="2">
        <v>44777</v>
      </c>
      <c r="C990" s="1" t="s">
        <v>21</v>
      </c>
      <c r="D990" s="1" t="s">
        <v>88</v>
      </c>
      <c r="E990" s="1" t="s">
        <v>16</v>
      </c>
      <c r="F990" s="1">
        <v>2122.41</v>
      </c>
      <c r="G990" s="1" t="s">
        <v>173</v>
      </c>
      <c r="H990" s="2">
        <v>22016</v>
      </c>
      <c r="I990" s="2">
        <v>44791</v>
      </c>
      <c r="J990" s="1">
        <v>16.09</v>
      </c>
      <c r="K990" s="4">
        <f t="shared" si="33"/>
        <v>341.49576899999994</v>
      </c>
      <c r="L990" s="4">
        <f t="shared" si="34"/>
        <v>1780.914231</v>
      </c>
    </row>
    <row r="991" spans="1:12" x14ac:dyDescent="0.3">
      <c r="A991" s="1">
        <v>1989</v>
      </c>
      <c r="B991" s="2">
        <v>45091</v>
      </c>
      <c r="C991" s="1" t="s">
        <v>10</v>
      </c>
      <c r="D991" s="1" t="s">
        <v>102</v>
      </c>
      <c r="E991" s="1" t="s">
        <v>12</v>
      </c>
      <c r="F991" s="1">
        <v>3431.74</v>
      </c>
      <c r="G991" s="1" t="s">
        <v>151</v>
      </c>
      <c r="H991" s="2">
        <v>34427</v>
      </c>
      <c r="I991" s="2">
        <v>45093</v>
      </c>
      <c r="J991" s="1">
        <v>31.94</v>
      </c>
      <c r="K991" s="4">
        <f t="shared" si="33"/>
        <v>1096.0977559999999</v>
      </c>
      <c r="L991" s="4">
        <f t="shared" si="34"/>
        <v>2335.6422439999997</v>
      </c>
    </row>
    <row r="992" spans="1:12" x14ac:dyDescent="0.3">
      <c r="A992" s="1">
        <v>1990</v>
      </c>
      <c r="B992" s="2">
        <v>45222</v>
      </c>
      <c r="C992" s="1" t="s">
        <v>10</v>
      </c>
      <c r="D992" s="1" t="s">
        <v>53</v>
      </c>
      <c r="E992" s="1" t="s">
        <v>28</v>
      </c>
      <c r="F992" s="1">
        <v>4273.12</v>
      </c>
      <c r="G992" s="1" t="s">
        <v>244</v>
      </c>
      <c r="H992" s="2">
        <v>30356</v>
      </c>
      <c r="I992" s="2">
        <v>45232</v>
      </c>
      <c r="J992" s="1">
        <v>36.299999999999997</v>
      </c>
      <c r="K992" s="4">
        <f t="shared" si="33"/>
        <v>1551.14256</v>
      </c>
      <c r="L992" s="4">
        <f t="shared" si="34"/>
        <v>2721.9774399999997</v>
      </c>
    </row>
    <row r="993" spans="1:12" x14ac:dyDescent="0.3">
      <c r="A993" s="1">
        <v>1991</v>
      </c>
      <c r="B993" s="2">
        <v>44469</v>
      </c>
      <c r="C993" s="1" t="s">
        <v>14</v>
      </c>
      <c r="D993" s="1" t="s">
        <v>47</v>
      </c>
      <c r="E993" s="1" t="s">
        <v>12</v>
      </c>
      <c r="F993" s="1">
        <v>1021.17</v>
      </c>
      <c r="G993" s="1" t="s">
        <v>62</v>
      </c>
      <c r="H993" s="2">
        <v>22870</v>
      </c>
      <c r="I993" s="2">
        <v>44478</v>
      </c>
      <c r="J993" s="1">
        <v>22.08</v>
      </c>
      <c r="K993" s="4">
        <f t="shared" si="33"/>
        <v>225.47433599999999</v>
      </c>
      <c r="L993" s="4">
        <f t="shared" si="34"/>
        <v>795.69566399999997</v>
      </c>
    </row>
    <row r="994" spans="1:12" x14ac:dyDescent="0.3">
      <c r="A994" s="1">
        <v>1992</v>
      </c>
      <c r="B994" s="2">
        <v>45185</v>
      </c>
      <c r="C994" s="1" t="s">
        <v>21</v>
      </c>
      <c r="D994" s="1" t="s">
        <v>27</v>
      </c>
      <c r="E994" s="1" t="s">
        <v>28</v>
      </c>
      <c r="F994" s="1">
        <v>810.89</v>
      </c>
      <c r="G994" s="1" t="s">
        <v>198</v>
      </c>
      <c r="H994" s="2">
        <v>31598</v>
      </c>
      <c r="I994" s="2">
        <v>45196</v>
      </c>
      <c r="J994" s="1">
        <v>1.1100000000000001</v>
      </c>
      <c r="K994" s="4">
        <f t="shared" si="33"/>
        <v>9.0008789999999994</v>
      </c>
      <c r="L994" s="4">
        <f t="shared" si="34"/>
        <v>801.88912099999993</v>
      </c>
    </row>
    <row r="995" spans="1:12" x14ac:dyDescent="0.3">
      <c r="A995" s="1">
        <v>1993</v>
      </c>
      <c r="B995" s="2">
        <v>44395</v>
      </c>
      <c r="C995" s="1" t="s">
        <v>21</v>
      </c>
      <c r="D995" s="1" t="s">
        <v>58</v>
      </c>
      <c r="E995" s="1" t="s">
        <v>31</v>
      </c>
      <c r="F995" s="1">
        <v>2747.73</v>
      </c>
      <c r="G995" s="1" t="s">
        <v>193</v>
      </c>
      <c r="H995" s="2">
        <v>26082</v>
      </c>
      <c r="I995" s="2">
        <v>44409</v>
      </c>
      <c r="J995" s="1">
        <v>27.71</v>
      </c>
      <c r="K995" s="4">
        <f t="shared" si="33"/>
        <v>761.395983</v>
      </c>
      <c r="L995" s="4">
        <f t="shared" si="34"/>
        <v>1986.3340170000001</v>
      </c>
    </row>
    <row r="996" spans="1:12" x14ac:dyDescent="0.3">
      <c r="A996" s="1">
        <v>1994</v>
      </c>
      <c r="B996" s="2">
        <v>44922</v>
      </c>
      <c r="C996" s="1" t="s">
        <v>35</v>
      </c>
      <c r="D996" s="1" t="s">
        <v>69</v>
      </c>
      <c r="E996" s="1" t="s">
        <v>31</v>
      </c>
      <c r="F996" s="1">
        <v>3679.17</v>
      </c>
      <c r="G996" s="1" t="s">
        <v>202</v>
      </c>
      <c r="H996" s="2">
        <v>24802</v>
      </c>
      <c r="I996" s="2">
        <v>44936</v>
      </c>
      <c r="J996" s="1">
        <v>11.92</v>
      </c>
      <c r="K996" s="4">
        <f t="shared" si="33"/>
        <v>438.55706400000003</v>
      </c>
      <c r="L996" s="4">
        <f t="shared" si="34"/>
        <v>3240.612936</v>
      </c>
    </row>
    <row r="997" spans="1:12" x14ac:dyDescent="0.3">
      <c r="A997" s="1">
        <v>1995</v>
      </c>
      <c r="B997" s="2">
        <v>44137</v>
      </c>
      <c r="C997" s="1" t="s">
        <v>14</v>
      </c>
      <c r="D997" s="1" t="s">
        <v>38</v>
      </c>
      <c r="E997" s="1" t="s">
        <v>28</v>
      </c>
      <c r="F997" s="1">
        <v>2082.8000000000002</v>
      </c>
      <c r="G997" s="1" t="s">
        <v>75</v>
      </c>
      <c r="H997" s="2">
        <v>25853</v>
      </c>
      <c r="I997" s="2">
        <v>44146</v>
      </c>
      <c r="J997" s="1">
        <v>30.49</v>
      </c>
      <c r="K997" s="4">
        <f t="shared" si="33"/>
        <v>635.04572000000007</v>
      </c>
      <c r="L997" s="4">
        <f t="shared" si="34"/>
        <v>1447.7542800000001</v>
      </c>
    </row>
    <row r="998" spans="1:12" x14ac:dyDescent="0.3">
      <c r="A998" s="1">
        <v>1996</v>
      </c>
      <c r="B998" s="2">
        <v>45720</v>
      </c>
      <c r="C998" s="1" t="s">
        <v>21</v>
      </c>
      <c r="D998" s="1" t="s">
        <v>65</v>
      </c>
      <c r="E998" s="1" t="s">
        <v>19</v>
      </c>
      <c r="F998" s="1">
        <v>339.6</v>
      </c>
      <c r="G998" s="1" t="s">
        <v>66</v>
      </c>
      <c r="H998" s="2">
        <v>33192</v>
      </c>
      <c r="I998" s="2">
        <v>45730</v>
      </c>
      <c r="J998" s="1">
        <v>41.36</v>
      </c>
      <c r="K998" s="4">
        <f t="shared" si="33"/>
        <v>140.45856000000001</v>
      </c>
      <c r="L998" s="4">
        <f t="shared" si="34"/>
        <v>199.14144000000002</v>
      </c>
    </row>
    <row r="999" spans="1:12" x14ac:dyDescent="0.3">
      <c r="A999" s="1">
        <v>1997</v>
      </c>
      <c r="B999" s="2">
        <v>44735</v>
      </c>
      <c r="C999" s="1" t="s">
        <v>26</v>
      </c>
      <c r="D999" s="1" t="s">
        <v>49</v>
      </c>
      <c r="E999" s="1" t="s">
        <v>12</v>
      </c>
      <c r="F999" s="1">
        <v>3798.58</v>
      </c>
      <c r="G999" s="1" t="s">
        <v>256</v>
      </c>
      <c r="H999" s="2">
        <v>34537</v>
      </c>
      <c r="I999" s="2">
        <v>44746</v>
      </c>
      <c r="J999" s="1">
        <v>1.3</v>
      </c>
      <c r="K999" s="4">
        <f t="shared" si="33"/>
        <v>49.381540000000001</v>
      </c>
      <c r="L999" s="4">
        <f t="shared" si="34"/>
        <v>3749.1984600000001</v>
      </c>
    </row>
    <row r="1000" spans="1:12" x14ac:dyDescent="0.3">
      <c r="A1000" s="1">
        <v>1998</v>
      </c>
      <c r="B1000" s="2">
        <v>45399</v>
      </c>
      <c r="C1000" s="1" t="s">
        <v>14</v>
      </c>
      <c r="D1000" s="1" t="s">
        <v>18</v>
      </c>
      <c r="E1000" s="1" t="s">
        <v>19</v>
      </c>
      <c r="F1000" s="1">
        <v>2405.3000000000002</v>
      </c>
      <c r="G1000" s="1" t="s">
        <v>20</v>
      </c>
      <c r="H1000" s="2">
        <v>24232</v>
      </c>
      <c r="I1000" s="2">
        <v>45405</v>
      </c>
      <c r="J1000" s="1">
        <v>14.82</v>
      </c>
      <c r="K1000" s="4">
        <f t="shared" si="33"/>
        <v>356.46546000000001</v>
      </c>
      <c r="L1000" s="4">
        <f t="shared" si="34"/>
        <v>2048.8345400000003</v>
      </c>
    </row>
    <row r="1001" spans="1:12" x14ac:dyDescent="0.3">
      <c r="A1001" s="1">
        <v>1999</v>
      </c>
      <c r="B1001" s="2">
        <v>44652</v>
      </c>
      <c r="C1001" s="1" t="s">
        <v>35</v>
      </c>
      <c r="D1001" s="1" t="s">
        <v>30</v>
      </c>
      <c r="E1001" s="1" t="s">
        <v>31</v>
      </c>
      <c r="F1001" s="1">
        <v>964.49</v>
      </c>
      <c r="G1001" s="1" t="s">
        <v>112</v>
      </c>
      <c r="H1001" s="2">
        <v>38171</v>
      </c>
      <c r="I1001" s="2">
        <v>44664</v>
      </c>
      <c r="J1001" s="1">
        <v>32.28</v>
      </c>
      <c r="K1001" s="4">
        <f t="shared" si="33"/>
        <v>311.33737200000002</v>
      </c>
      <c r="L1001" s="4">
        <f t="shared" si="34"/>
        <v>653.15262800000005</v>
      </c>
    </row>
  </sheetData>
  <autoFilter ref="A1:L1001" xr:uid="{85A2DE4B-841A-4907-8EA0-437BA0F23A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3FCA-B934-4C4A-9ED3-12315CD6D48A}">
  <dimension ref="A1:AF1001"/>
  <sheetViews>
    <sheetView topLeftCell="F1" zoomScale="128" workbookViewId="0">
      <selection activeCell="Q5" sqref="Q5"/>
    </sheetView>
  </sheetViews>
  <sheetFormatPr defaultRowHeight="14.4" x14ac:dyDescent="0.3"/>
  <cols>
    <col min="1" max="1" width="8.5546875" bestFit="1" customWidth="1"/>
    <col min="2" max="2" width="11.21875" bestFit="1" customWidth="1"/>
    <col min="3" max="3" width="7.77734375" bestFit="1" customWidth="1"/>
    <col min="4" max="4" width="14.77734375" bestFit="1" customWidth="1"/>
    <col min="5" max="5" width="12.6640625" bestFit="1" customWidth="1"/>
    <col min="6" max="6" width="12.33203125" bestFit="1" customWidth="1"/>
    <col min="7" max="7" width="22.6640625" bestFit="1" customWidth="1"/>
    <col min="8" max="8" width="11.21875" bestFit="1" customWidth="1"/>
    <col min="9" max="9" width="13.5546875" bestFit="1" customWidth="1"/>
    <col min="10" max="10" width="11" bestFit="1" customWidth="1"/>
    <col min="11" max="11" width="14.77734375" bestFit="1" customWidth="1"/>
    <col min="12" max="12" width="9.44140625" bestFit="1" customWidth="1"/>
    <col min="16" max="16" width="17.44140625" bestFit="1" customWidth="1"/>
    <col min="17" max="20" width="8.21875" bestFit="1" customWidth="1"/>
    <col min="21" max="21" width="9.44140625" bestFit="1" customWidth="1"/>
    <col min="23" max="23" width="17.44140625" bestFit="1" customWidth="1"/>
    <col min="24" max="24" width="7.109375" bestFit="1" customWidth="1"/>
    <col min="25" max="25" width="7.44140625" bestFit="1" customWidth="1"/>
    <col min="26" max="26" width="8" bestFit="1" customWidth="1"/>
    <col min="27" max="27" width="6.33203125" bestFit="1" customWidth="1"/>
    <col min="28" max="28" width="9.4414062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329</v>
      </c>
      <c r="L1" s="1" t="s">
        <v>330</v>
      </c>
      <c r="P1" s="9" t="s">
        <v>334</v>
      </c>
      <c r="Q1" s="10"/>
      <c r="R1" s="10"/>
      <c r="S1" s="10"/>
      <c r="T1" s="10"/>
      <c r="U1" s="10"/>
      <c r="W1" s="9" t="s">
        <v>333</v>
      </c>
      <c r="X1" s="10"/>
      <c r="Y1" s="10"/>
      <c r="Z1" s="10"/>
      <c r="AA1" s="10"/>
      <c r="AB1" s="10"/>
    </row>
    <row r="2" spans="1:32" x14ac:dyDescent="0.3">
      <c r="A2" s="1">
        <v>1000</v>
      </c>
      <c r="B2" s="2">
        <v>44474</v>
      </c>
      <c r="C2" s="1" t="s">
        <v>10</v>
      </c>
      <c r="D2" s="1" t="s">
        <v>11</v>
      </c>
      <c r="E2" s="1" t="s">
        <v>12</v>
      </c>
      <c r="F2" s="1">
        <v>631.19000000000005</v>
      </c>
      <c r="G2" s="1" t="s">
        <v>13</v>
      </c>
      <c r="H2" s="2">
        <v>24348</v>
      </c>
      <c r="I2" s="2">
        <v>44481</v>
      </c>
      <c r="J2" s="1">
        <v>23.27</v>
      </c>
      <c r="K2" s="4">
        <f>F2*J2%</f>
        <v>146.87791300000001</v>
      </c>
      <c r="L2" s="4">
        <f>F2-K2</f>
        <v>484.31208700000002</v>
      </c>
      <c r="P2" s="10"/>
      <c r="Q2" s="10"/>
      <c r="R2" s="10"/>
      <c r="S2" s="10"/>
      <c r="T2" s="10"/>
      <c r="U2" s="10"/>
      <c r="W2" s="10"/>
      <c r="X2" s="10"/>
      <c r="Y2" s="10"/>
      <c r="Z2" s="10"/>
      <c r="AA2" s="10"/>
      <c r="AB2" s="10"/>
    </row>
    <row r="3" spans="1:32" x14ac:dyDescent="0.3">
      <c r="A3" s="1">
        <v>1001</v>
      </c>
      <c r="B3" s="2">
        <v>44531</v>
      </c>
      <c r="C3" s="1" t="s">
        <v>14</v>
      </c>
      <c r="D3" s="1" t="s">
        <v>15</v>
      </c>
      <c r="E3" s="1" t="s">
        <v>16</v>
      </c>
      <c r="F3" s="1">
        <v>2524.6</v>
      </c>
      <c r="G3" s="1" t="s">
        <v>17</v>
      </c>
      <c r="H3" s="2">
        <v>26484</v>
      </c>
      <c r="I3" s="2">
        <v>44540</v>
      </c>
      <c r="J3" s="1">
        <v>32.72</v>
      </c>
      <c r="K3" s="4">
        <f t="shared" ref="K3:K66" si="0">F3*J3%</f>
        <v>826.0491199999999</v>
      </c>
      <c r="L3" s="4">
        <f t="shared" ref="L3:L66" si="1">F3-K3</f>
        <v>1698.55088</v>
      </c>
      <c r="P3" s="11"/>
      <c r="Q3" s="11"/>
      <c r="R3" s="11"/>
      <c r="S3" s="11"/>
      <c r="T3" s="11"/>
      <c r="U3" s="11"/>
      <c r="W3" s="11"/>
      <c r="X3" s="11"/>
      <c r="Y3" s="11"/>
      <c r="Z3" s="11"/>
      <c r="AA3" s="11"/>
      <c r="AB3" s="11"/>
    </row>
    <row r="4" spans="1:32" x14ac:dyDescent="0.3">
      <c r="A4" s="1">
        <v>1002</v>
      </c>
      <c r="B4" s="2">
        <v>45090</v>
      </c>
      <c r="C4" s="1" t="s">
        <v>14</v>
      </c>
      <c r="D4" s="1" t="s">
        <v>18</v>
      </c>
      <c r="E4" s="1" t="s">
        <v>19</v>
      </c>
      <c r="F4" s="1">
        <v>4796.1499999999996</v>
      </c>
      <c r="G4" s="1" t="s">
        <v>20</v>
      </c>
      <c r="H4" s="2">
        <v>24232</v>
      </c>
      <c r="I4" s="2">
        <v>45100</v>
      </c>
      <c r="J4" s="1">
        <v>37.94</v>
      </c>
      <c r="K4" s="4">
        <f t="shared" si="0"/>
        <v>1819.6593099999998</v>
      </c>
      <c r="L4" s="4">
        <f t="shared" si="1"/>
        <v>2976.4906899999996</v>
      </c>
      <c r="P4" s="7" t="s">
        <v>331</v>
      </c>
      <c r="Q4" s="7" t="s">
        <v>10</v>
      </c>
      <c r="R4" s="7" t="s">
        <v>14</v>
      </c>
      <c r="S4" s="7" t="s">
        <v>21</v>
      </c>
      <c r="T4" s="7" t="s">
        <v>26</v>
      </c>
      <c r="U4" s="7" t="s">
        <v>35</v>
      </c>
      <c r="W4" s="7" t="s">
        <v>331</v>
      </c>
      <c r="X4" s="7" t="s">
        <v>10</v>
      </c>
      <c r="Y4" s="7" t="s">
        <v>14</v>
      </c>
      <c r="Z4" s="7" t="s">
        <v>21</v>
      </c>
      <c r="AA4" s="7" t="s">
        <v>26</v>
      </c>
      <c r="AB4" s="7" t="s">
        <v>35</v>
      </c>
    </row>
    <row r="5" spans="1:32" x14ac:dyDescent="0.3">
      <c r="A5" s="1">
        <v>1003</v>
      </c>
      <c r="B5" s="2">
        <v>45255</v>
      </c>
      <c r="C5" s="1" t="s">
        <v>21</v>
      </c>
      <c r="D5" s="1" t="s">
        <v>22</v>
      </c>
      <c r="E5" s="1" t="s">
        <v>19</v>
      </c>
      <c r="F5" s="1">
        <v>2768.66</v>
      </c>
      <c r="G5" s="1" t="s">
        <v>23</v>
      </c>
      <c r="H5" s="2">
        <v>38378</v>
      </c>
      <c r="I5" s="2">
        <v>45261</v>
      </c>
      <c r="J5" s="1">
        <v>2.4500000000000002</v>
      </c>
      <c r="K5" s="4">
        <f t="shared" si="0"/>
        <v>67.832170000000005</v>
      </c>
      <c r="L5" s="4">
        <f t="shared" si="1"/>
        <v>2700.8278299999997</v>
      </c>
      <c r="P5" s="8" t="s">
        <v>11</v>
      </c>
      <c r="Q5" s="5">
        <f t="shared" ref="Q5:U14" si="2">SUMIFS($L$2:$L$1001,$D$2:$D$1001,$P5,$C$2:$C$1001,Q$4)</f>
        <v>16463.153532</v>
      </c>
      <c r="R5" s="5">
        <f t="shared" si="2"/>
        <v>15952.317431999998</v>
      </c>
      <c r="S5" s="5">
        <f t="shared" si="2"/>
        <v>18275.402972999997</v>
      </c>
      <c r="T5" s="5">
        <f t="shared" si="2"/>
        <v>13822.783797</v>
      </c>
      <c r="U5" s="5">
        <f t="shared" si="2"/>
        <v>22113.890039999998</v>
      </c>
      <c r="W5" s="8" t="s">
        <v>11</v>
      </c>
      <c r="X5" s="6">
        <f>COUNTIFS($D$2:$D$1001,$W5,$C$2:$C$1001,X$4)</f>
        <v>11</v>
      </c>
      <c r="Y5" s="6">
        <f t="shared" ref="Y5:AB20" si="3">COUNTIFS($D$2:$D$1001,$W5,$C$2:$C$1001,Y$4)</f>
        <v>8</v>
      </c>
      <c r="Z5" s="6">
        <f t="shared" si="3"/>
        <v>12</v>
      </c>
      <c r="AA5" s="6">
        <f t="shared" si="3"/>
        <v>6</v>
      </c>
      <c r="AB5" s="6">
        <f t="shared" si="3"/>
        <v>10</v>
      </c>
      <c r="AF5" cm="1">
        <f t="array" ref="AF5">SUM(_xlfn._xlws.FILTER(L2:L1001,L2:L1001&gt;1000))</f>
        <v>1738133.381717999</v>
      </c>
    </row>
    <row r="6" spans="1:32" x14ac:dyDescent="0.3">
      <c r="A6" s="1">
        <v>1004</v>
      </c>
      <c r="B6" s="2">
        <v>44906</v>
      </c>
      <c r="C6" s="1" t="s">
        <v>14</v>
      </c>
      <c r="D6" s="1" t="s">
        <v>24</v>
      </c>
      <c r="E6" s="1" t="s">
        <v>19</v>
      </c>
      <c r="F6" s="1">
        <v>3730.38</v>
      </c>
      <c r="G6" s="1" t="s">
        <v>25</v>
      </c>
      <c r="H6" s="2">
        <v>33386</v>
      </c>
      <c r="I6" s="2">
        <v>44915</v>
      </c>
      <c r="J6" s="1">
        <v>39.65</v>
      </c>
      <c r="K6" s="4">
        <f t="shared" si="0"/>
        <v>1479.0956699999999</v>
      </c>
      <c r="L6" s="4">
        <f t="shared" si="1"/>
        <v>2251.2843300000004</v>
      </c>
      <c r="P6" s="8" t="s">
        <v>15</v>
      </c>
      <c r="Q6" s="5">
        <f t="shared" si="2"/>
        <v>21116.544680999999</v>
      </c>
      <c r="R6" s="5">
        <f t="shared" si="2"/>
        <v>20435.280376999999</v>
      </c>
      <c r="S6" s="5">
        <f t="shared" si="2"/>
        <v>12599.487802000001</v>
      </c>
      <c r="T6" s="5">
        <f t="shared" si="2"/>
        <v>11797.819992000001</v>
      </c>
      <c r="U6" s="5">
        <f t="shared" si="2"/>
        <v>9868.5469329999996</v>
      </c>
      <c r="W6" s="8" t="s">
        <v>15</v>
      </c>
      <c r="X6" s="6">
        <f t="shared" ref="X6:AB28" si="4">COUNTIFS($D$2:$D$1001,$W6,$C$2:$C$1001,X$4)</f>
        <v>11</v>
      </c>
      <c r="Y6" s="6">
        <f t="shared" si="3"/>
        <v>10</v>
      </c>
      <c r="Z6" s="6">
        <f t="shared" si="3"/>
        <v>6</v>
      </c>
      <c r="AA6" s="6">
        <f t="shared" si="3"/>
        <v>7</v>
      </c>
      <c r="AB6" s="6">
        <f t="shared" si="3"/>
        <v>6</v>
      </c>
    </row>
    <row r="7" spans="1:32" x14ac:dyDescent="0.3">
      <c r="A7" s="1">
        <v>1005</v>
      </c>
      <c r="B7" s="2">
        <v>45350</v>
      </c>
      <c r="C7" s="1" t="s">
        <v>26</v>
      </c>
      <c r="D7" s="1" t="s">
        <v>27</v>
      </c>
      <c r="E7" s="1" t="s">
        <v>28</v>
      </c>
      <c r="F7" s="1">
        <v>393.8</v>
      </c>
      <c r="G7" s="1" t="s">
        <v>29</v>
      </c>
      <c r="H7" s="2">
        <v>24033</v>
      </c>
      <c r="I7" s="2">
        <v>45364</v>
      </c>
      <c r="J7" s="1">
        <v>7.32</v>
      </c>
      <c r="K7" s="4">
        <f t="shared" si="0"/>
        <v>28.826160000000002</v>
      </c>
      <c r="L7" s="4">
        <f t="shared" si="1"/>
        <v>364.97384</v>
      </c>
      <c r="P7" s="8" t="s">
        <v>18</v>
      </c>
      <c r="Q7" s="5">
        <f t="shared" si="2"/>
        <v>8700.0212389999997</v>
      </c>
      <c r="R7" s="5">
        <f t="shared" si="2"/>
        <v>18426.055741</v>
      </c>
      <c r="S7" s="5">
        <f t="shared" si="2"/>
        <v>12136.505643000002</v>
      </c>
      <c r="T7" s="5">
        <f t="shared" si="2"/>
        <v>12013.589629000002</v>
      </c>
      <c r="U7" s="5">
        <f t="shared" si="2"/>
        <v>15877.998234999997</v>
      </c>
      <c r="W7" s="8" t="s">
        <v>18</v>
      </c>
      <c r="X7" s="6">
        <f t="shared" si="4"/>
        <v>4</v>
      </c>
      <c r="Y7" s="6">
        <f t="shared" si="3"/>
        <v>11</v>
      </c>
      <c r="Z7" s="6">
        <f t="shared" si="3"/>
        <v>6</v>
      </c>
      <c r="AA7" s="6">
        <f t="shared" si="3"/>
        <v>7</v>
      </c>
      <c r="AB7" s="6">
        <f t="shared" si="3"/>
        <v>10</v>
      </c>
    </row>
    <row r="8" spans="1:32" x14ac:dyDescent="0.3">
      <c r="A8" s="1">
        <v>1006</v>
      </c>
      <c r="B8" s="2">
        <v>45582</v>
      </c>
      <c r="C8" s="1" t="s">
        <v>10</v>
      </c>
      <c r="D8" s="1" t="s">
        <v>30</v>
      </c>
      <c r="E8" s="1" t="s">
        <v>31</v>
      </c>
      <c r="F8" s="1">
        <v>1661.65</v>
      </c>
      <c r="G8" s="1" t="s">
        <v>32</v>
      </c>
      <c r="H8" s="2">
        <v>27166</v>
      </c>
      <c r="I8" s="2">
        <v>45596</v>
      </c>
      <c r="J8" s="1">
        <v>23.68</v>
      </c>
      <c r="K8" s="4">
        <f t="shared" si="0"/>
        <v>393.47872000000007</v>
      </c>
      <c r="L8" s="4">
        <f t="shared" si="1"/>
        <v>1268.17128</v>
      </c>
      <c r="P8" s="8" t="s">
        <v>22</v>
      </c>
      <c r="Q8" s="5">
        <f t="shared" si="2"/>
        <v>13574.051336</v>
      </c>
      <c r="R8" s="5">
        <f t="shared" si="2"/>
        <v>17898.582703</v>
      </c>
      <c r="S8" s="5">
        <f t="shared" si="2"/>
        <v>31758.806628000006</v>
      </c>
      <c r="T8" s="5">
        <f t="shared" si="2"/>
        <v>10387.250131000001</v>
      </c>
      <c r="U8" s="5">
        <f t="shared" si="2"/>
        <v>12444.513693000001</v>
      </c>
      <c r="W8" s="8" t="s">
        <v>22</v>
      </c>
      <c r="X8" s="6">
        <f t="shared" si="4"/>
        <v>8</v>
      </c>
      <c r="Y8" s="6">
        <f t="shared" si="3"/>
        <v>8</v>
      </c>
      <c r="Z8" s="6">
        <f t="shared" si="3"/>
        <v>12</v>
      </c>
      <c r="AA8" s="6">
        <f t="shared" si="3"/>
        <v>7</v>
      </c>
      <c r="AB8" s="6">
        <f t="shared" si="3"/>
        <v>7</v>
      </c>
    </row>
    <row r="9" spans="1:32" x14ac:dyDescent="0.3">
      <c r="A9" s="1">
        <v>1007</v>
      </c>
      <c r="B9" s="2">
        <v>45601</v>
      </c>
      <c r="C9" s="1" t="s">
        <v>21</v>
      </c>
      <c r="D9" s="1" t="s">
        <v>33</v>
      </c>
      <c r="E9" s="1" t="s">
        <v>16</v>
      </c>
      <c r="F9" s="1">
        <v>1343.23</v>
      </c>
      <c r="G9" s="1" t="s">
        <v>34</v>
      </c>
      <c r="H9" s="2">
        <v>25232</v>
      </c>
      <c r="I9" s="2">
        <v>45606</v>
      </c>
      <c r="J9" s="1">
        <v>12.44</v>
      </c>
      <c r="K9" s="4">
        <f t="shared" si="0"/>
        <v>167.097812</v>
      </c>
      <c r="L9" s="4">
        <f t="shared" si="1"/>
        <v>1176.132188</v>
      </c>
      <c r="P9" s="8" t="s">
        <v>24</v>
      </c>
      <c r="Q9" s="5">
        <f t="shared" si="2"/>
        <v>17944.727806000003</v>
      </c>
      <c r="R9" s="5">
        <f t="shared" si="2"/>
        <v>11929.703928000001</v>
      </c>
      <c r="S9" s="5">
        <f t="shared" si="2"/>
        <v>23516.723790999997</v>
      </c>
      <c r="T9" s="5">
        <f t="shared" si="2"/>
        <v>13527.419404</v>
      </c>
      <c r="U9" s="5">
        <f t="shared" si="2"/>
        <v>16589.259041999998</v>
      </c>
      <c r="W9" s="8" t="s">
        <v>24</v>
      </c>
      <c r="X9" s="6">
        <f t="shared" si="4"/>
        <v>9</v>
      </c>
      <c r="Y9" s="6">
        <f t="shared" si="3"/>
        <v>8</v>
      </c>
      <c r="Z9" s="6">
        <f t="shared" si="3"/>
        <v>14</v>
      </c>
      <c r="AA9" s="6">
        <f t="shared" si="3"/>
        <v>6</v>
      </c>
      <c r="AB9" s="6">
        <f t="shared" si="3"/>
        <v>12</v>
      </c>
    </row>
    <row r="10" spans="1:32" x14ac:dyDescent="0.3">
      <c r="A10" s="1">
        <v>1008</v>
      </c>
      <c r="B10" s="2">
        <v>45269</v>
      </c>
      <c r="C10" s="1" t="s">
        <v>35</v>
      </c>
      <c r="D10" s="1" t="s">
        <v>36</v>
      </c>
      <c r="E10" s="1" t="s">
        <v>28</v>
      </c>
      <c r="F10" s="1">
        <v>3813.09</v>
      </c>
      <c r="G10" s="1" t="s">
        <v>37</v>
      </c>
      <c r="H10" s="2">
        <v>27534</v>
      </c>
      <c r="I10" s="2">
        <v>45279</v>
      </c>
      <c r="J10" s="1">
        <v>6.96</v>
      </c>
      <c r="K10" s="4">
        <f t="shared" si="0"/>
        <v>265.39106399999997</v>
      </c>
      <c r="L10" s="4">
        <f t="shared" si="1"/>
        <v>3547.6989360000002</v>
      </c>
      <c r="P10" s="8" t="s">
        <v>27</v>
      </c>
      <c r="Q10" s="5">
        <f t="shared" si="2"/>
        <v>17194.107555000002</v>
      </c>
      <c r="R10" s="5">
        <f t="shared" si="2"/>
        <v>4155.4466609999999</v>
      </c>
      <c r="S10" s="5">
        <f t="shared" si="2"/>
        <v>13387.898766999999</v>
      </c>
      <c r="T10" s="5">
        <f t="shared" si="2"/>
        <v>24380.956568999998</v>
      </c>
      <c r="U10" s="5">
        <f t="shared" si="2"/>
        <v>11248.260897</v>
      </c>
      <c r="W10" s="8" t="s">
        <v>27</v>
      </c>
      <c r="X10" s="6">
        <f t="shared" si="4"/>
        <v>9</v>
      </c>
      <c r="Y10" s="6">
        <f t="shared" si="3"/>
        <v>3</v>
      </c>
      <c r="Z10" s="6">
        <f t="shared" si="3"/>
        <v>6</v>
      </c>
      <c r="AA10" s="6">
        <f t="shared" si="3"/>
        <v>10</v>
      </c>
      <c r="AB10" s="6">
        <f t="shared" si="3"/>
        <v>6</v>
      </c>
    </row>
    <row r="11" spans="1:32" x14ac:dyDescent="0.3">
      <c r="A11" s="1">
        <v>1009</v>
      </c>
      <c r="B11" s="2">
        <v>44110</v>
      </c>
      <c r="C11" s="1" t="s">
        <v>35</v>
      </c>
      <c r="D11" s="1" t="s">
        <v>38</v>
      </c>
      <c r="E11" s="1" t="s">
        <v>28</v>
      </c>
      <c r="F11" s="1">
        <v>4445.5</v>
      </c>
      <c r="G11" s="1" t="s">
        <v>39</v>
      </c>
      <c r="H11" s="2">
        <v>26282</v>
      </c>
      <c r="I11" s="2">
        <v>44123</v>
      </c>
      <c r="J11" s="1">
        <v>27.08</v>
      </c>
      <c r="K11" s="4">
        <f t="shared" si="0"/>
        <v>1203.8414</v>
      </c>
      <c r="L11" s="4">
        <f t="shared" si="1"/>
        <v>3241.6585999999998</v>
      </c>
      <c r="P11" s="8" t="s">
        <v>30</v>
      </c>
      <c r="Q11" s="5">
        <f t="shared" si="2"/>
        <v>13967.498909000002</v>
      </c>
      <c r="R11" s="5">
        <f t="shared" si="2"/>
        <v>17236.673562999997</v>
      </c>
      <c r="S11" s="5">
        <f t="shared" si="2"/>
        <v>16091.424983999999</v>
      </c>
      <c r="T11" s="5">
        <f t="shared" si="2"/>
        <v>11567.439582999999</v>
      </c>
      <c r="U11" s="5">
        <f t="shared" si="2"/>
        <v>12421.640986999999</v>
      </c>
      <c r="W11" s="8" t="s">
        <v>30</v>
      </c>
      <c r="X11" s="6">
        <f t="shared" si="4"/>
        <v>9</v>
      </c>
      <c r="Y11" s="6">
        <f t="shared" si="3"/>
        <v>9</v>
      </c>
      <c r="Z11" s="6">
        <f t="shared" si="3"/>
        <v>11</v>
      </c>
      <c r="AA11" s="6">
        <f t="shared" si="3"/>
        <v>8</v>
      </c>
      <c r="AB11" s="6">
        <f t="shared" si="3"/>
        <v>5</v>
      </c>
    </row>
    <row r="12" spans="1:32" x14ac:dyDescent="0.3">
      <c r="A12" s="1">
        <v>1010</v>
      </c>
      <c r="B12" s="2">
        <v>45125</v>
      </c>
      <c r="C12" s="1" t="s">
        <v>14</v>
      </c>
      <c r="D12" s="1" t="s">
        <v>40</v>
      </c>
      <c r="E12" s="1" t="s">
        <v>16</v>
      </c>
      <c r="F12" s="1">
        <v>179.63</v>
      </c>
      <c r="G12" s="1" t="s">
        <v>41</v>
      </c>
      <c r="H12" s="2">
        <v>35818</v>
      </c>
      <c r="I12" s="2">
        <v>45128</v>
      </c>
      <c r="J12" s="1">
        <v>19.760000000000002</v>
      </c>
      <c r="K12" s="4">
        <f t="shared" si="0"/>
        <v>35.494888000000003</v>
      </c>
      <c r="L12" s="4">
        <f t="shared" si="1"/>
        <v>144.13511199999999</v>
      </c>
      <c r="P12" s="8" t="s">
        <v>33</v>
      </c>
      <c r="Q12" s="5">
        <f t="shared" si="2"/>
        <v>10624.184970999999</v>
      </c>
      <c r="R12" s="5">
        <f t="shared" si="2"/>
        <v>24902.74685</v>
      </c>
      <c r="S12" s="5">
        <f t="shared" si="2"/>
        <v>19544.846390000002</v>
      </c>
      <c r="T12" s="5">
        <f t="shared" si="2"/>
        <v>20431.595993000003</v>
      </c>
      <c r="U12" s="5">
        <f t="shared" si="2"/>
        <v>12366.755685</v>
      </c>
      <c r="W12" s="8" t="s">
        <v>33</v>
      </c>
      <c r="X12" s="6">
        <f t="shared" si="4"/>
        <v>6</v>
      </c>
      <c r="Y12" s="6">
        <f t="shared" si="3"/>
        <v>12</v>
      </c>
      <c r="Z12" s="6">
        <f t="shared" si="3"/>
        <v>11</v>
      </c>
      <c r="AA12" s="6">
        <f t="shared" si="3"/>
        <v>12</v>
      </c>
      <c r="AB12" s="6">
        <f t="shared" si="3"/>
        <v>8</v>
      </c>
    </row>
    <row r="13" spans="1:32" x14ac:dyDescent="0.3">
      <c r="A13" s="1">
        <v>1011</v>
      </c>
      <c r="B13" s="2">
        <v>44588</v>
      </c>
      <c r="C13" s="1" t="s">
        <v>10</v>
      </c>
      <c r="D13" s="1" t="s">
        <v>40</v>
      </c>
      <c r="E13" s="1" t="s">
        <v>16</v>
      </c>
      <c r="F13" s="1">
        <v>3282.77</v>
      </c>
      <c r="G13" s="1" t="s">
        <v>42</v>
      </c>
      <c r="H13" s="2">
        <v>26027</v>
      </c>
      <c r="I13" s="2">
        <v>44597</v>
      </c>
      <c r="J13" s="1">
        <v>27.39</v>
      </c>
      <c r="K13" s="4">
        <f t="shared" si="0"/>
        <v>899.15070300000014</v>
      </c>
      <c r="L13" s="4">
        <f t="shared" si="1"/>
        <v>2383.6192969999997</v>
      </c>
      <c r="P13" s="8" t="s">
        <v>36</v>
      </c>
      <c r="Q13" s="5">
        <f t="shared" si="2"/>
        <v>14623.975061000001</v>
      </c>
      <c r="R13" s="5">
        <f t="shared" si="2"/>
        <v>19711.502863999998</v>
      </c>
      <c r="S13" s="5">
        <f t="shared" si="2"/>
        <v>9965.6133650000011</v>
      </c>
      <c r="T13" s="5">
        <f t="shared" si="2"/>
        <v>5762.2296850000002</v>
      </c>
      <c r="U13" s="5">
        <f t="shared" si="2"/>
        <v>22972.102836000005</v>
      </c>
      <c r="W13" s="8" t="s">
        <v>36</v>
      </c>
      <c r="X13" s="6">
        <f t="shared" si="4"/>
        <v>6</v>
      </c>
      <c r="Y13" s="6">
        <f t="shared" si="3"/>
        <v>11</v>
      </c>
      <c r="Z13" s="6">
        <f t="shared" si="3"/>
        <v>7</v>
      </c>
      <c r="AA13" s="6">
        <f t="shared" si="3"/>
        <v>5</v>
      </c>
      <c r="AB13" s="6">
        <f t="shared" si="3"/>
        <v>10</v>
      </c>
    </row>
    <row r="14" spans="1:32" x14ac:dyDescent="0.3">
      <c r="A14" s="1">
        <v>1012</v>
      </c>
      <c r="B14" s="2">
        <v>45413</v>
      </c>
      <c r="C14" s="1" t="s">
        <v>26</v>
      </c>
      <c r="D14" s="1" t="s">
        <v>11</v>
      </c>
      <c r="E14" s="1" t="s">
        <v>12</v>
      </c>
      <c r="F14" s="1">
        <v>1004.87</v>
      </c>
      <c r="G14" s="1" t="s">
        <v>43</v>
      </c>
      <c r="H14" s="2">
        <v>30054</v>
      </c>
      <c r="I14" s="2">
        <v>45421</v>
      </c>
      <c r="J14" s="1">
        <v>21.81</v>
      </c>
      <c r="K14" s="4">
        <f t="shared" si="0"/>
        <v>219.16214699999998</v>
      </c>
      <c r="L14" s="4">
        <f t="shared" si="1"/>
        <v>785.707853</v>
      </c>
      <c r="P14" s="8" t="s">
        <v>38</v>
      </c>
      <c r="Q14" s="5">
        <f t="shared" si="2"/>
        <v>18774.302478000001</v>
      </c>
      <c r="R14" s="5">
        <f t="shared" si="2"/>
        <v>11135.182799999999</v>
      </c>
      <c r="S14" s="5">
        <f t="shared" si="2"/>
        <v>15492.599142999999</v>
      </c>
      <c r="T14" s="5">
        <f t="shared" si="2"/>
        <v>15264.040042000001</v>
      </c>
      <c r="U14" s="5">
        <f t="shared" si="2"/>
        <v>23042.403295</v>
      </c>
      <c r="W14" s="8" t="s">
        <v>38</v>
      </c>
      <c r="X14" s="6">
        <f t="shared" si="4"/>
        <v>9</v>
      </c>
      <c r="Y14" s="6">
        <f t="shared" si="3"/>
        <v>5</v>
      </c>
      <c r="Z14" s="6">
        <f t="shared" si="3"/>
        <v>11</v>
      </c>
      <c r="AA14" s="6">
        <f t="shared" si="3"/>
        <v>9</v>
      </c>
      <c r="AB14" s="6">
        <f t="shared" si="3"/>
        <v>10</v>
      </c>
    </row>
    <row r="15" spans="1:32" x14ac:dyDescent="0.3">
      <c r="A15" s="1">
        <v>1013</v>
      </c>
      <c r="B15" s="2">
        <v>45452</v>
      </c>
      <c r="C15" s="1" t="s">
        <v>21</v>
      </c>
      <c r="D15" s="1" t="s">
        <v>44</v>
      </c>
      <c r="E15" s="1" t="s">
        <v>16</v>
      </c>
      <c r="F15" s="1">
        <v>1447.5</v>
      </c>
      <c r="G15" s="1" t="s">
        <v>45</v>
      </c>
      <c r="H15" s="2">
        <v>34367</v>
      </c>
      <c r="I15" s="2">
        <v>45465</v>
      </c>
      <c r="J15" s="1">
        <v>41.59</v>
      </c>
      <c r="K15" s="4">
        <f t="shared" si="0"/>
        <v>602.01525000000004</v>
      </c>
      <c r="L15" s="4">
        <f t="shared" si="1"/>
        <v>845.48474999999996</v>
      </c>
      <c r="P15" s="8" t="s">
        <v>40</v>
      </c>
      <c r="Q15" s="5">
        <f t="shared" ref="Q15:U28" si="5">SUMIFS($L$2:$L$1001,$D$2:$D$1001,$P15,$C$2:$C$1001,Q$4)</f>
        <v>19456.017368000001</v>
      </c>
      <c r="R15" s="5">
        <f t="shared" si="5"/>
        <v>6957.1131800000003</v>
      </c>
      <c r="S15" s="5">
        <f t="shared" si="5"/>
        <v>24187.411568000003</v>
      </c>
      <c r="T15" s="5">
        <f t="shared" si="5"/>
        <v>14609.811164000001</v>
      </c>
      <c r="U15" s="5">
        <f t="shared" si="5"/>
        <v>5018.8434180000004</v>
      </c>
      <c r="W15" s="8" t="s">
        <v>40</v>
      </c>
      <c r="X15" s="6">
        <f t="shared" si="4"/>
        <v>10</v>
      </c>
      <c r="Y15" s="6">
        <f t="shared" si="3"/>
        <v>7</v>
      </c>
      <c r="Z15" s="6">
        <f t="shared" si="3"/>
        <v>12</v>
      </c>
      <c r="AA15" s="6">
        <f t="shared" si="3"/>
        <v>7</v>
      </c>
      <c r="AB15" s="6">
        <f t="shared" si="3"/>
        <v>4</v>
      </c>
    </row>
    <row r="16" spans="1:32" x14ac:dyDescent="0.3">
      <c r="A16" s="1">
        <v>1014</v>
      </c>
      <c r="B16" s="2">
        <v>45352</v>
      </c>
      <c r="C16" s="1" t="s">
        <v>26</v>
      </c>
      <c r="D16" s="1" t="s">
        <v>40</v>
      </c>
      <c r="E16" s="1" t="s">
        <v>16</v>
      </c>
      <c r="F16" s="1">
        <v>4448.16</v>
      </c>
      <c r="G16" s="1" t="s">
        <v>46</v>
      </c>
      <c r="H16" s="2">
        <v>24670</v>
      </c>
      <c r="I16" s="2">
        <v>45366</v>
      </c>
      <c r="J16" s="1">
        <v>27.78</v>
      </c>
      <c r="K16" s="4">
        <f t="shared" si="0"/>
        <v>1235.698848</v>
      </c>
      <c r="L16" s="4">
        <f t="shared" si="1"/>
        <v>3212.4611519999999</v>
      </c>
      <c r="P16" s="8" t="s">
        <v>44</v>
      </c>
      <c r="Q16" s="5">
        <f t="shared" si="5"/>
        <v>20315.323038999999</v>
      </c>
      <c r="R16" s="5">
        <f t="shared" si="5"/>
        <v>19053.344494999998</v>
      </c>
      <c r="S16" s="5">
        <f t="shared" si="5"/>
        <v>9179.4633799999992</v>
      </c>
      <c r="T16" s="5">
        <f t="shared" si="5"/>
        <v>20255.753116999997</v>
      </c>
      <c r="U16" s="5">
        <f t="shared" si="5"/>
        <v>14331.297607</v>
      </c>
      <c r="W16" s="8" t="s">
        <v>44</v>
      </c>
      <c r="X16" s="6">
        <f t="shared" si="4"/>
        <v>8</v>
      </c>
      <c r="Y16" s="6">
        <f t="shared" si="3"/>
        <v>10</v>
      </c>
      <c r="Z16" s="6">
        <f t="shared" si="3"/>
        <v>8</v>
      </c>
      <c r="AA16" s="6">
        <f t="shared" si="3"/>
        <v>11</v>
      </c>
      <c r="AB16" s="6">
        <f t="shared" si="3"/>
        <v>10</v>
      </c>
    </row>
    <row r="17" spans="1:28" x14ac:dyDescent="0.3">
      <c r="A17" s="1">
        <v>1015</v>
      </c>
      <c r="B17" s="2">
        <v>45567</v>
      </c>
      <c r="C17" s="1" t="s">
        <v>10</v>
      </c>
      <c r="D17" s="1" t="s">
        <v>47</v>
      </c>
      <c r="E17" s="1" t="s">
        <v>12</v>
      </c>
      <c r="F17" s="1">
        <v>1994.4</v>
      </c>
      <c r="G17" s="1" t="s">
        <v>48</v>
      </c>
      <c r="H17" s="2">
        <v>22315</v>
      </c>
      <c r="I17" s="2">
        <v>45572</v>
      </c>
      <c r="J17" s="1">
        <v>14.86</v>
      </c>
      <c r="K17" s="4">
        <f t="shared" si="0"/>
        <v>296.36784</v>
      </c>
      <c r="L17" s="4">
        <f t="shared" si="1"/>
        <v>1698.0321600000002</v>
      </c>
      <c r="P17" s="8" t="s">
        <v>47</v>
      </c>
      <c r="Q17" s="5">
        <f t="shared" si="5"/>
        <v>17807.785813999999</v>
      </c>
      <c r="R17" s="5">
        <f t="shared" si="5"/>
        <v>21463.640185999997</v>
      </c>
      <c r="S17" s="5">
        <f t="shared" si="5"/>
        <v>2294.54612</v>
      </c>
      <c r="T17" s="5">
        <f t="shared" si="5"/>
        <v>15567.676257000001</v>
      </c>
      <c r="U17" s="5">
        <f t="shared" si="5"/>
        <v>11510.963246000001</v>
      </c>
      <c r="W17" s="8" t="s">
        <v>47</v>
      </c>
      <c r="X17" s="6">
        <f t="shared" si="4"/>
        <v>10</v>
      </c>
      <c r="Y17" s="6">
        <f t="shared" si="3"/>
        <v>13</v>
      </c>
      <c r="Z17" s="6">
        <f t="shared" si="3"/>
        <v>1</v>
      </c>
      <c r="AA17" s="6">
        <f t="shared" si="3"/>
        <v>10</v>
      </c>
      <c r="AB17" s="6">
        <f t="shared" si="3"/>
        <v>5</v>
      </c>
    </row>
    <row r="18" spans="1:28" x14ac:dyDescent="0.3">
      <c r="A18" s="1">
        <v>1016</v>
      </c>
      <c r="B18" s="2">
        <v>44980</v>
      </c>
      <c r="C18" s="1" t="s">
        <v>10</v>
      </c>
      <c r="D18" s="1" t="s">
        <v>49</v>
      </c>
      <c r="E18" s="1" t="s">
        <v>12</v>
      </c>
      <c r="F18" s="1">
        <v>2282.94</v>
      </c>
      <c r="G18" s="1" t="s">
        <v>50</v>
      </c>
      <c r="H18" s="2">
        <v>22594</v>
      </c>
      <c r="I18" s="2">
        <v>44982</v>
      </c>
      <c r="J18" s="1">
        <v>34.58</v>
      </c>
      <c r="K18" s="4">
        <f t="shared" si="0"/>
        <v>789.440652</v>
      </c>
      <c r="L18" s="4">
        <f t="shared" si="1"/>
        <v>1493.4993480000001</v>
      </c>
      <c r="P18" s="8" t="s">
        <v>49</v>
      </c>
      <c r="Q18" s="5">
        <f t="shared" si="5"/>
        <v>11894.975898999999</v>
      </c>
      <c r="R18" s="5">
        <f t="shared" si="5"/>
        <v>19096.945331999999</v>
      </c>
      <c r="S18" s="5">
        <f t="shared" si="5"/>
        <v>18301.355189000002</v>
      </c>
      <c r="T18" s="5">
        <f t="shared" si="5"/>
        <v>27415.185325999999</v>
      </c>
      <c r="U18" s="5">
        <f t="shared" si="5"/>
        <v>10862.339264000002</v>
      </c>
      <c r="W18" s="8" t="s">
        <v>49</v>
      </c>
      <c r="X18" s="6">
        <f t="shared" si="4"/>
        <v>5</v>
      </c>
      <c r="Y18" s="6">
        <f t="shared" si="3"/>
        <v>7</v>
      </c>
      <c r="Z18" s="6">
        <f t="shared" si="3"/>
        <v>12</v>
      </c>
      <c r="AA18" s="6">
        <f t="shared" si="3"/>
        <v>13</v>
      </c>
      <c r="AB18" s="6">
        <f t="shared" si="3"/>
        <v>8</v>
      </c>
    </row>
    <row r="19" spans="1:28" x14ac:dyDescent="0.3">
      <c r="A19" s="1">
        <v>1017</v>
      </c>
      <c r="B19" s="2">
        <v>45057</v>
      </c>
      <c r="C19" s="1" t="s">
        <v>10</v>
      </c>
      <c r="D19" s="1" t="s">
        <v>27</v>
      </c>
      <c r="E19" s="1" t="s">
        <v>28</v>
      </c>
      <c r="F19" s="1">
        <v>300.31</v>
      </c>
      <c r="G19" s="1" t="s">
        <v>51</v>
      </c>
      <c r="H19" s="2">
        <v>30183</v>
      </c>
      <c r="I19" s="2">
        <v>45069</v>
      </c>
      <c r="J19" s="1">
        <v>23.72</v>
      </c>
      <c r="K19" s="4">
        <f t="shared" si="0"/>
        <v>71.233531999999997</v>
      </c>
      <c r="L19" s="4">
        <f t="shared" si="1"/>
        <v>229.07646800000001</v>
      </c>
      <c r="P19" s="8" t="s">
        <v>53</v>
      </c>
      <c r="Q19" s="5">
        <f t="shared" si="5"/>
        <v>20376.32056</v>
      </c>
      <c r="R19" s="5">
        <f t="shared" si="5"/>
        <v>18514.835601000002</v>
      </c>
      <c r="S19" s="5">
        <f t="shared" si="5"/>
        <v>18885.019901999996</v>
      </c>
      <c r="T19" s="5">
        <f t="shared" si="5"/>
        <v>15188.697836000001</v>
      </c>
      <c r="U19" s="5">
        <f t="shared" si="5"/>
        <v>27284.160637999994</v>
      </c>
      <c r="W19" s="8" t="s">
        <v>53</v>
      </c>
      <c r="X19" s="6">
        <f t="shared" si="4"/>
        <v>8</v>
      </c>
      <c r="Y19" s="6">
        <f t="shared" si="3"/>
        <v>8</v>
      </c>
      <c r="Z19" s="6">
        <f t="shared" si="3"/>
        <v>12</v>
      </c>
      <c r="AA19" s="6">
        <f t="shared" si="3"/>
        <v>9</v>
      </c>
      <c r="AB19" s="6">
        <f t="shared" si="3"/>
        <v>9</v>
      </c>
    </row>
    <row r="20" spans="1:28" x14ac:dyDescent="0.3">
      <c r="A20" s="1">
        <v>1018</v>
      </c>
      <c r="B20" s="2">
        <v>44949</v>
      </c>
      <c r="C20" s="1" t="s">
        <v>26</v>
      </c>
      <c r="D20" s="1" t="s">
        <v>40</v>
      </c>
      <c r="E20" s="1" t="s">
        <v>16</v>
      </c>
      <c r="F20" s="1">
        <v>3380.12</v>
      </c>
      <c r="G20" s="1" t="s">
        <v>52</v>
      </c>
      <c r="H20" s="2">
        <v>30154</v>
      </c>
      <c r="I20" s="2">
        <v>44959</v>
      </c>
      <c r="J20" s="1">
        <v>48.14</v>
      </c>
      <c r="K20" s="4">
        <f t="shared" si="0"/>
        <v>1627.189768</v>
      </c>
      <c r="L20" s="4">
        <f t="shared" si="1"/>
        <v>1752.9302319999999</v>
      </c>
      <c r="P20" s="8" t="s">
        <v>55</v>
      </c>
      <c r="Q20" s="5">
        <f t="shared" si="5"/>
        <v>6384.2846939999999</v>
      </c>
      <c r="R20" s="5">
        <f t="shared" si="5"/>
        <v>24952.950777000002</v>
      </c>
      <c r="S20" s="5">
        <f t="shared" si="5"/>
        <v>14511.610420999999</v>
      </c>
      <c r="T20" s="5">
        <f t="shared" si="5"/>
        <v>16561.904835999998</v>
      </c>
      <c r="U20" s="5">
        <f t="shared" si="5"/>
        <v>17760.707903999999</v>
      </c>
      <c r="W20" s="8" t="s">
        <v>55</v>
      </c>
      <c r="X20" s="6">
        <f t="shared" si="4"/>
        <v>5</v>
      </c>
      <c r="Y20" s="6">
        <f t="shared" si="3"/>
        <v>11</v>
      </c>
      <c r="Z20" s="6">
        <f t="shared" si="3"/>
        <v>7</v>
      </c>
      <c r="AA20" s="6">
        <f t="shared" si="3"/>
        <v>8</v>
      </c>
      <c r="AB20" s="6">
        <f t="shared" si="3"/>
        <v>7</v>
      </c>
    </row>
    <row r="21" spans="1:28" x14ac:dyDescent="0.3">
      <c r="A21" s="1">
        <v>1019</v>
      </c>
      <c r="B21" s="2">
        <v>44364</v>
      </c>
      <c r="C21" s="1" t="s">
        <v>26</v>
      </c>
      <c r="D21" s="1" t="s">
        <v>53</v>
      </c>
      <c r="E21" s="1" t="s">
        <v>28</v>
      </c>
      <c r="F21" s="1">
        <v>2449.4499999999998</v>
      </c>
      <c r="G21" s="1" t="s">
        <v>54</v>
      </c>
      <c r="H21" s="2">
        <v>31082</v>
      </c>
      <c r="I21" s="2">
        <v>44369</v>
      </c>
      <c r="J21" s="1">
        <v>44.38</v>
      </c>
      <c r="K21" s="4">
        <f t="shared" si="0"/>
        <v>1087.06591</v>
      </c>
      <c r="L21" s="4">
        <f t="shared" si="1"/>
        <v>1362.3840899999998</v>
      </c>
      <c r="P21" s="8" t="s">
        <v>58</v>
      </c>
      <c r="Q21" s="5">
        <f t="shared" si="5"/>
        <v>16277.490684000002</v>
      </c>
      <c r="R21" s="5">
        <f t="shared" si="5"/>
        <v>8527.6539760000014</v>
      </c>
      <c r="S21" s="5">
        <f t="shared" si="5"/>
        <v>21320.674734</v>
      </c>
      <c r="T21" s="5">
        <f t="shared" si="5"/>
        <v>10825.978095999999</v>
      </c>
      <c r="U21" s="5">
        <f t="shared" si="5"/>
        <v>27641.722716000004</v>
      </c>
      <c r="W21" s="8" t="s">
        <v>58</v>
      </c>
      <c r="X21" s="6">
        <f t="shared" si="4"/>
        <v>9</v>
      </c>
      <c r="Y21" s="6">
        <f t="shared" si="4"/>
        <v>3</v>
      </c>
      <c r="Z21" s="6">
        <f t="shared" si="4"/>
        <v>11</v>
      </c>
      <c r="AA21" s="6">
        <f t="shared" si="4"/>
        <v>7</v>
      </c>
      <c r="AB21" s="6">
        <f t="shared" si="4"/>
        <v>12</v>
      </c>
    </row>
    <row r="22" spans="1:28" x14ac:dyDescent="0.3">
      <c r="A22" s="1">
        <v>1020</v>
      </c>
      <c r="B22" s="2">
        <v>44609</v>
      </c>
      <c r="C22" s="1" t="s">
        <v>35</v>
      </c>
      <c r="D22" s="1" t="s">
        <v>55</v>
      </c>
      <c r="E22" s="1" t="s">
        <v>31</v>
      </c>
      <c r="F22" s="1">
        <v>1160.4000000000001</v>
      </c>
      <c r="G22" s="1" t="s">
        <v>56</v>
      </c>
      <c r="H22" s="2">
        <v>25712</v>
      </c>
      <c r="I22" s="2">
        <v>44618</v>
      </c>
      <c r="J22" s="1">
        <v>40.840000000000003</v>
      </c>
      <c r="K22" s="4">
        <f t="shared" si="0"/>
        <v>473.9073600000001</v>
      </c>
      <c r="L22" s="4">
        <f t="shared" si="1"/>
        <v>686.49263999999994</v>
      </c>
      <c r="P22" s="8" t="s">
        <v>61</v>
      </c>
      <c r="Q22" s="5">
        <f t="shared" si="5"/>
        <v>4938.1956459999992</v>
      </c>
      <c r="R22" s="5">
        <f t="shared" si="5"/>
        <v>18171.778410999999</v>
      </c>
      <c r="S22" s="5">
        <f t="shared" si="5"/>
        <v>12771.498486</v>
      </c>
      <c r="T22" s="5">
        <f t="shared" si="5"/>
        <v>22155.555258999997</v>
      </c>
      <c r="U22" s="5">
        <f t="shared" si="5"/>
        <v>22554.783214000003</v>
      </c>
      <c r="W22" s="8" t="s">
        <v>61</v>
      </c>
      <c r="X22" s="6">
        <f t="shared" si="4"/>
        <v>4</v>
      </c>
      <c r="Y22" s="6">
        <f t="shared" si="4"/>
        <v>9</v>
      </c>
      <c r="Z22" s="6">
        <f t="shared" si="4"/>
        <v>8</v>
      </c>
      <c r="AA22" s="6">
        <f t="shared" si="4"/>
        <v>9</v>
      </c>
      <c r="AB22" s="6">
        <f t="shared" si="4"/>
        <v>8</v>
      </c>
    </row>
    <row r="23" spans="1:28" x14ac:dyDescent="0.3">
      <c r="A23" s="1">
        <v>1021</v>
      </c>
      <c r="B23" s="2">
        <v>44260</v>
      </c>
      <c r="C23" s="1" t="s">
        <v>10</v>
      </c>
      <c r="D23" s="1" t="s">
        <v>40</v>
      </c>
      <c r="E23" s="1" t="s">
        <v>16</v>
      </c>
      <c r="F23" s="1">
        <v>3787.11</v>
      </c>
      <c r="G23" s="1" t="s">
        <v>57</v>
      </c>
      <c r="H23" s="2">
        <v>38353</v>
      </c>
      <c r="I23" s="2">
        <v>44274</v>
      </c>
      <c r="J23" s="1">
        <v>43.05</v>
      </c>
      <c r="K23" s="4">
        <f t="shared" si="0"/>
        <v>1630.3508550000001</v>
      </c>
      <c r="L23" s="4">
        <f t="shared" si="1"/>
        <v>2156.759145</v>
      </c>
      <c r="P23" s="8" t="s">
        <v>65</v>
      </c>
      <c r="Q23" s="5">
        <f t="shared" si="5"/>
        <v>10229.696199000002</v>
      </c>
      <c r="R23" s="5">
        <f t="shared" si="5"/>
        <v>15481.582421999999</v>
      </c>
      <c r="S23" s="5">
        <f t="shared" si="5"/>
        <v>6948.0010870000006</v>
      </c>
      <c r="T23" s="5">
        <f t="shared" si="5"/>
        <v>17250.480422000001</v>
      </c>
      <c r="U23" s="5">
        <f t="shared" si="5"/>
        <v>17227.387569999999</v>
      </c>
      <c r="W23" s="8" t="s">
        <v>65</v>
      </c>
      <c r="X23" s="6">
        <f t="shared" si="4"/>
        <v>9</v>
      </c>
      <c r="Y23" s="6">
        <f t="shared" si="4"/>
        <v>9</v>
      </c>
      <c r="Z23" s="6">
        <f t="shared" si="4"/>
        <v>6</v>
      </c>
      <c r="AA23" s="6">
        <f t="shared" si="4"/>
        <v>7</v>
      </c>
      <c r="AB23" s="6">
        <f t="shared" si="4"/>
        <v>8</v>
      </c>
    </row>
    <row r="24" spans="1:28" x14ac:dyDescent="0.3">
      <c r="A24" s="1">
        <v>1022</v>
      </c>
      <c r="B24" s="2">
        <v>44985</v>
      </c>
      <c r="C24" s="1" t="s">
        <v>21</v>
      </c>
      <c r="D24" s="1" t="s">
        <v>58</v>
      </c>
      <c r="E24" s="1" t="s">
        <v>31</v>
      </c>
      <c r="F24" s="1">
        <v>4407.51</v>
      </c>
      <c r="G24" s="1" t="s">
        <v>59</v>
      </c>
      <c r="H24" s="2">
        <v>25166</v>
      </c>
      <c r="I24" s="2">
        <v>44991</v>
      </c>
      <c r="J24" s="1">
        <v>40.35</v>
      </c>
      <c r="K24" s="4">
        <f t="shared" si="0"/>
        <v>1778.4302850000001</v>
      </c>
      <c r="L24" s="4">
        <f t="shared" si="1"/>
        <v>2629.0797149999999</v>
      </c>
      <c r="P24" s="8" t="s">
        <v>69</v>
      </c>
      <c r="Q24" s="5">
        <f t="shared" si="5"/>
        <v>17234.832297000001</v>
      </c>
      <c r="R24" s="5">
        <f t="shared" si="5"/>
        <v>27070.480656</v>
      </c>
      <c r="S24" s="5">
        <f t="shared" si="5"/>
        <v>25200.205017000004</v>
      </c>
      <c r="T24" s="5">
        <f t="shared" si="5"/>
        <v>17974.809279000001</v>
      </c>
      <c r="U24" s="5">
        <f t="shared" si="5"/>
        <v>22103.611244000003</v>
      </c>
      <c r="W24" s="8" t="s">
        <v>69</v>
      </c>
      <c r="X24" s="6">
        <f t="shared" si="4"/>
        <v>11</v>
      </c>
      <c r="Y24" s="6">
        <f t="shared" si="4"/>
        <v>15</v>
      </c>
      <c r="Z24" s="6">
        <f t="shared" si="4"/>
        <v>15</v>
      </c>
      <c r="AA24" s="6">
        <f t="shared" si="4"/>
        <v>9</v>
      </c>
      <c r="AB24" s="6">
        <f t="shared" si="4"/>
        <v>15</v>
      </c>
    </row>
    <row r="25" spans="1:28" x14ac:dyDescent="0.3">
      <c r="A25" s="1">
        <v>1023</v>
      </c>
      <c r="B25" s="2">
        <v>44173</v>
      </c>
      <c r="C25" s="1" t="s">
        <v>26</v>
      </c>
      <c r="D25" s="1" t="s">
        <v>30</v>
      </c>
      <c r="E25" s="1" t="s">
        <v>31</v>
      </c>
      <c r="F25" s="1">
        <v>2818.88</v>
      </c>
      <c r="G25" s="1" t="s">
        <v>60</v>
      </c>
      <c r="H25" s="2">
        <v>33482</v>
      </c>
      <c r="I25" s="2">
        <v>44181</v>
      </c>
      <c r="J25" s="1">
        <v>32.270000000000003</v>
      </c>
      <c r="K25" s="4">
        <f t="shared" si="0"/>
        <v>909.65257600000018</v>
      </c>
      <c r="L25" s="4">
        <f t="shared" si="1"/>
        <v>1909.2274239999999</v>
      </c>
      <c r="P25" s="8" t="s">
        <v>71</v>
      </c>
      <c r="Q25" s="5">
        <f t="shared" si="5"/>
        <v>3448.1077139999998</v>
      </c>
      <c r="R25" s="5">
        <f t="shared" si="5"/>
        <v>6863.4399300000014</v>
      </c>
      <c r="S25" s="5">
        <f t="shared" si="5"/>
        <v>18118.285498000001</v>
      </c>
      <c r="T25" s="5">
        <f t="shared" si="5"/>
        <v>13181.933997</v>
      </c>
      <c r="U25" s="5">
        <f t="shared" si="5"/>
        <v>22373.111027999996</v>
      </c>
      <c r="W25" s="8" t="s">
        <v>71</v>
      </c>
      <c r="X25" s="6">
        <f t="shared" si="4"/>
        <v>5</v>
      </c>
      <c r="Y25" s="6">
        <f t="shared" si="4"/>
        <v>4</v>
      </c>
      <c r="Z25" s="6">
        <f t="shared" si="4"/>
        <v>9</v>
      </c>
      <c r="AA25" s="6">
        <f t="shared" si="4"/>
        <v>5</v>
      </c>
      <c r="AB25" s="6">
        <f t="shared" si="4"/>
        <v>9</v>
      </c>
    </row>
    <row r="26" spans="1:28" x14ac:dyDescent="0.3">
      <c r="A26" s="1">
        <v>1024</v>
      </c>
      <c r="B26" s="2">
        <v>45385</v>
      </c>
      <c r="C26" s="1" t="s">
        <v>21</v>
      </c>
      <c r="D26" s="1" t="s">
        <v>61</v>
      </c>
      <c r="E26" s="1" t="s">
        <v>19</v>
      </c>
      <c r="F26" s="1">
        <v>923.98</v>
      </c>
      <c r="G26" s="1" t="s">
        <v>62</v>
      </c>
      <c r="H26" s="2">
        <v>22870</v>
      </c>
      <c r="I26" s="2">
        <v>45387</v>
      </c>
      <c r="J26" s="1">
        <v>1.62</v>
      </c>
      <c r="K26" s="4">
        <f t="shared" si="0"/>
        <v>14.968476000000003</v>
      </c>
      <c r="L26" s="4">
        <f t="shared" si="1"/>
        <v>909.01152400000001</v>
      </c>
      <c r="P26" s="8" t="s">
        <v>73</v>
      </c>
      <c r="Q26" s="5">
        <f t="shared" si="5"/>
        <v>17111.943144000001</v>
      </c>
      <c r="R26" s="5">
        <f t="shared" si="5"/>
        <v>13395.521755000002</v>
      </c>
      <c r="S26" s="5">
        <f t="shared" si="5"/>
        <v>7286.4188340000001</v>
      </c>
      <c r="T26" s="5">
        <f t="shared" si="5"/>
        <v>19566.182631</v>
      </c>
      <c r="U26" s="5">
        <f t="shared" si="5"/>
        <v>36908.120677999999</v>
      </c>
      <c r="W26" s="8" t="s">
        <v>73</v>
      </c>
      <c r="X26" s="6">
        <f t="shared" si="4"/>
        <v>7</v>
      </c>
      <c r="Y26" s="6">
        <f t="shared" si="4"/>
        <v>8</v>
      </c>
      <c r="Z26" s="6">
        <f t="shared" si="4"/>
        <v>6</v>
      </c>
      <c r="AA26" s="6">
        <f t="shared" si="4"/>
        <v>8</v>
      </c>
      <c r="AB26" s="6">
        <f t="shared" si="4"/>
        <v>14</v>
      </c>
    </row>
    <row r="27" spans="1:28" x14ac:dyDescent="0.3">
      <c r="A27" s="1">
        <v>1025</v>
      </c>
      <c r="B27" s="2">
        <v>45184</v>
      </c>
      <c r="C27" s="1" t="s">
        <v>10</v>
      </c>
      <c r="D27" s="1" t="s">
        <v>30</v>
      </c>
      <c r="E27" s="1" t="s">
        <v>31</v>
      </c>
      <c r="F27" s="1">
        <v>1341.71</v>
      </c>
      <c r="G27" s="1" t="s">
        <v>63</v>
      </c>
      <c r="H27" s="2">
        <v>25430</v>
      </c>
      <c r="I27" s="2">
        <v>45189</v>
      </c>
      <c r="J27" s="1">
        <v>38.22</v>
      </c>
      <c r="K27" s="4">
        <f t="shared" si="0"/>
        <v>512.80156199999999</v>
      </c>
      <c r="L27" s="4">
        <f t="shared" si="1"/>
        <v>828.90843800000005</v>
      </c>
      <c r="P27" s="8" t="s">
        <v>88</v>
      </c>
      <c r="Q27" s="5">
        <f t="shared" si="5"/>
        <v>8688.128666999999</v>
      </c>
      <c r="R27" s="5">
        <f t="shared" si="5"/>
        <v>5580.9074010000004</v>
      </c>
      <c r="S27" s="5">
        <f t="shared" si="5"/>
        <v>16743.391615</v>
      </c>
      <c r="T27" s="5">
        <f t="shared" si="5"/>
        <v>3818.6457290000003</v>
      </c>
      <c r="U27" s="5">
        <f t="shared" si="5"/>
        <v>24988.191609999998</v>
      </c>
      <c r="W27" s="8" t="s">
        <v>88</v>
      </c>
      <c r="X27" s="6">
        <f t="shared" si="4"/>
        <v>6</v>
      </c>
      <c r="Y27" s="6">
        <f t="shared" si="4"/>
        <v>3</v>
      </c>
      <c r="Z27" s="6">
        <f t="shared" si="4"/>
        <v>8</v>
      </c>
      <c r="AA27" s="6">
        <f t="shared" si="4"/>
        <v>3</v>
      </c>
      <c r="AB27" s="6">
        <f t="shared" si="4"/>
        <v>13</v>
      </c>
    </row>
    <row r="28" spans="1:28" x14ac:dyDescent="0.3">
      <c r="A28" s="1">
        <v>1026</v>
      </c>
      <c r="B28" s="2">
        <v>44998</v>
      </c>
      <c r="C28" s="1" t="s">
        <v>10</v>
      </c>
      <c r="D28" s="1" t="s">
        <v>44</v>
      </c>
      <c r="E28" s="1" t="s">
        <v>16</v>
      </c>
      <c r="F28" s="1">
        <v>2239.94</v>
      </c>
      <c r="G28" s="1" t="s">
        <v>64</v>
      </c>
      <c r="H28" s="2">
        <v>32375</v>
      </c>
      <c r="I28" s="2">
        <v>45003</v>
      </c>
      <c r="J28" s="1">
        <v>40.1</v>
      </c>
      <c r="K28" s="4">
        <f t="shared" si="0"/>
        <v>898.21594000000005</v>
      </c>
      <c r="L28" s="4">
        <f t="shared" si="1"/>
        <v>1341.72406</v>
      </c>
      <c r="P28" s="8" t="s">
        <v>102</v>
      </c>
      <c r="Q28" s="5">
        <f t="shared" si="5"/>
        <v>26288.759423</v>
      </c>
      <c r="R28" s="5">
        <f t="shared" si="5"/>
        <v>4675.1584629999998</v>
      </c>
      <c r="S28" s="5">
        <f t="shared" si="5"/>
        <v>13196.889268999999</v>
      </c>
      <c r="T28" s="5">
        <f t="shared" si="5"/>
        <v>2257.2024030000002</v>
      </c>
      <c r="U28" s="5">
        <f t="shared" si="5"/>
        <v>1470.5745390000002</v>
      </c>
      <c r="W28" s="8" t="s">
        <v>102</v>
      </c>
      <c r="X28" s="6">
        <f t="shared" si="4"/>
        <v>11</v>
      </c>
      <c r="Y28" s="6">
        <f t="shared" si="4"/>
        <v>4</v>
      </c>
      <c r="Z28" s="6">
        <f t="shared" si="4"/>
        <v>10</v>
      </c>
      <c r="AA28" s="6">
        <f t="shared" si="4"/>
        <v>1</v>
      </c>
      <c r="AB28" s="6">
        <f t="shared" si="4"/>
        <v>3</v>
      </c>
    </row>
    <row r="29" spans="1:28" x14ac:dyDescent="0.3">
      <c r="A29" s="1">
        <v>1027</v>
      </c>
      <c r="B29" s="2">
        <v>45397</v>
      </c>
      <c r="C29" s="1" t="s">
        <v>14</v>
      </c>
      <c r="D29" s="1" t="s">
        <v>65</v>
      </c>
      <c r="E29" s="1" t="s">
        <v>19</v>
      </c>
      <c r="F29" s="1">
        <v>1759.25</v>
      </c>
      <c r="G29" s="1" t="s">
        <v>66</v>
      </c>
      <c r="H29" s="2">
        <v>33192</v>
      </c>
      <c r="I29" s="2">
        <v>45401</v>
      </c>
      <c r="J29" s="1">
        <v>5.46</v>
      </c>
      <c r="K29" s="4">
        <f t="shared" si="0"/>
        <v>96.055050000000008</v>
      </c>
      <c r="L29" s="4">
        <f t="shared" si="1"/>
        <v>1663.1949500000001</v>
      </c>
    </row>
    <row r="30" spans="1:28" x14ac:dyDescent="0.3">
      <c r="A30" s="1">
        <v>1028</v>
      </c>
      <c r="B30" s="2">
        <v>45841</v>
      </c>
      <c r="C30" s="1" t="s">
        <v>10</v>
      </c>
      <c r="D30" s="1" t="s">
        <v>15</v>
      </c>
      <c r="E30" s="1" t="s">
        <v>16</v>
      </c>
      <c r="F30" s="1">
        <v>4018.52</v>
      </c>
      <c r="G30" s="1" t="s">
        <v>67</v>
      </c>
      <c r="H30" s="2">
        <v>34016</v>
      </c>
      <c r="I30" s="2">
        <v>45852</v>
      </c>
      <c r="J30" s="1">
        <v>19.98</v>
      </c>
      <c r="K30" s="4">
        <f t="shared" si="0"/>
        <v>802.90029600000003</v>
      </c>
      <c r="L30" s="4">
        <f t="shared" si="1"/>
        <v>3215.6197039999997</v>
      </c>
    </row>
    <row r="31" spans="1:28" x14ac:dyDescent="0.3">
      <c r="A31" s="1">
        <v>1029</v>
      </c>
      <c r="B31" s="2">
        <v>44115</v>
      </c>
      <c r="C31" s="1" t="s">
        <v>14</v>
      </c>
      <c r="D31" s="1" t="s">
        <v>47</v>
      </c>
      <c r="E31" s="1" t="s">
        <v>12</v>
      </c>
      <c r="F31" s="1">
        <v>1620.46</v>
      </c>
      <c r="G31" s="1" t="s">
        <v>68</v>
      </c>
      <c r="H31" s="2">
        <v>22079</v>
      </c>
      <c r="I31" s="2">
        <v>44127</v>
      </c>
      <c r="J31" s="1">
        <v>6.11</v>
      </c>
      <c r="K31" s="4">
        <f t="shared" si="0"/>
        <v>99.010106000000007</v>
      </c>
      <c r="L31" s="4">
        <f t="shared" si="1"/>
        <v>1521.4498940000001</v>
      </c>
    </row>
    <row r="32" spans="1:28" x14ac:dyDescent="0.3">
      <c r="A32" s="1">
        <v>1030</v>
      </c>
      <c r="B32" s="2">
        <v>44911</v>
      </c>
      <c r="C32" s="1" t="s">
        <v>10</v>
      </c>
      <c r="D32" s="1" t="s">
        <v>69</v>
      </c>
      <c r="E32" s="1" t="s">
        <v>12</v>
      </c>
      <c r="F32" s="1">
        <v>4976.51</v>
      </c>
      <c r="G32" s="1" t="s">
        <v>70</v>
      </c>
      <c r="H32" s="2">
        <v>30887</v>
      </c>
      <c r="I32" s="2">
        <v>44925</v>
      </c>
      <c r="J32" s="1">
        <v>36.06</v>
      </c>
      <c r="K32" s="4">
        <f t="shared" si="0"/>
        <v>1794.5295060000003</v>
      </c>
      <c r="L32" s="4">
        <f t="shared" si="1"/>
        <v>3181.9804939999999</v>
      </c>
      <c r="P32" s="9"/>
      <c r="Q32" s="10"/>
      <c r="R32" s="10"/>
      <c r="S32" s="10"/>
      <c r="T32" s="10"/>
      <c r="U32" s="10"/>
    </row>
    <row r="33" spans="1:21" x14ac:dyDescent="0.3">
      <c r="A33" s="1">
        <v>1031</v>
      </c>
      <c r="B33" s="2">
        <v>44709</v>
      </c>
      <c r="C33" s="1" t="s">
        <v>14</v>
      </c>
      <c r="D33" s="1" t="s">
        <v>71</v>
      </c>
      <c r="E33" s="1" t="s">
        <v>31</v>
      </c>
      <c r="F33" s="1">
        <v>4139.5600000000004</v>
      </c>
      <c r="G33" s="1" t="s">
        <v>72</v>
      </c>
      <c r="H33" s="2">
        <v>32992</v>
      </c>
      <c r="I33" s="2">
        <v>44715</v>
      </c>
      <c r="J33" s="1">
        <v>22.24</v>
      </c>
      <c r="K33" s="4">
        <f t="shared" si="0"/>
        <v>920.63814400000001</v>
      </c>
      <c r="L33" s="4">
        <f t="shared" si="1"/>
        <v>3218.9218560000004</v>
      </c>
      <c r="P33" s="10"/>
      <c r="Q33" s="10"/>
      <c r="R33" s="10"/>
      <c r="S33" s="10"/>
      <c r="T33" s="10"/>
      <c r="U33" s="10"/>
    </row>
    <row r="34" spans="1:21" x14ac:dyDescent="0.3">
      <c r="A34" s="1">
        <v>1032</v>
      </c>
      <c r="B34" s="2">
        <v>44282</v>
      </c>
      <c r="C34" s="1" t="s">
        <v>35</v>
      </c>
      <c r="D34" s="1" t="s">
        <v>38</v>
      </c>
      <c r="E34" s="1" t="s">
        <v>28</v>
      </c>
      <c r="F34" s="1">
        <v>4770.8999999999996</v>
      </c>
      <c r="G34" s="1" t="s">
        <v>42</v>
      </c>
      <c r="H34" s="2">
        <v>26027</v>
      </c>
      <c r="I34" s="2">
        <v>44284</v>
      </c>
      <c r="J34" s="1">
        <v>37.08</v>
      </c>
      <c r="K34" s="4">
        <f t="shared" si="0"/>
        <v>1769.0497199999998</v>
      </c>
      <c r="L34" s="4">
        <f t="shared" si="1"/>
        <v>3001.8502799999997</v>
      </c>
      <c r="P34" s="11"/>
      <c r="Q34" s="11"/>
      <c r="R34" s="11"/>
      <c r="S34" s="11"/>
      <c r="T34" s="11"/>
      <c r="U34" s="11"/>
    </row>
    <row r="35" spans="1:21" x14ac:dyDescent="0.3">
      <c r="A35" s="1">
        <v>1033</v>
      </c>
      <c r="B35" s="2">
        <v>44348</v>
      </c>
      <c r="C35" s="1" t="s">
        <v>10</v>
      </c>
      <c r="D35" s="1" t="s">
        <v>73</v>
      </c>
      <c r="E35" s="1" t="s">
        <v>28</v>
      </c>
      <c r="F35" s="1">
        <v>4960.07</v>
      </c>
      <c r="G35" s="1" t="s">
        <v>74</v>
      </c>
      <c r="H35" s="2">
        <v>31224</v>
      </c>
      <c r="I35" s="2">
        <v>44362</v>
      </c>
      <c r="J35" s="1">
        <v>32.39</v>
      </c>
      <c r="K35" s="4">
        <f t="shared" si="0"/>
        <v>1606.566673</v>
      </c>
      <c r="L35" s="4">
        <f t="shared" si="1"/>
        <v>3353.5033269999994</v>
      </c>
      <c r="P35" s="7" t="s">
        <v>331</v>
      </c>
      <c r="Q35" s="7" t="s">
        <v>10</v>
      </c>
      <c r="R35" s="7" t="s">
        <v>14</v>
      </c>
      <c r="S35" s="7" t="s">
        <v>21</v>
      </c>
      <c r="T35" s="7" t="s">
        <v>26</v>
      </c>
      <c r="U35" s="7" t="s">
        <v>35</v>
      </c>
    </row>
    <row r="36" spans="1:21" x14ac:dyDescent="0.3">
      <c r="A36" s="1">
        <v>1034</v>
      </c>
      <c r="B36" s="2">
        <v>45016</v>
      </c>
      <c r="C36" s="1" t="s">
        <v>10</v>
      </c>
      <c r="D36" s="1" t="s">
        <v>47</v>
      </c>
      <c r="E36" s="1" t="s">
        <v>12</v>
      </c>
      <c r="F36" s="1">
        <v>3598.89</v>
      </c>
      <c r="G36" s="1" t="s">
        <v>75</v>
      </c>
      <c r="H36" s="2">
        <v>25853</v>
      </c>
      <c r="I36" s="2">
        <v>45026</v>
      </c>
      <c r="J36" s="1">
        <v>2.8</v>
      </c>
      <c r="K36" s="4">
        <f t="shared" si="0"/>
        <v>100.76891999999998</v>
      </c>
      <c r="L36" s="4">
        <f t="shared" si="1"/>
        <v>3498.1210799999999</v>
      </c>
      <c r="P36" s="8" t="s">
        <v>11</v>
      </c>
      <c r="Q36" s="5">
        <f>SUMIFS($L$2:$L$1001,$D$2:$D$1001,$P36,$C$2:$C$1001,Q$35,$L$2:$L$1001,"&gt;1000")</f>
        <v>14232.651057999999</v>
      </c>
      <c r="R36" s="5">
        <f t="shared" ref="R36:U51" si="6">SUMIFS($L$2:$L$1001,$D$2:$D$1001,$P36,$C$2:$C$1001,R$35,$L$2:$L$1001,"&gt;1000")</f>
        <v>12971.374389999999</v>
      </c>
      <c r="S36" s="5">
        <f t="shared" si="6"/>
        <v>15609.389131</v>
      </c>
      <c r="T36" s="5">
        <f t="shared" si="6"/>
        <v>13037.075943999998</v>
      </c>
      <c r="U36" s="5">
        <f t="shared" si="6"/>
        <v>21859.269948000001</v>
      </c>
    </row>
    <row r="37" spans="1:21" x14ac:dyDescent="0.3">
      <c r="A37" s="1">
        <v>1035</v>
      </c>
      <c r="B37" s="2">
        <v>45070</v>
      </c>
      <c r="C37" s="1" t="s">
        <v>26</v>
      </c>
      <c r="D37" s="1" t="s">
        <v>69</v>
      </c>
      <c r="E37" s="1" t="s">
        <v>31</v>
      </c>
      <c r="F37" s="1">
        <v>2445.59</v>
      </c>
      <c r="G37" s="1" t="s">
        <v>76</v>
      </c>
      <c r="H37" s="2">
        <v>37049</v>
      </c>
      <c r="I37" s="2">
        <v>45081</v>
      </c>
      <c r="J37" s="1">
        <v>9.6</v>
      </c>
      <c r="K37" s="4">
        <f t="shared" si="0"/>
        <v>234.77664000000001</v>
      </c>
      <c r="L37" s="4">
        <f t="shared" si="1"/>
        <v>2210.8133600000001</v>
      </c>
      <c r="P37" s="8" t="s">
        <v>15</v>
      </c>
      <c r="Q37" s="5">
        <f t="shared" ref="Q37:U59" si="7">SUMIFS($L$2:$L$1001,$D$2:$D$1001,$P37,$C$2:$C$1001,Q$35,$L$2:$L$1001,"&gt;1000")</f>
        <v>19580.182897999999</v>
      </c>
      <c r="R37" s="5">
        <f t="shared" si="6"/>
        <v>19498.411032</v>
      </c>
      <c r="S37" s="5">
        <f t="shared" si="6"/>
        <v>12599.487802000001</v>
      </c>
      <c r="T37" s="5">
        <f t="shared" si="6"/>
        <v>10676.368538999999</v>
      </c>
      <c r="U37" s="5">
        <f t="shared" si="6"/>
        <v>8512.7185939999999</v>
      </c>
    </row>
    <row r="38" spans="1:21" x14ac:dyDescent="0.3">
      <c r="A38" s="1">
        <v>1036</v>
      </c>
      <c r="B38" s="2">
        <v>45035</v>
      </c>
      <c r="C38" s="1" t="s">
        <v>35</v>
      </c>
      <c r="D38" s="1" t="s">
        <v>58</v>
      </c>
      <c r="E38" s="1" t="s">
        <v>31</v>
      </c>
      <c r="F38" s="1">
        <v>3781.84</v>
      </c>
      <c r="G38" s="1" t="s">
        <v>77</v>
      </c>
      <c r="H38" s="2">
        <v>38696</v>
      </c>
      <c r="I38" s="2">
        <v>45038</v>
      </c>
      <c r="J38" s="1">
        <v>35.909999999999997</v>
      </c>
      <c r="K38" s="4">
        <f t="shared" si="0"/>
        <v>1358.0587439999999</v>
      </c>
      <c r="L38" s="4">
        <f t="shared" si="1"/>
        <v>2423.7812560000002</v>
      </c>
      <c r="P38" s="8" t="s">
        <v>18</v>
      </c>
      <c r="Q38" s="5">
        <f t="shared" si="7"/>
        <v>8459.0007430000005</v>
      </c>
      <c r="R38" s="5">
        <f t="shared" si="6"/>
        <v>16527.033984000002</v>
      </c>
      <c r="S38" s="5">
        <f t="shared" si="6"/>
        <v>11157.579183000002</v>
      </c>
      <c r="T38" s="5">
        <f t="shared" si="6"/>
        <v>9814.8741910000008</v>
      </c>
      <c r="U38" s="5">
        <f t="shared" si="6"/>
        <v>14390.946326999998</v>
      </c>
    </row>
    <row r="39" spans="1:21" x14ac:dyDescent="0.3">
      <c r="A39" s="1">
        <v>1037</v>
      </c>
      <c r="B39" s="2">
        <v>45283</v>
      </c>
      <c r="C39" s="1" t="s">
        <v>21</v>
      </c>
      <c r="D39" s="1" t="s">
        <v>71</v>
      </c>
      <c r="E39" s="1" t="s">
        <v>31</v>
      </c>
      <c r="F39" s="1">
        <v>2577.08</v>
      </c>
      <c r="G39" s="1" t="s">
        <v>78</v>
      </c>
      <c r="H39" s="2">
        <v>25099</v>
      </c>
      <c r="I39" s="2">
        <v>45294</v>
      </c>
      <c r="J39" s="1">
        <v>14.51</v>
      </c>
      <c r="K39" s="4">
        <f t="shared" si="0"/>
        <v>373.93430799999999</v>
      </c>
      <c r="L39" s="4">
        <f t="shared" si="1"/>
        <v>2203.1456920000001</v>
      </c>
      <c r="P39" s="8" t="s">
        <v>22</v>
      </c>
      <c r="Q39" s="5">
        <f t="shared" si="7"/>
        <v>13384.526826000001</v>
      </c>
      <c r="R39" s="5">
        <f t="shared" si="6"/>
        <v>16864.921987999998</v>
      </c>
      <c r="S39" s="5">
        <f t="shared" si="6"/>
        <v>31614.727778000004</v>
      </c>
      <c r="T39" s="5">
        <f t="shared" si="6"/>
        <v>8915.4822629999999</v>
      </c>
      <c r="U39" s="5">
        <f t="shared" si="6"/>
        <v>10421.416032000001</v>
      </c>
    </row>
    <row r="40" spans="1:21" x14ac:dyDescent="0.3">
      <c r="A40" s="1">
        <v>1038</v>
      </c>
      <c r="B40" s="2">
        <v>45444</v>
      </c>
      <c r="C40" s="1" t="s">
        <v>26</v>
      </c>
      <c r="D40" s="1" t="s">
        <v>33</v>
      </c>
      <c r="E40" s="1" t="s">
        <v>16</v>
      </c>
      <c r="F40" s="1">
        <v>301.27999999999997</v>
      </c>
      <c r="G40" s="1" t="s">
        <v>79</v>
      </c>
      <c r="H40" s="2">
        <v>28675</v>
      </c>
      <c r="I40" s="2">
        <v>45447</v>
      </c>
      <c r="J40" s="1">
        <v>40.67</v>
      </c>
      <c r="K40" s="4">
        <f t="shared" si="0"/>
        <v>122.530576</v>
      </c>
      <c r="L40" s="4">
        <f t="shared" si="1"/>
        <v>178.74942399999998</v>
      </c>
      <c r="P40" s="8" t="s">
        <v>24</v>
      </c>
      <c r="Q40" s="5">
        <f t="shared" si="7"/>
        <v>16658.048180999998</v>
      </c>
      <c r="R40" s="5">
        <f t="shared" si="6"/>
        <v>10194.903316000002</v>
      </c>
      <c r="S40" s="5">
        <f t="shared" si="6"/>
        <v>23018.092332999997</v>
      </c>
      <c r="T40" s="5">
        <f t="shared" si="6"/>
        <v>12802.502431000001</v>
      </c>
      <c r="U40" s="5">
        <f t="shared" si="6"/>
        <v>14483.982447999999</v>
      </c>
    </row>
    <row r="41" spans="1:21" x14ac:dyDescent="0.3">
      <c r="A41" s="1">
        <v>1039</v>
      </c>
      <c r="B41" s="2">
        <v>44521</v>
      </c>
      <c r="C41" s="1" t="s">
        <v>35</v>
      </c>
      <c r="D41" s="1" t="s">
        <v>58</v>
      </c>
      <c r="E41" s="1" t="s">
        <v>31</v>
      </c>
      <c r="F41" s="1">
        <v>2471.8000000000002</v>
      </c>
      <c r="G41" s="1" t="s">
        <v>80</v>
      </c>
      <c r="H41" s="2">
        <v>31578</v>
      </c>
      <c r="I41" s="2">
        <v>44522</v>
      </c>
      <c r="J41" s="1">
        <v>29.86</v>
      </c>
      <c r="K41" s="4">
        <f t="shared" si="0"/>
        <v>738.07947999999999</v>
      </c>
      <c r="L41" s="4">
        <f t="shared" si="1"/>
        <v>1733.7205200000003</v>
      </c>
      <c r="P41" s="8" t="s">
        <v>27</v>
      </c>
      <c r="Q41" s="5">
        <f t="shared" si="7"/>
        <v>16112.283347000001</v>
      </c>
      <c r="R41" s="5">
        <f t="shared" si="6"/>
        <v>3987.6198359999999</v>
      </c>
      <c r="S41" s="5">
        <f t="shared" si="6"/>
        <v>11957.337758</v>
      </c>
      <c r="T41" s="5">
        <f t="shared" si="6"/>
        <v>23530.589200999999</v>
      </c>
      <c r="U41" s="5">
        <f t="shared" si="6"/>
        <v>11248.260897</v>
      </c>
    </row>
    <row r="42" spans="1:21" x14ac:dyDescent="0.3">
      <c r="A42" s="1">
        <v>1040</v>
      </c>
      <c r="B42" s="2">
        <v>45056</v>
      </c>
      <c r="C42" s="1" t="s">
        <v>10</v>
      </c>
      <c r="D42" s="1" t="s">
        <v>24</v>
      </c>
      <c r="E42" s="1" t="s">
        <v>19</v>
      </c>
      <c r="F42" s="1">
        <v>2421.06</v>
      </c>
      <c r="G42" s="1" t="s">
        <v>81</v>
      </c>
      <c r="H42" s="2">
        <v>38350</v>
      </c>
      <c r="I42" s="2">
        <v>45069</v>
      </c>
      <c r="J42" s="1">
        <v>41.86</v>
      </c>
      <c r="K42" s="4">
        <f t="shared" si="0"/>
        <v>1013.4557159999999</v>
      </c>
      <c r="L42" s="4">
        <f t="shared" si="1"/>
        <v>1407.604284</v>
      </c>
      <c r="P42" s="8" t="s">
        <v>30</v>
      </c>
      <c r="Q42" s="5">
        <f t="shared" si="7"/>
        <v>13080.097271000002</v>
      </c>
      <c r="R42" s="5">
        <f t="shared" si="6"/>
        <v>15343.852654999999</v>
      </c>
      <c r="S42" s="5">
        <f t="shared" si="6"/>
        <v>15238.849525</v>
      </c>
      <c r="T42" s="5">
        <f t="shared" si="6"/>
        <v>10341.306952999999</v>
      </c>
      <c r="U42" s="5">
        <f t="shared" si="6"/>
        <v>11768.488358999999</v>
      </c>
    </row>
    <row r="43" spans="1:21" x14ac:dyDescent="0.3">
      <c r="A43" s="1">
        <v>1041</v>
      </c>
      <c r="B43" s="2">
        <v>44876</v>
      </c>
      <c r="C43" s="1" t="s">
        <v>26</v>
      </c>
      <c r="D43" s="1" t="s">
        <v>18</v>
      </c>
      <c r="E43" s="1" t="s">
        <v>19</v>
      </c>
      <c r="F43" s="1">
        <v>2755.69</v>
      </c>
      <c r="G43" s="1" t="s">
        <v>82</v>
      </c>
      <c r="H43" s="2">
        <v>38879</v>
      </c>
      <c r="I43" s="2">
        <v>44881</v>
      </c>
      <c r="J43" s="1">
        <v>8.0500000000000007</v>
      </c>
      <c r="K43" s="4">
        <f t="shared" si="0"/>
        <v>221.833045</v>
      </c>
      <c r="L43" s="4">
        <f t="shared" si="1"/>
        <v>2533.8569550000002</v>
      </c>
      <c r="P43" s="8" t="s">
        <v>33</v>
      </c>
      <c r="Q43" s="5">
        <f t="shared" si="7"/>
        <v>9829.3548069999997</v>
      </c>
      <c r="R43" s="5">
        <f t="shared" si="6"/>
        <v>23822.286853000001</v>
      </c>
      <c r="S43" s="5">
        <f t="shared" si="6"/>
        <v>18683.454728000001</v>
      </c>
      <c r="T43" s="5">
        <f t="shared" si="6"/>
        <v>18346.162852000001</v>
      </c>
      <c r="U43" s="5">
        <f t="shared" si="6"/>
        <v>10548.327366000001</v>
      </c>
    </row>
    <row r="44" spans="1:21" x14ac:dyDescent="0.3">
      <c r="A44" s="1">
        <v>1042</v>
      </c>
      <c r="B44" s="2">
        <v>44218</v>
      </c>
      <c r="C44" s="1" t="s">
        <v>35</v>
      </c>
      <c r="D44" s="1" t="s">
        <v>65</v>
      </c>
      <c r="E44" s="1" t="s">
        <v>19</v>
      </c>
      <c r="F44" s="1">
        <v>2810.19</v>
      </c>
      <c r="G44" s="1" t="s">
        <v>83</v>
      </c>
      <c r="H44" s="2">
        <v>24673</v>
      </c>
      <c r="I44" s="2">
        <v>44225</v>
      </c>
      <c r="J44" s="1">
        <v>22.77</v>
      </c>
      <c r="K44" s="4">
        <f t="shared" si="0"/>
        <v>639.88026300000001</v>
      </c>
      <c r="L44" s="4">
        <f t="shared" si="1"/>
        <v>2170.309737</v>
      </c>
      <c r="P44" s="8" t="s">
        <v>36</v>
      </c>
      <c r="Q44" s="5">
        <f t="shared" si="7"/>
        <v>13850.360410000001</v>
      </c>
      <c r="R44" s="5">
        <f t="shared" si="6"/>
        <v>19318.034624</v>
      </c>
      <c r="S44" s="5">
        <f t="shared" si="6"/>
        <v>9539.1251550000015</v>
      </c>
      <c r="T44" s="5">
        <f t="shared" si="6"/>
        <v>5628.8659090000001</v>
      </c>
      <c r="U44" s="5">
        <f t="shared" si="6"/>
        <v>21042.739970000002</v>
      </c>
    </row>
    <row r="45" spans="1:21" x14ac:dyDescent="0.3">
      <c r="A45" s="1">
        <v>1043</v>
      </c>
      <c r="B45" s="2">
        <v>45566</v>
      </c>
      <c r="C45" s="1" t="s">
        <v>21</v>
      </c>
      <c r="D45" s="1" t="s">
        <v>71</v>
      </c>
      <c r="E45" s="1" t="s">
        <v>31</v>
      </c>
      <c r="F45" s="1">
        <v>2567.7399999999998</v>
      </c>
      <c r="G45" s="1" t="s">
        <v>84</v>
      </c>
      <c r="H45" s="2">
        <v>26472</v>
      </c>
      <c r="I45" s="2">
        <v>45578</v>
      </c>
      <c r="J45" s="1">
        <v>43.1</v>
      </c>
      <c r="K45" s="4">
        <f t="shared" si="0"/>
        <v>1106.6959399999998</v>
      </c>
      <c r="L45" s="4">
        <f t="shared" si="1"/>
        <v>1461.0440599999999</v>
      </c>
      <c r="P45" s="8" t="s">
        <v>38</v>
      </c>
      <c r="Q45" s="5">
        <f t="shared" si="7"/>
        <v>17508.755761999997</v>
      </c>
      <c r="R45" s="5">
        <f t="shared" si="6"/>
        <v>10231.918428000001</v>
      </c>
      <c r="S45" s="5">
        <f t="shared" si="6"/>
        <v>13119.855618999998</v>
      </c>
      <c r="T45" s="5">
        <f t="shared" si="6"/>
        <v>14066.581276000001</v>
      </c>
      <c r="U45" s="5">
        <f t="shared" si="6"/>
        <v>22110.025763000001</v>
      </c>
    </row>
    <row r="46" spans="1:21" x14ac:dyDescent="0.3">
      <c r="A46" s="1">
        <v>1044</v>
      </c>
      <c r="B46" s="2">
        <v>45605</v>
      </c>
      <c r="C46" s="1" t="s">
        <v>26</v>
      </c>
      <c r="D46" s="1" t="s">
        <v>44</v>
      </c>
      <c r="E46" s="1" t="s">
        <v>16</v>
      </c>
      <c r="F46" s="1">
        <v>1716.51</v>
      </c>
      <c r="G46" s="1" t="s">
        <v>67</v>
      </c>
      <c r="H46" s="2">
        <v>34016</v>
      </c>
      <c r="I46" s="2">
        <v>45619</v>
      </c>
      <c r="J46" s="1">
        <v>4.53</v>
      </c>
      <c r="K46" s="4">
        <f t="shared" si="0"/>
        <v>77.757902999999999</v>
      </c>
      <c r="L46" s="4">
        <f t="shared" si="1"/>
        <v>1638.752097</v>
      </c>
      <c r="P46" s="8" t="s">
        <v>40</v>
      </c>
      <c r="Q46" s="5">
        <f t="shared" si="7"/>
        <v>18131.622309999999</v>
      </c>
      <c r="R46" s="5">
        <f t="shared" si="6"/>
        <v>4965.9336179999991</v>
      </c>
      <c r="S46" s="5">
        <f t="shared" si="6"/>
        <v>23804.219292000002</v>
      </c>
      <c r="T46" s="5">
        <f t="shared" si="6"/>
        <v>13832.864073999999</v>
      </c>
      <c r="U46" s="5">
        <f t="shared" si="6"/>
        <v>4229.699216</v>
      </c>
    </row>
    <row r="47" spans="1:21" x14ac:dyDescent="0.3">
      <c r="A47" s="1">
        <v>1045</v>
      </c>
      <c r="B47" s="2">
        <v>44129</v>
      </c>
      <c r="C47" s="1" t="s">
        <v>10</v>
      </c>
      <c r="D47" s="1" t="s">
        <v>44</v>
      </c>
      <c r="E47" s="1" t="s">
        <v>16</v>
      </c>
      <c r="F47" s="1">
        <v>2117.04</v>
      </c>
      <c r="G47" s="1" t="s">
        <v>85</v>
      </c>
      <c r="H47" s="2">
        <v>37236</v>
      </c>
      <c r="I47" s="2">
        <v>44138</v>
      </c>
      <c r="J47" s="1">
        <v>44.1</v>
      </c>
      <c r="K47" s="4">
        <f t="shared" si="0"/>
        <v>933.61464000000001</v>
      </c>
      <c r="L47" s="4">
        <f t="shared" si="1"/>
        <v>1183.42536</v>
      </c>
      <c r="P47" s="8" t="s">
        <v>44</v>
      </c>
      <c r="Q47" s="5">
        <f t="shared" si="7"/>
        <v>19987.713030999999</v>
      </c>
      <c r="R47" s="5">
        <f t="shared" si="6"/>
        <v>18648.445839</v>
      </c>
      <c r="S47" s="5">
        <f t="shared" si="6"/>
        <v>6521.3621119999998</v>
      </c>
      <c r="T47" s="5">
        <f t="shared" si="6"/>
        <v>19631.827588999997</v>
      </c>
      <c r="U47" s="5">
        <f t="shared" si="6"/>
        <v>13051.672447999999</v>
      </c>
    </row>
    <row r="48" spans="1:21" x14ac:dyDescent="0.3">
      <c r="A48" s="1">
        <v>1046</v>
      </c>
      <c r="B48" s="2">
        <v>45878</v>
      </c>
      <c r="C48" s="1" t="s">
        <v>14</v>
      </c>
      <c r="D48" s="1" t="s">
        <v>55</v>
      </c>
      <c r="E48" s="1" t="s">
        <v>31</v>
      </c>
      <c r="F48" s="1">
        <v>4425.8100000000004</v>
      </c>
      <c r="G48" s="1" t="s">
        <v>86</v>
      </c>
      <c r="H48" s="2">
        <v>37858</v>
      </c>
      <c r="I48" s="2">
        <v>45886</v>
      </c>
      <c r="J48" s="1">
        <v>25.08</v>
      </c>
      <c r="K48" s="4">
        <f t="shared" si="0"/>
        <v>1109.993148</v>
      </c>
      <c r="L48" s="4">
        <f t="shared" si="1"/>
        <v>3315.8168520000004</v>
      </c>
      <c r="P48" s="8" t="s">
        <v>47</v>
      </c>
      <c r="Q48" s="5">
        <f t="shared" si="7"/>
        <v>16361.586329999998</v>
      </c>
      <c r="R48" s="5">
        <f t="shared" si="6"/>
        <v>17678.813592000002</v>
      </c>
      <c r="S48" s="5">
        <f t="shared" si="6"/>
        <v>2294.54612</v>
      </c>
      <c r="T48" s="5">
        <f t="shared" si="6"/>
        <v>14254.380163</v>
      </c>
      <c r="U48" s="5">
        <f t="shared" si="6"/>
        <v>11510.963246000001</v>
      </c>
    </row>
    <row r="49" spans="1:21" x14ac:dyDescent="0.3">
      <c r="A49" s="1">
        <v>1047</v>
      </c>
      <c r="B49" s="2">
        <v>45337</v>
      </c>
      <c r="C49" s="1" t="s">
        <v>26</v>
      </c>
      <c r="D49" s="1" t="s">
        <v>18</v>
      </c>
      <c r="E49" s="1" t="s">
        <v>19</v>
      </c>
      <c r="F49" s="1">
        <v>1443.45</v>
      </c>
      <c r="G49" s="1" t="s">
        <v>87</v>
      </c>
      <c r="H49" s="2">
        <v>36012</v>
      </c>
      <c r="I49" s="2">
        <v>45338</v>
      </c>
      <c r="J49" s="1">
        <v>34.08</v>
      </c>
      <c r="K49" s="4">
        <f t="shared" si="0"/>
        <v>491.92775999999998</v>
      </c>
      <c r="L49" s="4">
        <f t="shared" si="1"/>
        <v>951.52224000000001</v>
      </c>
      <c r="P49" s="8" t="s">
        <v>49</v>
      </c>
      <c r="Q49" s="5">
        <f t="shared" si="7"/>
        <v>11894.975898999999</v>
      </c>
      <c r="R49" s="5">
        <f t="shared" si="6"/>
        <v>18100.935582000002</v>
      </c>
      <c r="S49" s="5">
        <f t="shared" si="6"/>
        <v>15229.709298</v>
      </c>
      <c r="T49" s="5">
        <f t="shared" si="6"/>
        <v>26664.369989999999</v>
      </c>
      <c r="U49" s="5">
        <f t="shared" si="6"/>
        <v>8831.3609529999994</v>
      </c>
    </row>
    <row r="50" spans="1:21" x14ac:dyDescent="0.3">
      <c r="A50" s="1">
        <v>1048</v>
      </c>
      <c r="B50" s="2">
        <v>44436</v>
      </c>
      <c r="C50" s="1" t="s">
        <v>21</v>
      </c>
      <c r="D50" s="1" t="s">
        <v>88</v>
      </c>
      <c r="E50" s="1" t="s">
        <v>16</v>
      </c>
      <c r="F50" s="1">
        <v>2162.52</v>
      </c>
      <c r="G50" s="1" t="s">
        <v>89</v>
      </c>
      <c r="H50" s="2">
        <v>37141</v>
      </c>
      <c r="I50" s="2">
        <v>44437</v>
      </c>
      <c r="J50" s="1">
        <v>37.590000000000003</v>
      </c>
      <c r="K50" s="4">
        <f t="shared" si="0"/>
        <v>812.89126799999997</v>
      </c>
      <c r="L50" s="4">
        <f t="shared" si="1"/>
        <v>1349.6287320000001</v>
      </c>
      <c r="P50" s="8" t="s">
        <v>53</v>
      </c>
      <c r="Q50" s="5">
        <f t="shared" si="7"/>
        <v>20376.32056</v>
      </c>
      <c r="R50" s="5">
        <f t="shared" si="6"/>
        <v>18161.532391000001</v>
      </c>
      <c r="S50" s="5">
        <f t="shared" si="6"/>
        <v>16509.162422999998</v>
      </c>
      <c r="T50" s="5">
        <f t="shared" si="6"/>
        <v>14103.160549</v>
      </c>
      <c r="U50" s="5">
        <f t="shared" si="6"/>
        <v>26545.062290999995</v>
      </c>
    </row>
    <row r="51" spans="1:21" x14ac:dyDescent="0.3">
      <c r="A51" s="1">
        <v>1049</v>
      </c>
      <c r="B51" s="2">
        <v>44339</v>
      </c>
      <c r="C51" s="1" t="s">
        <v>14</v>
      </c>
      <c r="D51" s="1" t="s">
        <v>24</v>
      </c>
      <c r="E51" s="1" t="s">
        <v>19</v>
      </c>
      <c r="F51" s="1">
        <v>2194.81</v>
      </c>
      <c r="G51" s="1" t="s">
        <v>90</v>
      </c>
      <c r="H51" s="2">
        <v>29348</v>
      </c>
      <c r="I51" s="2">
        <v>44343</v>
      </c>
      <c r="J51" s="1">
        <v>31.26</v>
      </c>
      <c r="K51" s="4">
        <f t="shared" si="0"/>
        <v>686.09760599999993</v>
      </c>
      <c r="L51" s="4">
        <f t="shared" si="1"/>
        <v>1508.7123940000001</v>
      </c>
      <c r="P51" s="8" t="s">
        <v>55</v>
      </c>
      <c r="Q51" s="5">
        <f t="shared" si="7"/>
        <v>4588.5536920000004</v>
      </c>
      <c r="R51" s="5">
        <f t="shared" si="6"/>
        <v>22390.951775000001</v>
      </c>
      <c r="S51" s="5">
        <f t="shared" si="6"/>
        <v>13679.097212000001</v>
      </c>
      <c r="T51" s="5">
        <f t="shared" si="6"/>
        <v>16057.703308</v>
      </c>
      <c r="U51" s="5">
        <f t="shared" si="6"/>
        <v>17074.215263999999</v>
      </c>
    </row>
    <row r="52" spans="1:21" x14ac:dyDescent="0.3">
      <c r="A52" s="1">
        <v>1050</v>
      </c>
      <c r="B52" s="2">
        <v>45450</v>
      </c>
      <c r="C52" s="1" t="s">
        <v>35</v>
      </c>
      <c r="D52" s="1" t="s">
        <v>61</v>
      </c>
      <c r="E52" s="1" t="s">
        <v>19</v>
      </c>
      <c r="F52" s="1">
        <v>4255.5600000000004</v>
      </c>
      <c r="G52" s="1" t="s">
        <v>91</v>
      </c>
      <c r="H52" s="2">
        <v>34220</v>
      </c>
      <c r="I52" s="2">
        <v>45452</v>
      </c>
      <c r="J52" s="1">
        <v>31.49</v>
      </c>
      <c r="K52" s="4">
        <f t="shared" si="0"/>
        <v>1340.075844</v>
      </c>
      <c r="L52" s="4">
        <f t="shared" si="1"/>
        <v>2915.4841560000004</v>
      </c>
      <c r="P52" s="8" t="s">
        <v>58</v>
      </c>
      <c r="Q52" s="5">
        <f t="shared" si="7"/>
        <v>14048.348857000001</v>
      </c>
      <c r="R52" s="5">
        <f t="shared" si="7"/>
        <v>8527.6539760000014</v>
      </c>
      <c r="S52" s="5">
        <f t="shared" si="7"/>
        <v>20417.503494000001</v>
      </c>
      <c r="T52" s="5">
        <f t="shared" si="7"/>
        <v>10158.781762999999</v>
      </c>
      <c r="U52" s="5">
        <f t="shared" si="7"/>
        <v>25835.104829999997</v>
      </c>
    </row>
    <row r="53" spans="1:21" x14ac:dyDescent="0.3">
      <c r="A53" s="1">
        <v>1051</v>
      </c>
      <c r="B53" s="2">
        <v>44296</v>
      </c>
      <c r="C53" s="1" t="s">
        <v>35</v>
      </c>
      <c r="D53" s="1" t="s">
        <v>69</v>
      </c>
      <c r="E53" s="1" t="s">
        <v>12</v>
      </c>
      <c r="F53" s="1">
        <v>3921.4</v>
      </c>
      <c r="G53" s="1" t="s">
        <v>92</v>
      </c>
      <c r="H53" s="2">
        <v>24544</v>
      </c>
      <c r="I53" s="2">
        <v>44304</v>
      </c>
      <c r="J53" s="1">
        <v>23.42</v>
      </c>
      <c r="K53" s="4">
        <f t="shared" si="0"/>
        <v>918.39188000000013</v>
      </c>
      <c r="L53" s="4">
        <f t="shared" si="1"/>
        <v>3003.00812</v>
      </c>
      <c r="P53" s="8" t="s">
        <v>61</v>
      </c>
      <c r="Q53" s="5">
        <f t="shared" si="7"/>
        <v>3257.7426299999997</v>
      </c>
      <c r="R53" s="5">
        <f t="shared" si="7"/>
        <v>16817.766618999998</v>
      </c>
      <c r="S53" s="5">
        <f t="shared" si="7"/>
        <v>11327.510855999999</v>
      </c>
      <c r="T53" s="5">
        <f t="shared" si="7"/>
        <v>22155.555258999997</v>
      </c>
      <c r="U53" s="5">
        <f t="shared" si="7"/>
        <v>21935.208814000001</v>
      </c>
    </row>
    <row r="54" spans="1:21" x14ac:dyDescent="0.3">
      <c r="A54" s="1">
        <v>1052</v>
      </c>
      <c r="B54" s="2">
        <v>44954</v>
      </c>
      <c r="C54" s="1" t="s">
        <v>35</v>
      </c>
      <c r="D54" s="1" t="s">
        <v>65</v>
      </c>
      <c r="E54" s="1" t="s">
        <v>19</v>
      </c>
      <c r="F54" s="1">
        <v>4847.83</v>
      </c>
      <c r="G54" s="1" t="s">
        <v>93</v>
      </c>
      <c r="H54" s="2">
        <v>33984</v>
      </c>
      <c r="I54" s="2">
        <v>44960</v>
      </c>
      <c r="J54" s="1">
        <v>14.96</v>
      </c>
      <c r="K54" s="4">
        <f t="shared" si="0"/>
        <v>725.23536799999999</v>
      </c>
      <c r="L54" s="4">
        <f t="shared" si="1"/>
        <v>4122.5946320000003</v>
      </c>
      <c r="P54" s="8" t="s">
        <v>65</v>
      </c>
      <c r="Q54" s="5">
        <f t="shared" si="7"/>
        <v>8698.4132609999997</v>
      </c>
      <c r="R54" s="5">
        <f t="shared" si="7"/>
        <v>14318.276094000001</v>
      </c>
      <c r="S54" s="5">
        <f t="shared" si="7"/>
        <v>4281.6802360000001</v>
      </c>
      <c r="T54" s="5">
        <f t="shared" si="7"/>
        <v>16555.970590000001</v>
      </c>
      <c r="U54" s="5">
        <f t="shared" si="7"/>
        <v>16318.893445</v>
      </c>
    </row>
    <row r="55" spans="1:21" x14ac:dyDescent="0.3">
      <c r="A55" s="1">
        <v>1053</v>
      </c>
      <c r="B55" s="2">
        <v>45512</v>
      </c>
      <c r="C55" s="1" t="s">
        <v>14</v>
      </c>
      <c r="D55" s="1" t="s">
        <v>18</v>
      </c>
      <c r="E55" s="1" t="s">
        <v>19</v>
      </c>
      <c r="F55" s="1">
        <v>1731.23</v>
      </c>
      <c r="G55" s="1" t="s">
        <v>94</v>
      </c>
      <c r="H55" s="2">
        <v>25516</v>
      </c>
      <c r="I55" s="2">
        <v>45516</v>
      </c>
      <c r="J55" s="1">
        <v>8.27</v>
      </c>
      <c r="K55" s="4">
        <f t="shared" si="0"/>
        <v>143.172721</v>
      </c>
      <c r="L55" s="4">
        <f t="shared" si="1"/>
        <v>1588.0572790000001</v>
      </c>
      <c r="P55" s="8" t="s">
        <v>69</v>
      </c>
      <c r="Q55" s="5">
        <f t="shared" si="7"/>
        <v>16128.944704999998</v>
      </c>
      <c r="R55" s="5">
        <f t="shared" si="7"/>
        <v>24414.665888000003</v>
      </c>
      <c r="S55" s="5">
        <f t="shared" si="7"/>
        <v>23610.861342000004</v>
      </c>
      <c r="T55" s="5">
        <f t="shared" si="7"/>
        <v>16739.889995000001</v>
      </c>
      <c r="U55" s="5">
        <f t="shared" si="7"/>
        <v>16942.739580000001</v>
      </c>
    </row>
    <row r="56" spans="1:21" x14ac:dyDescent="0.3">
      <c r="A56" s="1">
        <v>1054</v>
      </c>
      <c r="B56" s="2">
        <v>45579</v>
      </c>
      <c r="C56" s="1" t="s">
        <v>10</v>
      </c>
      <c r="D56" s="1" t="s">
        <v>15</v>
      </c>
      <c r="E56" s="1" t="s">
        <v>16</v>
      </c>
      <c r="F56" s="1">
        <v>1414.61</v>
      </c>
      <c r="G56" s="1" t="s">
        <v>95</v>
      </c>
      <c r="H56" s="2">
        <v>25821</v>
      </c>
      <c r="I56" s="2">
        <v>45580</v>
      </c>
      <c r="J56" s="1">
        <v>10.31</v>
      </c>
      <c r="K56" s="4">
        <f t="shared" si="0"/>
        <v>145.84629100000001</v>
      </c>
      <c r="L56" s="4">
        <f t="shared" si="1"/>
        <v>1268.7637089999998</v>
      </c>
      <c r="P56" s="8" t="s">
        <v>71</v>
      </c>
      <c r="Q56" s="5">
        <f t="shared" si="7"/>
        <v>1207.4825699999999</v>
      </c>
      <c r="R56" s="5">
        <f t="shared" si="7"/>
        <v>5681.6179200000006</v>
      </c>
      <c r="S56" s="5">
        <f t="shared" si="7"/>
        <v>16840.508097000002</v>
      </c>
      <c r="T56" s="5">
        <f t="shared" si="7"/>
        <v>12497.197133000001</v>
      </c>
      <c r="U56" s="5">
        <f t="shared" si="7"/>
        <v>21946.587007999995</v>
      </c>
    </row>
    <row r="57" spans="1:21" x14ac:dyDescent="0.3">
      <c r="A57" s="1">
        <v>1055</v>
      </c>
      <c r="B57" s="2">
        <v>45293</v>
      </c>
      <c r="C57" s="1" t="s">
        <v>35</v>
      </c>
      <c r="D57" s="1" t="s">
        <v>27</v>
      </c>
      <c r="E57" s="1" t="s">
        <v>28</v>
      </c>
      <c r="F57" s="1">
        <v>2130.08</v>
      </c>
      <c r="G57" s="1" t="s">
        <v>96</v>
      </c>
      <c r="H57" s="2">
        <v>36236</v>
      </c>
      <c r="I57" s="2">
        <v>45298</v>
      </c>
      <c r="J57" s="1">
        <v>20.03</v>
      </c>
      <c r="K57" s="4">
        <f t="shared" si="0"/>
        <v>426.65502400000003</v>
      </c>
      <c r="L57" s="4">
        <f t="shared" si="1"/>
        <v>1703.4249759999998</v>
      </c>
      <c r="P57" s="8" t="s">
        <v>73</v>
      </c>
      <c r="Q57" s="5">
        <f t="shared" si="7"/>
        <v>16320.891432</v>
      </c>
      <c r="R57" s="5">
        <f t="shared" si="7"/>
        <v>12583.720648</v>
      </c>
      <c r="S57" s="5">
        <f t="shared" si="7"/>
        <v>5935.9252330000008</v>
      </c>
      <c r="T57" s="5">
        <f t="shared" si="7"/>
        <v>18939.027484999999</v>
      </c>
      <c r="U57" s="5">
        <f t="shared" si="7"/>
        <v>35518.000290999997</v>
      </c>
    </row>
    <row r="58" spans="1:21" x14ac:dyDescent="0.3">
      <c r="A58" s="1">
        <v>1056</v>
      </c>
      <c r="B58" s="2">
        <v>44987</v>
      </c>
      <c r="C58" s="1" t="s">
        <v>10</v>
      </c>
      <c r="D58" s="1" t="s">
        <v>40</v>
      </c>
      <c r="E58" s="1" t="s">
        <v>16</v>
      </c>
      <c r="F58" s="1">
        <v>3373.61</v>
      </c>
      <c r="G58" s="1" t="s">
        <v>97</v>
      </c>
      <c r="H58" s="2">
        <v>24706</v>
      </c>
      <c r="I58" s="2">
        <v>45000</v>
      </c>
      <c r="J58" s="1">
        <v>23.87</v>
      </c>
      <c r="K58" s="4">
        <f t="shared" si="0"/>
        <v>805.28070700000012</v>
      </c>
      <c r="L58" s="4">
        <f t="shared" si="1"/>
        <v>2568.3292929999998</v>
      </c>
      <c r="P58" s="8" t="s">
        <v>88</v>
      </c>
      <c r="Q58" s="5">
        <f t="shared" si="7"/>
        <v>7682.7014220000001</v>
      </c>
      <c r="R58" s="5">
        <f t="shared" si="7"/>
        <v>4800.2531349999999</v>
      </c>
      <c r="S58" s="5">
        <f t="shared" si="7"/>
        <v>15744.640960000002</v>
      </c>
      <c r="T58" s="5">
        <f t="shared" si="7"/>
        <v>3077.466304</v>
      </c>
      <c r="U58" s="5">
        <f t="shared" si="7"/>
        <v>22996.671167999997</v>
      </c>
    </row>
    <row r="59" spans="1:21" x14ac:dyDescent="0.3">
      <c r="A59" s="1">
        <v>1057</v>
      </c>
      <c r="B59" s="2">
        <v>44784</v>
      </c>
      <c r="C59" s="1" t="s">
        <v>35</v>
      </c>
      <c r="D59" s="1" t="s">
        <v>53</v>
      </c>
      <c r="E59" s="1" t="s">
        <v>28</v>
      </c>
      <c r="F59" s="1">
        <v>2471.33</v>
      </c>
      <c r="G59" s="1" t="s">
        <v>32</v>
      </c>
      <c r="H59" s="2">
        <v>27166</v>
      </c>
      <c r="I59" s="2">
        <v>44788</v>
      </c>
      <c r="J59" s="1">
        <v>19.45</v>
      </c>
      <c r="K59" s="4">
        <f t="shared" si="0"/>
        <v>480.67368499999998</v>
      </c>
      <c r="L59" s="4">
        <f t="shared" si="1"/>
        <v>1990.6563149999999</v>
      </c>
      <c r="P59" s="8" t="s">
        <v>102</v>
      </c>
      <c r="Q59" s="5">
        <f t="shared" si="7"/>
        <v>25945.809299000004</v>
      </c>
      <c r="R59" s="5">
        <f t="shared" si="7"/>
        <v>2287.416033</v>
      </c>
      <c r="S59" s="5">
        <f t="shared" si="7"/>
        <v>10726.488092000001</v>
      </c>
      <c r="T59" s="5">
        <f t="shared" si="7"/>
        <v>2257.2024030000002</v>
      </c>
      <c r="U59" s="5">
        <f t="shared" si="7"/>
        <v>0</v>
      </c>
    </row>
    <row r="60" spans="1:21" x14ac:dyDescent="0.3">
      <c r="A60" s="1">
        <v>1058</v>
      </c>
      <c r="B60" s="2">
        <v>44862</v>
      </c>
      <c r="C60" s="1" t="s">
        <v>21</v>
      </c>
      <c r="D60" s="1" t="s">
        <v>53</v>
      </c>
      <c r="E60" s="1" t="s">
        <v>28</v>
      </c>
      <c r="F60" s="1">
        <v>2895.56</v>
      </c>
      <c r="G60" s="1" t="s">
        <v>98</v>
      </c>
      <c r="H60" s="2">
        <v>38134</v>
      </c>
      <c r="I60" s="2">
        <v>44870</v>
      </c>
      <c r="J60" s="1">
        <v>2.38</v>
      </c>
      <c r="K60" s="4">
        <f t="shared" si="0"/>
        <v>68.914327999999998</v>
      </c>
      <c r="L60" s="4">
        <f t="shared" si="1"/>
        <v>2826.6456720000001</v>
      </c>
    </row>
    <row r="61" spans="1:21" x14ac:dyDescent="0.3">
      <c r="A61" s="1">
        <v>1059</v>
      </c>
      <c r="B61" s="2">
        <v>45636</v>
      </c>
      <c r="C61" s="1" t="s">
        <v>10</v>
      </c>
      <c r="D61" s="1" t="s">
        <v>15</v>
      </c>
      <c r="E61" s="1" t="s">
        <v>16</v>
      </c>
      <c r="F61" s="1">
        <v>401.47</v>
      </c>
      <c r="G61" s="1" t="s">
        <v>66</v>
      </c>
      <c r="H61" s="2">
        <v>33192</v>
      </c>
      <c r="I61" s="2">
        <v>45637</v>
      </c>
      <c r="J61" s="1">
        <v>41.19</v>
      </c>
      <c r="K61" s="4">
        <f t="shared" si="0"/>
        <v>165.36549300000001</v>
      </c>
      <c r="L61" s="4">
        <f t="shared" si="1"/>
        <v>236.10450700000001</v>
      </c>
    </row>
    <row r="62" spans="1:21" x14ac:dyDescent="0.3">
      <c r="A62" s="1">
        <v>1060</v>
      </c>
      <c r="B62" s="2">
        <v>44494</v>
      </c>
      <c r="C62" s="1" t="s">
        <v>10</v>
      </c>
      <c r="D62" s="1" t="s">
        <v>11</v>
      </c>
      <c r="E62" s="1" t="s">
        <v>12</v>
      </c>
      <c r="F62" s="1">
        <v>2174.4499999999998</v>
      </c>
      <c r="G62" s="1" t="s">
        <v>99</v>
      </c>
      <c r="H62" s="2">
        <v>26397</v>
      </c>
      <c r="I62" s="2">
        <v>44501</v>
      </c>
      <c r="J62" s="1">
        <v>42.65</v>
      </c>
      <c r="K62" s="4">
        <f t="shared" si="0"/>
        <v>927.40292499999987</v>
      </c>
      <c r="L62" s="4">
        <f t="shared" si="1"/>
        <v>1247.0470749999999</v>
      </c>
    </row>
    <row r="63" spans="1:21" x14ac:dyDescent="0.3">
      <c r="A63" s="1">
        <v>1061</v>
      </c>
      <c r="B63" s="2">
        <v>45886</v>
      </c>
      <c r="C63" s="1" t="s">
        <v>14</v>
      </c>
      <c r="D63" s="1" t="s">
        <v>58</v>
      </c>
      <c r="E63" s="1" t="s">
        <v>31</v>
      </c>
      <c r="F63" s="1">
        <v>2919.16</v>
      </c>
      <c r="G63" s="1" t="s">
        <v>100</v>
      </c>
      <c r="H63" s="2">
        <v>22100</v>
      </c>
      <c r="I63" s="2">
        <v>45892</v>
      </c>
      <c r="J63" s="1">
        <v>19.739999999999998</v>
      </c>
      <c r="K63" s="4">
        <f t="shared" si="0"/>
        <v>576.24218399999995</v>
      </c>
      <c r="L63" s="4">
        <f t="shared" si="1"/>
        <v>2342.9178160000001</v>
      </c>
    </row>
    <row r="64" spans="1:21" x14ac:dyDescent="0.3">
      <c r="A64" s="1">
        <v>1062</v>
      </c>
      <c r="B64" s="2">
        <v>45749</v>
      </c>
      <c r="C64" s="1" t="s">
        <v>10</v>
      </c>
      <c r="D64" s="1" t="s">
        <v>33</v>
      </c>
      <c r="E64" s="1" t="s">
        <v>16</v>
      </c>
      <c r="F64" s="1">
        <v>4834.29</v>
      </c>
      <c r="G64" s="1" t="s">
        <v>101</v>
      </c>
      <c r="H64" s="2">
        <v>31331</v>
      </c>
      <c r="I64" s="2">
        <v>45759</v>
      </c>
      <c r="J64" s="1">
        <v>2.39</v>
      </c>
      <c r="K64" s="4">
        <f t="shared" si="0"/>
        <v>115.53953100000001</v>
      </c>
      <c r="L64" s="4">
        <f t="shared" si="1"/>
        <v>4718.7504689999996</v>
      </c>
    </row>
    <row r="65" spans="1:12" x14ac:dyDescent="0.3">
      <c r="A65" s="1">
        <v>1063</v>
      </c>
      <c r="B65" s="2">
        <v>44590</v>
      </c>
      <c r="C65" s="1" t="s">
        <v>14</v>
      </c>
      <c r="D65" s="1" t="s">
        <v>36</v>
      </c>
      <c r="E65" s="1" t="s">
        <v>28</v>
      </c>
      <c r="F65" s="1">
        <v>543.84</v>
      </c>
      <c r="G65" s="1" t="s">
        <v>39</v>
      </c>
      <c r="H65" s="2">
        <v>26282</v>
      </c>
      <c r="I65" s="2">
        <v>44603</v>
      </c>
      <c r="J65" s="1">
        <v>27.65</v>
      </c>
      <c r="K65" s="4">
        <f t="shared" si="0"/>
        <v>150.37175999999999</v>
      </c>
      <c r="L65" s="4">
        <f t="shared" si="1"/>
        <v>393.46824000000004</v>
      </c>
    </row>
    <row r="66" spans="1:12" x14ac:dyDescent="0.3">
      <c r="A66" s="1">
        <v>1064</v>
      </c>
      <c r="B66" s="2">
        <v>44565</v>
      </c>
      <c r="C66" s="1" t="s">
        <v>35</v>
      </c>
      <c r="D66" s="1" t="s">
        <v>102</v>
      </c>
      <c r="E66" s="1" t="s">
        <v>12</v>
      </c>
      <c r="F66" s="1">
        <v>809.73</v>
      </c>
      <c r="G66" s="1" t="s">
        <v>94</v>
      </c>
      <c r="H66" s="2">
        <v>25516</v>
      </c>
      <c r="I66" s="2">
        <v>44571</v>
      </c>
      <c r="J66" s="1">
        <v>34.11</v>
      </c>
      <c r="K66" s="4">
        <f t="shared" si="0"/>
        <v>276.19890300000003</v>
      </c>
      <c r="L66" s="4">
        <f t="shared" si="1"/>
        <v>533.53109700000005</v>
      </c>
    </row>
    <row r="67" spans="1:12" x14ac:dyDescent="0.3">
      <c r="A67" s="1">
        <v>1065</v>
      </c>
      <c r="B67" s="2">
        <v>45418</v>
      </c>
      <c r="C67" s="1" t="s">
        <v>26</v>
      </c>
      <c r="D67" s="1" t="s">
        <v>58</v>
      </c>
      <c r="E67" s="1" t="s">
        <v>31</v>
      </c>
      <c r="F67" s="1">
        <v>3284.07</v>
      </c>
      <c r="G67" s="1" t="s">
        <v>103</v>
      </c>
      <c r="H67" s="2">
        <v>30923</v>
      </c>
      <c r="I67" s="2">
        <v>45425</v>
      </c>
      <c r="J67" s="1">
        <v>32.409999999999997</v>
      </c>
      <c r="K67" s="4">
        <f t="shared" ref="K67:K130" si="8">F67*J67%</f>
        <v>1064.3670869999999</v>
      </c>
      <c r="L67" s="4">
        <f t="shared" ref="L67:L130" si="9">F67-K67</f>
        <v>2219.7029130000001</v>
      </c>
    </row>
    <row r="68" spans="1:12" x14ac:dyDescent="0.3">
      <c r="A68" s="1">
        <v>1066</v>
      </c>
      <c r="B68" s="2">
        <v>44121</v>
      </c>
      <c r="C68" s="1" t="s">
        <v>14</v>
      </c>
      <c r="D68" s="1" t="s">
        <v>30</v>
      </c>
      <c r="E68" s="1" t="s">
        <v>31</v>
      </c>
      <c r="F68" s="1">
        <v>3022.63</v>
      </c>
      <c r="G68" s="1" t="s">
        <v>104</v>
      </c>
      <c r="H68" s="2">
        <v>24852</v>
      </c>
      <c r="I68" s="2">
        <v>44124</v>
      </c>
      <c r="J68" s="1">
        <v>15.46</v>
      </c>
      <c r="K68" s="4">
        <f t="shared" si="8"/>
        <v>467.29859800000008</v>
      </c>
      <c r="L68" s="4">
        <f t="shared" si="9"/>
        <v>2555.3314019999998</v>
      </c>
    </row>
    <row r="69" spans="1:12" x14ac:dyDescent="0.3">
      <c r="A69" s="1">
        <v>1067</v>
      </c>
      <c r="B69" s="2">
        <v>44633</v>
      </c>
      <c r="C69" s="1" t="s">
        <v>14</v>
      </c>
      <c r="D69" s="1" t="s">
        <v>61</v>
      </c>
      <c r="E69" s="1" t="s">
        <v>19</v>
      </c>
      <c r="F69" s="1">
        <v>1227.01</v>
      </c>
      <c r="G69" s="1" t="s">
        <v>105</v>
      </c>
      <c r="H69" s="2">
        <v>35889</v>
      </c>
      <c r="I69" s="2">
        <v>44635</v>
      </c>
      <c r="J69" s="1">
        <v>10.28</v>
      </c>
      <c r="K69" s="4">
        <f t="shared" si="8"/>
        <v>126.13662799999999</v>
      </c>
      <c r="L69" s="4">
        <f t="shared" si="9"/>
        <v>1100.873372</v>
      </c>
    </row>
    <row r="70" spans="1:12" x14ac:dyDescent="0.3">
      <c r="A70" s="1">
        <v>1068</v>
      </c>
      <c r="B70" s="2">
        <v>45567</v>
      </c>
      <c r="C70" s="1" t="s">
        <v>10</v>
      </c>
      <c r="D70" s="1" t="s">
        <v>15</v>
      </c>
      <c r="E70" s="1" t="s">
        <v>16</v>
      </c>
      <c r="F70" s="1">
        <v>2133.52</v>
      </c>
      <c r="G70" s="1" t="s">
        <v>62</v>
      </c>
      <c r="H70" s="2">
        <v>22870</v>
      </c>
      <c r="I70" s="2">
        <v>45572</v>
      </c>
      <c r="J70" s="1">
        <v>49.58</v>
      </c>
      <c r="K70" s="4">
        <f t="shared" si="8"/>
        <v>1057.7992159999999</v>
      </c>
      <c r="L70" s="4">
        <f t="shared" si="9"/>
        <v>1075.7207840000001</v>
      </c>
    </row>
    <row r="71" spans="1:12" x14ac:dyDescent="0.3">
      <c r="A71" s="1">
        <v>1069</v>
      </c>
      <c r="B71" s="2">
        <v>45534</v>
      </c>
      <c r="C71" s="1" t="s">
        <v>14</v>
      </c>
      <c r="D71" s="1" t="s">
        <v>44</v>
      </c>
      <c r="E71" s="1" t="s">
        <v>16</v>
      </c>
      <c r="F71" s="1">
        <v>1837.32</v>
      </c>
      <c r="G71" s="1" t="s">
        <v>106</v>
      </c>
      <c r="H71" s="2">
        <v>35506</v>
      </c>
      <c r="I71" s="2">
        <v>45540</v>
      </c>
      <c r="J71" s="1">
        <v>11.64</v>
      </c>
      <c r="K71" s="4">
        <f t="shared" si="8"/>
        <v>213.864048</v>
      </c>
      <c r="L71" s="4">
        <f t="shared" si="9"/>
        <v>1623.455952</v>
      </c>
    </row>
    <row r="72" spans="1:12" x14ac:dyDescent="0.3">
      <c r="A72" s="1">
        <v>1070</v>
      </c>
      <c r="B72" s="2">
        <v>44633</v>
      </c>
      <c r="C72" s="1" t="s">
        <v>26</v>
      </c>
      <c r="D72" s="1" t="s">
        <v>88</v>
      </c>
      <c r="E72" s="1" t="s">
        <v>16</v>
      </c>
      <c r="F72" s="1">
        <v>3460.16</v>
      </c>
      <c r="G72" s="1" t="s">
        <v>107</v>
      </c>
      <c r="H72" s="2">
        <v>26671</v>
      </c>
      <c r="I72" s="2">
        <v>44634</v>
      </c>
      <c r="J72" s="1">
        <v>11.06</v>
      </c>
      <c r="K72" s="4">
        <f t="shared" si="8"/>
        <v>382.69369599999999</v>
      </c>
      <c r="L72" s="4">
        <f t="shared" si="9"/>
        <v>3077.466304</v>
      </c>
    </row>
    <row r="73" spans="1:12" x14ac:dyDescent="0.3">
      <c r="A73" s="1">
        <v>1071</v>
      </c>
      <c r="B73" s="2">
        <v>45780</v>
      </c>
      <c r="C73" s="1" t="s">
        <v>10</v>
      </c>
      <c r="D73" s="1" t="s">
        <v>11</v>
      </c>
      <c r="E73" s="1" t="s">
        <v>12</v>
      </c>
      <c r="F73" s="1">
        <v>3450.56</v>
      </c>
      <c r="G73" s="1" t="s">
        <v>108</v>
      </c>
      <c r="H73" s="2">
        <v>33413</v>
      </c>
      <c r="I73" s="2">
        <v>45792</v>
      </c>
      <c r="J73" s="1">
        <v>28.47</v>
      </c>
      <c r="K73" s="4">
        <f t="shared" si="8"/>
        <v>982.37443200000007</v>
      </c>
      <c r="L73" s="4">
        <f t="shared" si="9"/>
        <v>2468.1855679999999</v>
      </c>
    </row>
    <row r="74" spans="1:12" x14ac:dyDescent="0.3">
      <c r="A74" s="1">
        <v>1072</v>
      </c>
      <c r="B74" s="2">
        <v>45585</v>
      </c>
      <c r="C74" s="1" t="s">
        <v>14</v>
      </c>
      <c r="D74" s="1" t="s">
        <v>11</v>
      </c>
      <c r="E74" s="1" t="s">
        <v>12</v>
      </c>
      <c r="F74" s="1">
        <v>4220.8999999999996</v>
      </c>
      <c r="G74" s="1" t="s">
        <v>93</v>
      </c>
      <c r="H74" s="2">
        <v>33984</v>
      </c>
      <c r="I74" s="2">
        <v>45590</v>
      </c>
      <c r="J74" s="1">
        <v>10.25</v>
      </c>
      <c r="K74" s="4">
        <f t="shared" si="8"/>
        <v>432.64224999999993</v>
      </c>
      <c r="L74" s="4">
        <f t="shared" si="9"/>
        <v>3788.2577499999998</v>
      </c>
    </row>
    <row r="75" spans="1:12" x14ac:dyDescent="0.3">
      <c r="A75" s="1">
        <v>1073</v>
      </c>
      <c r="B75" s="2">
        <v>45238</v>
      </c>
      <c r="C75" s="1" t="s">
        <v>21</v>
      </c>
      <c r="D75" s="1" t="s">
        <v>88</v>
      </c>
      <c r="E75" s="1" t="s">
        <v>16</v>
      </c>
      <c r="F75" s="1">
        <v>1397.31</v>
      </c>
      <c r="G75" s="1" t="s">
        <v>101</v>
      </c>
      <c r="H75" s="2">
        <v>31331</v>
      </c>
      <c r="I75" s="2">
        <v>45244</v>
      </c>
      <c r="J75" s="1">
        <v>9.11</v>
      </c>
      <c r="K75" s="4">
        <f t="shared" si="8"/>
        <v>127.29494099999999</v>
      </c>
      <c r="L75" s="4">
        <f t="shared" si="9"/>
        <v>1270.0150589999998</v>
      </c>
    </row>
    <row r="76" spans="1:12" x14ac:dyDescent="0.3">
      <c r="A76" s="1">
        <v>1074</v>
      </c>
      <c r="B76" s="2">
        <v>45174</v>
      </c>
      <c r="C76" s="1" t="s">
        <v>35</v>
      </c>
      <c r="D76" s="1" t="s">
        <v>88</v>
      </c>
      <c r="E76" s="1" t="s">
        <v>16</v>
      </c>
      <c r="F76" s="1">
        <v>2618.06</v>
      </c>
      <c r="G76" s="1" t="s">
        <v>109</v>
      </c>
      <c r="H76" s="2">
        <v>26011</v>
      </c>
      <c r="I76" s="2">
        <v>45176</v>
      </c>
      <c r="J76" s="1">
        <v>11.89</v>
      </c>
      <c r="K76" s="4">
        <f t="shared" si="8"/>
        <v>311.28733399999999</v>
      </c>
      <c r="L76" s="4">
        <f t="shared" si="9"/>
        <v>2306.7726659999998</v>
      </c>
    </row>
    <row r="77" spans="1:12" x14ac:dyDescent="0.3">
      <c r="A77" s="1">
        <v>1075</v>
      </c>
      <c r="B77" s="2">
        <v>45212</v>
      </c>
      <c r="C77" s="1" t="s">
        <v>26</v>
      </c>
      <c r="D77" s="1" t="s">
        <v>27</v>
      </c>
      <c r="E77" s="1" t="s">
        <v>28</v>
      </c>
      <c r="F77" s="1">
        <v>4787.12</v>
      </c>
      <c r="G77" s="1" t="s">
        <v>110</v>
      </c>
      <c r="H77" s="2">
        <v>32064</v>
      </c>
      <c r="I77" s="2">
        <v>45226</v>
      </c>
      <c r="J77" s="1">
        <v>1.25</v>
      </c>
      <c r="K77" s="4">
        <f t="shared" si="8"/>
        <v>59.838999999999999</v>
      </c>
      <c r="L77" s="4">
        <f t="shared" si="9"/>
        <v>4727.2809999999999</v>
      </c>
    </row>
    <row r="78" spans="1:12" x14ac:dyDescent="0.3">
      <c r="A78" s="1">
        <v>1076</v>
      </c>
      <c r="B78" s="2">
        <v>44682</v>
      </c>
      <c r="C78" s="1" t="s">
        <v>21</v>
      </c>
      <c r="D78" s="1" t="s">
        <v>44</v>
      </c>
      <c r="E78" s="1" t="s">
        <v>16</v>
      </c>
      <c r="F78" s="1">
        <v>316.27</v>
      </c>
      <c r="G78" s="1" t="s">
        <v>111</v>
      </c>
      <c r="H78" s="2">
        <v>34704</v>
      </c>
      <c r="I78" s="2">
        <v>44695</v>
      </c>
      <c r="J78" s="1">
        <v>22.2</v>
      </c>
      <c r="K78" s="4">
        <f t="shared" si="8"/>
        <v>70.211939999999998</v>
      </c>
      <c r="L78" s="4">
        <f t="shared" si="9"/>
        <v>246.05805999999998</v>
      </c>
    </row>
    <row r="79" spans="1:12" x14ac:dyDescent="0.3">
      <c r="A79" s="1">
        <v>1077</v>
      </c>
      <c r="B79" s="2">
        <v>44472</v>
      </c>
      <c r="C79" s="1" t="s">
        <v>10</v>
      </c>
      <c r="D79" s="1" t="s">
        <v>33</v>
      </c>
      <c r="E79" s="1" t="s">
        <v>16</v>
      </c>
      <c r="F79" s="1">
        <v>2607.7399999999998</v>
      </c>
      <c r="G79" s="1" t="s">
        <v>112</v>
      </c>
      <c r="H79" s="2">
        <v>38171</v>
      </c>
      <c r="I79" s="2">
        <v>44482</v>
      </c>
      <c r="J79" s="1">
        <v>36.32</v>
      </c>
      <c r="K79" s="4">
        <f t="shared" si="8"/>
        <v>947.131168</v>
      </c>
      <c r="L79" s="4">
        <f t="shared" si="9"/>
        <v>1660.6088319999999</v>
      </c>
    </row>
    <row r="80" spans="1:12" x14ac:dyDescent="0.3">
      <c r="A80" s="1">
        <v>1078</v>
      </c>
      <c r="B80" s="2">
        <v>44790</v>
      </c>
      <c r="C80" s="1" t="s">
        <v>14</v>
      </c>
      <c r="D80" s="1" t="s">
        <v>55</v>
      </c>
      <c r="E80" s="1" t="s">
        <v>31</v>
      </c>
      <c r="F80" s="1">
        <v>1059.23</v>
      </c>
      <c r="G80" s="1" t="s">
        <v>20</v>
      </c>
      <c r="H80" s="2">
        <v>24232</v>
      </c>
      <c r="I80" s="2">
        <v>44795</v>
      </c>
      <c r="J80" s="1">
        <v>37.99</v>
      </c>
      <c r="K80" s="4">
        <f t="shared" si="8"/>
        <v>402.401477</v>
      </c>
      <c r="L80" s="4">
        <f t="shared" si="9"/>
        <v>656.82852300000002</v>
      </c>
    </row>
    <row r="81" spans="1:12" x14ac:dyDescent="0.3">
      <c r="A81" s="1">
        <v>1079</v>
      </c>
      <c r="B81" s="2">
        <v>44587</v>
      </c>
      <c r="C81" s="1" t="s">
        <v>21</v>
      </c>
      <c r="D81" s="1" t="s">
        <v>11</v>
      </c>
      <c r="E81" s="1" t="s">
        <v>12</v>
      </c>
      <c r="F81" s="1">
        <v>222.13</v>
      </c>
      <c r="G81" s="1" t="s">
        <v>113</v>
      </c>
      <c r="H81" s="2">
        <v>25579</v>
      </c>
      <c r="I81" s="2">
        <v>44596</v>
      </c>
      <c r="J81" s="1">
        <v>47.93</v>
      </c>
      <c r="K81" s="4">
        <f t="shared" si="8"/>
        <v>106.466909</v>
      </c>
      <c r="L81" s="4">
        <f t="shared" si="9"/>
        <v>115.66309099999999</v>
      </c>
    </row>
    <row r="82" spans="1:12" x14ac:dyDescent="0.3">
      <c r="A82" s="1">
        <v>1080</v>
      </c>
      <c r="B82" s="2">
        <v>44967</v>
      </c>
      <c r="C82" s="1" t="s">
        <v>14</v>
      </c>
      <c r="D82" s="1" t="s">
        <v>27</v>
      </c>
      <c r="E82" s="1" t="s">
        <v>28</v>
      </c>
      <c r="F82" s="1">
        <v>2009.76</v>
      </c>
      <c r="G82" s="1" t="s">
        <v>72</v>
      </c>
      <c r="H82" s="2">
        <v>32992</v>
      </c>
      <c r="I82" s="2">
        <v>44971</v>
      </c>
      <c r="J82" s="1">
        <v>13.06</v>
      </c>
      <c r="K82" s="4">
        <f t="shared" si="8"/>
        <v>262.47465599999998</v>
      </c>
      <c r="L82" s="4">
        <f t="shared" si="9"/>
        <v>1747.2853439999999</v>
      </c>
    </row>
    <row r="83" spans="1:12" x14ac:dyDescent="0.3">
      <c r="A83" s="1">
        <v>1081</v>
      </c>
      <c r="B83" s="2">
        <v>44548</v>
      </c>
      <c r="C83" s="1" t="s">
        <v>26</v>
      </c>
      <c r="D83" s="1" t="s">
        <v>30</v>
      </c>
      <c r="E83" s="1" t="s">
        <v>31</v>
      </c>
      <c r="F83" s="1">
        <v>556.89</v>
      </c>
      <c r="G83" s="1" t="s">
        <v>108</v>
      </c>
      <c r="H83" s="2">
        <v>33413</v>
      </c>
      <c r="I83" s="2">
        <v>44554</v>
      </c>
      <c r="J83" s="1">
        <v>9.42</v>
      </c>
      <c r="K83" s="4">
        <f t="shared" si="8"/>
        <v>52.459038</v>
      </c>
      <c r="L83" s="4">
        <f t="shared" si="9"/>
        <v>504.43096199999997</v>
      </c>
    </row>
    <row r="84" spans="1:12" x14ac:dyDescent="0.3">
      <c r="A84" s="1">
        <v>1082</v>
      </c>
      <c r="B84" s="2">
        <v>44142</v>
      </c>
      <c r="C84" s="1" t="s">
        <v>21</v>
      </c>
      <c r="D84" s="1" t="s">
        <v>73</v>
      </c>
      <c r="E84" s="1" t="s">
        <v>28</v>
      </c>
      <c r="F84" s="1">
        <v>711.12</v>
      </c>
      <c r="G84" s="1" t="s">
        <v>114</v>
      </c>
      <c r="H84" s="2">
        <v>28543</v>
      </c>
      <c r="I84" s="2">
        <v>44153</v>
      </c>
      <c r="J84" s="1">
        <v>49.69</v>
      </c>
      <c r="K84" s="4">
        <f t="shared" si="8"/>
        <v>353.35552799999999</v>
      </c>
      <c r="L84" s="4">
        <f t="shared" si="9"/>
        <v>357.76447200000001</v>
      </c>
    </row>
    <row r="85" spans="1:12" x14ac:dyDescent="0.3">
      <c r="A85" s="1">
        <v>1083</v>
      </c>
      <c r="B85" s="2">
        <v>44429</v>
      </c>
      <c r="C85" s="1" t="s">
        <v>10</v>
      </c>
      <c r="D85" s="1" t="s">
        <v>53</v>
      </c>
      <c r="E85" s="1" t="s">
        <v>28</v>
      </c>
      <c r="F85" s="1">
        <v>2800.45</v>
      </c>
      <c r="G85" s="1" t="s">
        <v>115</v>
      </c>
      <c r="H85" s="2">
        <v>29486</v>
      </c>
      <c r="I85" s="2">
        <v>44430</v>
      </c>
      <c r="J85" s="1">
        <v>19.16</v>
      </c>
      <c r="K85" s="4">
        <f t="shared" si="8"/>
        <v>536.56621999999993</v>
      </c>
      <c r="L85" s="4">
        <f t="shared" si="9"/>
        <v>2263.8837800000001</v>
      </c>
    </row>
    <row r="86" spans="1:12" x14ac:dyDescent="0.3">
      <c r="A86" s="1">
        <v>1084</v>
      </c>
      <c r="B86" s="2">
        <v>44453</v>
      </c>
      <c r="C86" s="1" t="s">
        <v>35</v>
      </c>
      <c r="D86" s="1" t="s">
        <v>71</v>
      </c>
      <c r="E86" s="1" t="s">
        <v>31</v>
      </c>
      <c r="F86" s="1">
        <v>3499.14</v>
      </c>
      <c r="G86" s="1" t="s">
        <v>116</v>
      </c>
      <c r="H86" s="2">
        <v>39294</v>
      </c>
      <c r="I86" s="2">
        <v>44463</v>
      </c>
      <c r="J86" s="1">
        <v>13.33</v>
      </c>
      <c r="K86" s="4">
        <f t="shared" si="8"/>
        <v>466.435362</v>
      </c>
      <c r="L86" s="4">
        <f t="shared" si="9"/>
        <v>3032.7046379999997</v>
      </c>
    </row>
    <row r="87" spans="1:12" x14ac:dyDescent="0.3">
      <c r="A87" s="1">
        <v>1085</v>
      </c>
      <c r="B87" s="2">
        <v>44713</v>
      </c>
      <c r="C87" s="1" t="s">
        <v>21</v>
      </c>
      <c r="D87" s="1" t="s">
        <v>49</v>
      </c>
      <c r="E87" s="1" t="s">
        <v>12</v>
      </c>
      <c r="F87" s="1">
        <v>4470.8599999999997</v>
      </c>
      <c r="G87" s="1" t="s">
        <v>117</v>
      </c>
      <c r="H87" s="2">
        <v>23513</v>
      </c>
      <c r="I87" s="2">
        <v>44727</v>
      </c>
      <c r="J87" s="1">
        <v>32.76</v>
      </c>
      <c r="K87" s="4">
        <f t="shared" si="8"/>
        <v>1464.653736</v>
      </c>
      <c r="L87" s="4">
        <f t="shared" si="9"/>
        <v>3006.2062639999995</v>
      </c>
    </row>
    <row r="88" spans="1:12" x14ac:dyDescent="0.3">
      <c r="A88" s="1">
        <v>1086</v>
      </c>
      <c r="B88" s="2">
        <v>45703</v>
      </c>
      <c r="C88" s="1" t="s">
        <v>35</v>
      </c>
      <c r="D88" s="1" t="s">
        <v>24</v>
      </c>
      <c r="E88" s="1" t="s">
        <v>19</v>
      </c>
      <c r="F88" s="1">
        <v>3968.35</v>
      </c>
      <c r="G88" s="1" t="s">
        <v>118</v>
      </c>
      <c r="H88" s="2">
        <v>22599</v>
      </c>
      <c r="I88" s="2">
        <v>45712</v>
      </c>
      <c r="J88" s="1">
        <v>30.13</v>
      </c>
      <c r="K88" s="4">
        <f t="shared" si="8"/>
        <v>1195.663855</v>
      </c>
      <c r="L88" s="4">
        <f t="shared" si="9"/>
        <v>2772.6861449999997</v>
      </c>
    </row>
    <row r="89" spans="1:12" x14ac:dyDescent="0.3">
      <c r="A89" s="1">
        <v>1087</v>
      </c>
      <c r="B89" s="2">
        <v>45003</v>
      </c>
      <c r="C89" s="1" t="s">
        <v>35</v>
      </c>
      <c r="D89" s="1" t="s">
        <v>49</v>
      </c>
      <c r="E89" s="1" t="s">
        <v>12</v>
      </c>
      <c r="F89" s="1">
        <v>4586.37</v>
      </c>
      <c r="G89" s="1" t="s">
        <v>119</v>
      </c>
      <c r="H89" s="2">
        <v>34954</v>
      </c>
      <c r="I89" s="2">
        <v>45005</v>
      </c>
      <c r="J89" s="1">
        <v>40.15</v>
      </c>
      <c r="K89" s="4">
        <f t="shared" si="8"/>
        <v>1841.4275549999998</v>
      </c>
      <c r="L89" s="4">
        <f t="shared" si="9"/>
        <v>2744.9424450000001</v>
      </c>
    </row>
    <row r="90" spans="1:12" x14ac:dyDescent="0.3">
      <c r="A90" s="1">
        <v>1088</v>
      </c>
      <c r="B90" s="2">
        <v>45268</v>
      </c>
      <c r="C90" s="1" t="s">
        <v>26</v>
      </c>
      <c r="D90" s="1" t="s">
        <v>40</v>
      </c>
      <c r="E90" s="1" t="s">
        <v>16</v>
      </c>
      <c r="F90" s="1">
        <v>3650.88</v>
      </c>
      <c r="G90" s="1" t="s">
        <v>120</v>
      </c>
      <c r="H90" s="2">
        <v>30820</v>
      </c>
      <c r="I90" s="2">
        <v>45270</v>
      </c>
      <c r="J90" s="1">
        <v>31.44</v>
      </c>
      <c r="K90" s="4">
        <f t="shared" si="8"/>
        <v>1147.8366720000001</v>
      </c>
      <c r="L90" s="4">
        <f t="shared" si="9"/>
        <v>2503.0433279999997</v>
      </c>
    </row>
    <row r="91" spans="1:12" x14ac:dyDescent="0.3">
      <c r="A91" s="1">
        <v>1089</v>
      </c>
      <c r="B91" s="2">
        <v>45319</v>
      </c>
      <c r="C91" s="1" t="s">
        <v>26</v>
      </c>
      <c r="D91" s="1" t="s">
        <v>38</v>
      </c>
      <c r="E91" s="1" t="s">
        <v>28</v>
      </c>
      <c r="F91" s="1">
        <v>2648.98</v>
      </c>
      <c r="G91" s="1" t="s">
        <v>121</v>
      </c>
      <c r="H91" s="2">
        <v>24580</v>
      </c>
      <c r="I91" s="2">
        <v>45332</v>
      </c>
      <c r="J91" s="1">
        <v>32.72</v>
      </c>
      <c r="K91" s="4">
        <f t="shared" si="8"/>
        <v>866.74625600000002</v>
      </c>
      <c r="L91" s="4">
        <f t="shared" si="9"/>
        <v>1782.2337440000001</v>
      </c>
    </row>
    <row r="92" spans="1:12" x14ac:dyDescent="0.3">
      <c r="A92" s="1">
        <v>1090</v>
      </c>
      <c r="B92" s="2">
        <v>45589</v>
      </c>
      <c r="C92" s="1" t="s">
        <v>14</v>
      </c>
      <c r="D92" s="1" t="s">
        <v>71</v>
      </c>
      <c r="E92" s="1" t="s">
        <v>31</v>
      </c>
      <c r="F92" s="1">
        <v>4552.96</v>
      </c>
      <c r="G92" s="1" t="s">
        <v>122</v>
      </c>
      <c r="H92" s="2">
        <v>29720</v>
      </c>
      <c r="I92" s="2">
        <v>45598</v>
      </c>
      <c r="J92" s="1">
        <v>45.91</v>
      </c>
      <c r="K92" s="4">
        <f t="shared" si="8"/>
        <v>2090.2639359999998</v>
      </c>
      <c r="L92" s="4">
        <f t="shared" si="9"/>
        <v>2462.6960640000002</v>
      </c>
    </row>
    <row r="93" spans="1:12" x14ac:dyDescent="0.3">
      <c r="A93" s="1">
        <v>1091</v>
      </c>
      <c r="B93" s="2">
        <v>45476</v>
      </c>
      <c r="C93" s="1" t="s">
        <v>10</v>
      </c>
      <c r="D93" s="1" t="s">
        <v>30</v>
      </c>
      <c r="E93" s="1" t="s">
        <v>31</v>
      </c>
      <c r="F93" s="1">
        <v>1851.24</v>
      </c>
      <c r="G93" s="1" t="s">
        <v>123</v>
      </c>
      <c r="H93" s="2">
        <v>36120</v>
      </c>
      <c r="I93" s="2">
        <v>45479</v>
      </c>
      <c r="J93" s="1">
        <v>24.89</v>
      </c>
      <c r="K93" s="4">
        <f t="shared" si="8"/>
        <v>460.77363600000001</v>
      </c>
      <c r="L93" s="4">
        <f t="shared" si="9"/>
        <v>1390.4663639999999</v>
      </c>
    </row>
    <row r="94" spans="1:12" x14ac:dyDescent="0.3">
      <c r="A94" s="1">
        <v>1092</v>
      </c>
      <c r="B94" s="2">
        <v>45544</v>
      </c>
      <c r="C94" s="1" t="s">
        <v>10</v>
      </c>
      <c r="D94" s="1" t="s">
        <v>53</v>
      </c>
      <c r="E94" s="1" t="s">
        <v>28</v>
      </c>
      <c r="F94" s="1">
        <v>2920.84</v>
      </c>
      <c r="G94" s="1" t="s">
        <v>110</v>
      </c>
      <c r="H94" s="2">
        <v>32064</v>
      </c>
      <c r="I94" s="2">
        <v>45556</v>
      </c>
      <c r="J94" s="1">
        <v>13.81</v>
      </c>
      <c r="K94" s="4">
        <f t="shared" si="8"/>
        <v>403.36800400000004</v>
      </c>
      <c r="L94" s="4">
        <f t="shared" si="9"/>
        <v>2517.4719960000002</v>
      </c>
    </row>
    <row r="95" spans="1:12" x14ac:dyDescent="0.3">
      <c r="A95" s="1">
        <v>1093</v>
      </c>
      <c r="B95" s="2">
        <v>45520</v>
      </c>
      <c r="C95" s="1" t="s">
        <v>21</v>
      </c>
      <c r="D95" s="1" t="s">
        <v>18</v>
      </c>
      <c r="E95" s="1" t="s">
        <v>19</v>
      </c>
      <c r="F95" s="1">
        <v>3885.89</v>
      </c>
      <c r="G95" s="1" t="s">
        <v>83</v>
      </c>
      <c r="H95" s="2">
        <v>24673</v>
      </c>
      <c r="I95" s="2">
        <v>45525</v>
      </c>
      <c r="J95" s="1">
        <v>42.07</v>
      </c>
      <c r="K95" s="4">
        <f t="shared" si="8"/>
        <v>1634.7939229999999</v>
      </c>
      <c r="L95" s="4">
        <f t="shared" si="9"/>
        <v>2251.0960770000002</v>
      </c>
    </row>
    <row r="96" spans="1:12" x14ac:dyDescent="0.3">
      <c r="A96" s="1">
        <v>1094</v>
      </c>
      <c r="B96" s="2">
        <v>45658</v>
      </c>
      <c r="C96" s="1" t="s">
        <v>21</v>
      </c>
      <c r="D96" s="1" t="s">
        <v>58</v>
      </c>
      <c r="E96" s="1" t="s">
        <v>31</v>
      </c>
      <c r="F96" s="1">
        <v>406.83</v>
      </c>
      <c r="G96" s="1" t="s">
        <v>95</v>
      </c>
      <c r="H96" s="2">
        <v>25821</v>
      </c>
      <c r="I96" s="2">
        <v>45669</v>
      </c>
      <c r="J96" s="1">
        <v>17.48</v>
      </c>
      <c r="K96" s="4">
        <f t="shared" si="8"/>
        <v>71.113883999999999</v>
      </c>
      <c r="L96" s="4">
        <f t="shared" si="9"/>
        <v>335.716116</v>
      </c>
    </row>
    <row r="97" spans="1:12" x14ac:dyDescent="0.3">
      <c r="A97" s="1">
        <v>1095</v>
      </c>
      <c r="B97" s="2">
        <v>44895</v>
      </c>
      <c r="C97" s="1" t="s">
        <v>14</v>
      </c>
      <c r="D97" s="1" t="s">
        <v>36</v>
      </c>
      <c r="E97" s="1" t="s">
        <v>28</v>
      </c>
      <c r="F97" s="1">
        <v>3199.23</v>
      </c>
      <c r="G97" s="1" t="s">
        <v>124</v>
      </c>
      <c r="H97" s="2">
        <v>30786</v>
      </c>
      <c r="I97" s="2">
        <v>44905</v>
      </c>
      <c r="J97" s="1">
        <v>33.99</v>
      </c>
      <c r="K97" s="4">
        <f t="shared" si="8"/>
        <v>1087.4182770000002</v>
      </c>
      <c r="L97" s="4">
        <f t="shared" si="9"/>
        <v>2111.8117229999998</v>
      </c>
    </row>
    <row r="98" spans="1:12" x14ac:dyDescent="0.3">
      <c r="A98" s="1">
        <v>1096</v>
      </c>
      <c r="B98" s="2">
        <v>44322</v>
      </c>
      <c r="C98" s="1" t="s">
        <v>14</v>
      </c>
      <c r="D98" s="1" t="s">
        <v>22</v>
      </c>
      <c r="E98" s="1" t="s">
        <v>19</v>
      </c>
      <c r="F98" s="1">
        <v>494.78</v>
      </c>
      <c r="G98" s="1" t="s">
        <v>125</v>
      </c>
      <c r="H98" s="2">
        <v>28830</v>
      </c>
      <c r="I98" s="2">
        <v>44331</v>
      </c>
      <c r="J98" s="1">
        <v>35.520000000000003</v>
      </c>
      <c r="K98" s="4">
        <f t="shared" si="8"/>
        <v>175.745856</v>
      </c>
      <c r="L98" s="4">
        <f t="shared" si="9"/>
        <v>319.03414399999997</v>
      </c>
    </row>
    <row r="99" spans="1:12" x14ac:dyDescent="0.3">
      <c r="A99" s="1">
        <v>1097</v>
      </c>
      <c r="B99" s="2">
        <v>45757</v>
      </c>
      <c r="C99" s="1" t="s">
        <v>35</v>
      </c>
      <c r="D99" s="1" t="s">
        <v>47</v>
      </c>
      <c r="E99" s="1" t="s">
        <v>12</v>
      </c>
      <c r="F99" s="1">
        <v>1679.27</v>
      </c>
      <c r="G99" s="1" t="s">
        <v>126</v>
      </c>
      <c r="H99" s="2">
        <v>28644</v>
      </c>
      <c r="I99" s="2">
        <v>45768</v>
      </c>
      <c r="J99" s="1">
        <v>14.47</v>
      </c>
      <c r="K99" s="4">
        <f t="shared" si="8"/>
        <v>242.99036899999999</v>
      </c>
      <c r="L99" s="4">
        <f t="shared" si="9"/>
        <v>1436.2796309999999</v>
      </c>
    </row>
    <row r="100" spans="1:12" x14ac:dyDescent="0.3">
      <c r="A100" s="1">
        <v>1098</v>
      </c>
      <c r="B100" s="2">
        <v>44664</v>
      </c>
      <c r="C100" s="1" t="s">
        <v>26</v>
      </c>
      <c r="D100" s="1" t="s">
        <v>11</v>
      </c>
      <c r="E100" s="1" t="s">
        <v>12</v>
      </c>
      <c r="F100" s="1">
        <v>3385.55</v>
      </c>
      <c r="G100" s="1" t="s">
        <v>127</v>
      </c>
      <c r="H100" s="2">
        <v>31846</v>
      </c>
      <c r="I100" s="2">
        <v>44670</v>
      </c>
      <c r="J100" s="1">
        <v>49.06</v>
      </c>
      <c r="K100" s="4">
        <f t="shared" si="8"/>
        <v>1660.9508300000002</v>
      </c>
      <c r="L100" s="4">
        <f t="shared" si="9"/>
        <v>1724.59917</v>
      </c>
    </row>
    <row r="101" spans="1:12" x14ac:dyDescent="0.3">
      <c r="A101" s="1">
        <v>1099</v>
      </c>
      <c r="B101" s="2">
        <v>44936</v>
      </c>
      <c r="C101" s="1" t="s">
        <v>14</v>
      </c>
      <c r="D101" s="1" t="s">
        <v>24</v>
      </c>
      <c r="E101" s="1" t="s">
        <v>19</v>
      </c>
      <c r="F101" s="1">
        <v>3277.84</v>
      </c>
      <c r="G101" s="1" t="s">
        <v>39</v>
      </c>
      <c r="H101" s="2">
        <v>26282</v>
      </c>
      <c r="I101" s="2">
        <v>44949</v>
      </c>
      <c r="J101" s="1">
        <v>36.24</v>
      </c>
      <c r="K101" s="4">
        <f t="shared" si="8"/>
        <v>1187.889216</v>
      </c>
      <c r="L101" s="4">
        <f t="shared" si="9"/>
        <v>2089.9507840000001</v>
      </c>
    </row>
    <row r="102" spans="1:12" x14ac:dyDescent="0.3">
      <c r="A102" s="1">
        <v>1100</v>
      </c>
      <c r="B102" s="2">
        <v>45530</v>
      </c>
      <c r="C102" s="1" t="s">
        <v>14</v>
      </c>
      <c r="D102" s="1" t="s">
        <v>11</v>
      </c>
      <c r="E102" s="1" t="s">
        <v>12</v>
      </c>
      <c r="F102" s="1">
        <v>4696</v>
      </c>
      <c r="G102" s="1" t="s">
        <v>128</v>
      </c>
      <c r="H102" s="2">
        <v>37961</v>
      </c>
      <c r="I102" s="2">
        <v>45533</v>
      </c>
      <c r="J102" s="1">
        <v>5.37</v>
      </c>
      <c r="K102" s="4">
        <f t="shared" si="8"/>
        <v>252.17519999999999</v>
      </c>
      <c r="L102" s="4">
        <f t="shared" si="9"/>
        <v>4443.8248000000003</v>
      </c>
    </row>
    <row r="103" spans="1:12" x14ac:dyDescent="0.3">
      <c r="A103" s="1">
        <v>1101</v>
      </c>
      <c r="B103" s="2">
        <v>44098</v>
      </c>
      <c r="C103" s="1" t="s">
        <v>26</v>
      </c>
      <c r="D103" s="1" t="s">
        <v>73</v>
      </c>
      <c r="E103" s="1" t="s">
        <v>28</v>
      </c>
      <c r="F103" s="1">
        <v>4356.8599999999997</v>
      </c>
      <c r="G103" s="1" t="s">
        <v>129</v>
      </c>
      <c r="H103" s="2">
        <v>26668</v>
      </c>
      <c r="I103" s="2">
        <v>44104</v>
      </c>
      <c r="J103" s="1">
        <v>15.96</v>
      </c>
      <c r="K103" s="4">
        <f t="shared" si="8"/>
        <v>695.35485600000004</v>
      </c>
      <c r="L103" s="4">
        <f t="shared" si="9"/>
        <v>3661.5051439999997</v>
      </c>
    </row>
    <row r="104" spans="1:12" x14ac:dyDescent="0.3">
      <c r="A104" s="1">
        <v>1102</v>
      </c>
      <c r="B104" s="2">
        <v>44129</v>
      </c>
      <c r="C104" s="1" t="s">
        <v>26</v>
      </c>
      <c r="D104" s="1" t="s">
        <v>49</v>
      </c>
      <c r="E104" s="1" t="s">
        <v>12</v>
      </c>
      <c r="F104" s="1">
        <v>1697.76</v>
      </c>
      <c r="G104" s="1" t="s">
        <v>130</v>
      </c>
      <c r="H104" s="2">
        <v>38750</v>
      </c>
      <c r="I104" s="2">
        <v>44140</v>
      </c>
      <c r="J104" s="1">
        <v>18.23</v>
      </c>
      <c r="K104" s="4">
        <f t="shared" si="8"/>
        <v>309.50164800000005</v>
      </c>
      <c r="L104" s="4">
        <f t="shared" si="9"/>
        <v>1388.2583519999998</v>
      </c>
    </row>
    <row r="105" spans="1:12" x14ac:dyDescent="0.3">
      <c r="A105" s="1">
        <v>1103</v>
      </c>
      <c r="B105" s="2">
        <v>45417</v>
      </c>
      <c r="C105" s="1" t="s">
        <v>21</v>
      </c>
      <c r="D105" s="1" t="s">
        <v>55</v>
      </c>
      <c r="E105" s="1" t="s">
        <v>31</v>
      </c>
      <c r="F105" s="1">
        <v>3125.88</v>
      </c>
      <c r="G105" s="1" t="s">
        <v>13</v>
      </c>
      <c r="H105" s="2">
        <v>24348</v>
      </c>
      <c r="I105" s="2">
        <v>45423</v>
      </c>
      <c r="J105" s="1">
        <v>39.28</v>
      </c>
      <c r="K105" s="4">
        <f t="shared" si="8"/>
        <v>1227.8456640000002</v>
      </c>
      <c r="L105" s="4">
        <f t="shared" si="9"/>
        <v>1898.0343359999999</v>
      </c>
    </row>
    <row r="106" spans="1:12" x14ac:dyDescent="0.3">
      <c r="A106" s="1">
        <v>1104</v>
      </c>
      <c r="B106" s="2">
        <v>44951</v>
      </c>
      <c r="C106" s="1" t="s">
        <v>14</v>
      </c>
      <c r="D106" s="1" t="s">
        <v>61</v>
      </c>
      <c r="E106" s="1" t="s">
        <v>19</v>
      </c>
      <c r="F106" s="1">
        <v>1079.68</v>
      </c>
      <c r="G106" s="1" t="s">
        <v>89</v>
      </c>
      <c r="H106" s="2">
        <v>37141</v>
      </c>
      <c r="I106" s="2">
        <v>44956</v>
      </c>
      <c r="J106" s="1">
        <v>43.99</v>
      </c>
      <c r="K106" s="4">
        <f t="shared" si="8"/>
        <v>474.95123200000006</v>
      </c>
      <c r="L106" s="4">
        <f t="shared" si="9"/>
        <v>604.72876799999995</v>
      </c>
    </row>
    <row r="107" spans="1:12" x14ac:dyDescent="0.3">
      <c r="A107" s="1">
        <v>1105</v>
      </c>
      <c r="B107" s="2">
        <v>45179</v>
      </c>
      <c r="C107" s="1" t="s">
        <v>35</v>
      </c>
      <c r="D107" s="1" t="s">
        <v>58</v>
      </c>
      <c r="E107" s="1" t="s">
        <v>31</v>
      </c>
      <c r="F107" s="1">
        <v>3680.76</v>
      </c>
      <c r="G107" s="1" t="s">
        <v>42</v>
      </c>
      <c r="H107" s="2">
        <v>26027</v>
      </c>
      <c r="I107" s="2">
        <v>45181</v>
      </c>
      <c r="J107" s="1">
        <v>44.36</v>
      </c>
      <c r="K107" s="4">
        <f t="shared" si="8"/>
        <v>1632.785136</v>
      </c>
      <c r="L107" s="4">
        <f t="shared" si="9"/>
        <v>2047.9748640000003</v>
      </c>
    </row>
    <row r="108" spans="1:12" x14ac:dyDescent="0.3">
      <c r="A108" s="1">
        <v>1106</v>
      </c>
      <c r="B108" s="2">
        <v>44176</v>
      </c>
      <c r="C108" s="1" t="s">
        <v>10</v>
      </c>
      <c r="D108" s="1" t="s">
        <v>40</v>
      </c>
      <c r="E108" s="1" t="s">
        <v>16</v>
      </c>
      <c r="F108" s="1">
        <v>2597.9899999999998</v>
      </c>
      <c r="G108" s="1" t="s">
        <v>131</v>
      </c>
      <c r="H108" s="2">
        <v>38087</v>
      </c>
      <c r="I108" s="2">
        <v>44189</v>
      </c>
      <c r="J108" s="1">
        <v>13.57</v>
      </c>
      <c r="K108" s="4">
        <f t="shared" si="8"/>
        <v>352.54724300000004</v>
      </c>
      <c r="L108" s="4">
        <f t="shared" si="9"/>
        <v>2245.4427569999998</v>
      </c>
    </row>
    <row r="109" spans="1:12" x14ac:dyDescent="0.3">
      <c r="A109" s="1">
        <v>1107</v>
      </c>
      <c r="B109" s="2">
        <v>45028</v>
      </c>
      <c r="C109" s="1" t="s">
        <v>14</v>
      </c>
      <c r="D109" s="1" t="s">
        <v>47</v>
      </c>
      <c r="E109" s="1" t="s">
        <v>12</v>
      </c>
      <c r="F109" s="1">
        <v>1943.78</v>
      </c>
      <c r="G109" s="1" t="s">
        <v>63</v>
      </c>
      <c r="H109" s="2">
        <v>25430</v>
      </c>
      <c r="I109" s="2">
        <v>45041</v>
      </c>
      <c r="J109" s="1">
        <v>6.56</v>
      </c>
      <c r="K109" s="4">
        <f t="shared" si="8"/>
        <v>127.51196799999998</v>
      </c>
      <c r="L109" s="4">
        <f t="shared" si="9"/>
        <v>1816.2680319999999</v>
      </c>
    </row>
    <row r="110" spans="1:12" x14ac:dyDescent="0.3">
      <c r="A110" s="1">
        <v>1108</v>
      </c>
      <c r="B110" s="2">
        <v>44530</v>
      </c>
      <c r="C110" s="1" t="s">
        <v>10</v>
      </c>
      <c r="D110" s="1" t="s">
        <v>65</v>
      </c>
      <c r="E110" s="1" t="s">
        <v>19</v>
      </c>
      <c r="F110" s="1">
        <v>1280.52</v>
      </c>
      <c r="G110" s="1" t="s">
        <v>132</v>
      </c>
      <c r="H110" s="2">
        <v>34364</v>
      </c>
      <c r="I110" s="2">
        <v>44533</v>
      </c>
      <c r="J110" s="1">
        <v>21.85</v>
      </c>
      <c r="K110" s="4">
        <f t="shared" si="8"/>
        <v>279.79362000000003</v>
      </c>
      <c r="L110" s="4">
        <f t="shared" si="9"/>
        <v>1000.7263799999999</v>
      </c>
    </row>
    <row r="111" spans="1:12" x14ac:dyDescent="0.3">
      <c r="A111" s="1">
        <v>1109</v>
      </c>
      <c r="B111" s="2">
        <v>44456</v>
      </c>
      <c r="C111" s="1" t="s">
        <v>10</v>
      </c>
      <c r="D111" s="1" t="s">
        <v>36</v>
      </c>
      <c r="E111" s="1" t="s">
        <v>28</v>
      </c>
      <c r="F111" s="1">
        <v>4143.1899999999996</v>
      </c>
      <c r="G111" s="1" t="s">
        <v>133</v>
      </c>
      <c r="H111" s="2">
        <v>23264</v>
      </c>
      <c r="I111" s="2">
        <v>44468</v>
      </c>
      <c r="J111" s="1">
        <v>10.54</v>
      </c>
      <c r="K111" s="4">
        <f t="shared" si="8"/>
        <v>436.69222599999995</v>
      </c>
      <c r="L111" s="4">
        <f t="shared" si="9"/>
        <v>3706.4977739999995</v>
      </c>
    </row>
    <row r="112" spans="1:12" x14ac:dyDescent="0.3">
      <c r="A112" s="1">
        <v>1110</v>
      </c>
      <c r="B112" s="2">
        <v>45174</v>
      </c>
      <c r="C112" s="1" t="s">
        <v>35</v>
      </c>
      <c r="D112" s="1" t="s">
        <v>53</v>
      </c>
      <c r="E112" s="1" t="s">
        <v>28</v>
      </c>
      <c r="F112" s="1">
        <v>3945.68</v>
      </c>
      <c r="G112" s="1" t="s">
        <v>134</v>
      </c>
      <c r="H112" s="2">
        <v>30299</v>
      </c>
      <c r="I112" s="2">
        <v>45178</v>
      </c>
      <c r="J112" s="1">
        <v>19.010000000000002</v>
      </c>
      <c r="K112" s="4">
        <f t="shared" si="8"/>
        <v>750.07376800000009</v>
      </c>
      <c r="L112" s="4">
        <f t="shared" si="9"/>
        <v>3195.6062319999996</v>
      </c>
    </row>
    <row r="113" spans="1:12" x14ac:dyDescent="0.3">
      <c r="A113" s="1">
        <v>1111</v>
      </c>
      <c r="B113" s="2">
        <v>45144</v>
      </c>
      <c r="C113" s="1" t="s">
        <v>35</v>
      </c>
      <c r="D113" s="1" t="s">
        <v>73</v>
      </c>
      <c r="E113" s="1" t="s">
        <v>28</v>
      </c>
      <c r="F113" s="1">
        <v>3954.86</v>
      </c>
      <c r="G113" s="1" t="s">
        <v>135</v>
      </c>
      <c r="H113" s="2">
        <v>38018</v>
      </c>
      <c r="I113" s="2">
        <v>45158</v>
      </c>
      <c r="J113" s="1">
        <v>13.44</v>
      </c>
      <c r="K113" s="4">
        <f t="shared" si="8"/>
        <v>531.53318400000001</v>
      </c>
      <c r="L113" s="4">
        <f t="shared" si="9"/>
        <v>3423.3268160000002</v>
      </c>
    </row>
    <row r="114" spans="1:12" x14ac:dyDescent="0.3">
      <c r="A114" s="1">
        <v>1112</v>
      </c>
      <c r="B114" s="2">
        <v>44984</v>
      </c>
      <c r="C114" s="1" t="s">
        <v>10</v>
      </c>
      <c r="D114" s="1" t="s">
        <v>55</v>
      </c>
      <c r="E114" s="1" t="s">
        <v>31</v>
      </c>
      <c r="F114" s="1">
        <v>1352.28</v>
      </c>
      <c r="G114" s="1" t="s">
        <v>136</v>
      </c>
      <c r="H114" s="2">
        <v>23704</v>
      </c>
      <c r="I114" s="2">
        <v>44994</v>
      </c>
      <c r="J114" s="1">
        <v>31.85</v>
      </c>
      <c r="K114" s="4">
        <f t="shared" si="8"/>
        <v>430.70118000000002</v>
      </c>
      <c r="L114" s="4">
        <f t="shared" si="9"/>
        <v>921.57881999999995</v>
      </c>
    </row>
    <row r="115" spans="1:12" x14ac:dyDescent="0.3">
      <c r="A115" s="1">
        <v>1113</v>
      </c>
      <c r="B115" s="2">
        <v>44853</v>
      </c>
      <c r="C115" s="1" t="s">
        <v>14</v>
      </c>
      <c r="D115" s="1" t="s">
        <v>33</v>
      </c>
      <c r="E115" s="1" t="s">
        <v>16</v>
      </c>
      <c r="F115" s="1">
        <v>3348.99</v>
      </c>
      <c r="G115" s="1" t="s">
        <v>137</v>
      </c>
      <c r="H115" s="2">
        <v>36905</v>
      </c>
      <c r="I115" s="2">
        <v>44857</v>
      </c>
      <c r="J115" s="1">
        <v>40.46</v>
      </c>
      <c r="K115" s="4">
        <f t="shared" si="8"/>
        <v>1355.001354</v>
      </c>
      <c r="L115" s="4">
        <f t="shared" si="9"/>
        <v>1993.9886459999998</v>
      </c>
    </row>
    <row r="116" spans="1:12" x14ac:dyDescent="0.3">
      <c r="A116" s="1">
        <v>1114</v>
      </c>
      <c r="B116" s="2">
        <v>45723</v>
      </c>
      <c r="C116" s="1" t="s">
        <v>35</v>
      </c>
      <c r="D116" s="1" t="s">
        <v>11</v>
      </c>
      <c r="E116" s="1" t="s">
        <v>12</v>
      </c>
      <c r="F116" s="1">
        <v>412.14</v>
      </c>
      <c r="G116" s="1" t="s">
        <v>106</v>
      </c>
      <c r="H116" s="2">
        <v>35506</v>
      </c>
      <c r="I116" s="2">
        <v>45726</v>
      </c>
      <c r="J116" s="1">
        <v>38.22</v>
      </c>
      <c r="K116" s="4">
        <f t="shared" si="8"/>
        <v>157.51990799999999</v>
      </c>
      <c r="L116" s="4">
        <f t="shared" si="9"/>
        <v>254.620092</v>
      </c>
    </row>
    <row r="117" spans="1:12" x14ac:dyDescent="0.3">
      <c r="A117" s="1">
        <v>1115</v>
      </c>
      <c r="B117" s="2">
        <v>44218</v>
      </c>
      <c r="C117" s="1" t="s">
        <v>35</v>
      </c>
      <c r="D117" s="1" t="s">
        <v>38</v>
      </c>
      <c r="E117" s="1" t="s">
        <v>28</v>
      </c>
      <c r="F117" s="1">
        <v>3960.77</v>
      </c>
      <c r="G117" s="1" t="s">
        <v>138</v>
      </c>
      <c r="H117" s="2">
        <v>25948</v>
      </c>
      <c r="I117" s="2">
        <v>44222</v>
      </c>
      <c r="J117" s="1">
        <v>42.31</v>
      </c>
      <c r="K117" s="4">
        <f t="shared" si="8"/>
        <v>1675.8017870000001</v>
      </c>
      <c r="L117" s="4">
        <f t="shared" si="9"/>
        <v>2284.9682130000001</v>
      </c>
    </row>
    <row r="118" spans="1:12" x14ac:dyDescent="0.3">
      <c r="A118" s="1">
        <v>1116</v>
      </c>
      <c r="B118" s="2">
        <v>45044</v>
      </c>
      <c r="C118" s="1" t="s">
        <v>14</v>
      </c>
      <c r="D118" s="1" t="s">
        <v>65</v>
      </c>
      <c r="E118" s="1" t="s">
        <v>19</v>
      </c>
      <c r="F118" s="1">
        <v>2449</v>
      </c>
      <c r="G118" s="1" t="s">
        <v>139</v>
      </c>
      <c r="H118" s="2">
        <v>29381</v>
      </c>
      <c r="I118" s="2">
        <v>45056</v>
      </c>
      <c r="J118" s="1">
        <v>22.98</v>
      </c>
      <c r="K118" s="4">
        <f t="shared" si="8"/>
        <v>562.78020000000004</v>
      </c>
      <c r="L118" s="4">
        <f t="shared" si="9"/>
        <v>1886.2197999999999</v>
      </c>
    </row>
    <row r="119" spans="1:12" x14ac:dyDescent="0.3">
      <c r="A119" s="1">
        <v>1117</v>
      </c>
      <c r="B119" s="2">
        <v>44445</v>
      </c>
      <c r="C119" s="1" t="s">
        <v>10</v>
      </c>
      <c r="D119" s="1" t="s">
        <v>40</v>
      </c>
      <c r="E119" s="1" t="s">
        <v>16</v>
      </c>
      <c r="F119" s="1">
        <v>1567.51</v>
      </c>
      <c r="G119" s="1" t="s">
        <v>140</v>
      </c>
      <c r="H119" s="2">
        <v>24579</v>
      </c>
      <c r="I119" s="2">
        <v>44456</v>
      </c>
      <c r="J119" s="1">
        <v>30.47</v>
      </c>
      <c r="K119" s="4">
        <f t="shared" si="8"/>
        <v>477.62029699999994</v>
      </c>
      <c r="L119" s="4">
        <f t="shared" si="9"/>
        <v>1089.8897030000001</v>
      </c>
    </row>
    <row r="120" spans="1:12" x14ac:dyDescent="0.3">
      <c r="A120" s="1">
        <v>1118</v>
      </c>
      <c r="B120" s="2">
        <v>44966</v>
      </c>
      <c r="C120" s="1" t="s">
        <v>26</v>
      </c>
      <c r="D120" s="1" t="s">
        <v>55</v>
      </c>
      <c r="E120" s="1" t="s">
        <v>31</v>
      </c>
      <c r="F120" s="1">
        <v>2984.11</v>
      </c>
      <c r="G120" s="1" t="s">
        <v>141</v>
      </c>
      <c r="H120" s="2">
        <v>35559</v>
      </c>
      <c r="I120" s="2">
        <v>44979</v>
      </c>
      <c r="J120" s="1">
        <v>36.44</v>
      </c>
      <c r="K120" s="4">
        <f t="shared" si="8"/>
        <v>1087.409684</v>
      </c>
      <c r="L120" s="4">
        <f t="shared" si="9"/>
        <v>1896.7003160000002</v>
      </c>
    </row>
    <row r="121" spans="1:12" x14ac:dyDescent="0.3">
      <c r="A121" s="1">
        <v>1119</v>
      </c>
      <c r="B121" s="2">
        <v>45818</v>
      </c>
      <c r="C121" s="1" t="s">
        <v>35</v>
      </c>
      <c r="D121" s="1" t="s">
        <v>11</v>
      </c>
      <c r="E121" s="1" t="s">
        <v>12</v>
      </c>
      <c r="F121" s="1">
        <v>3346.64</v>
      </c>
      <c r="G121" s="1" t="s">
        <v>142</v>
      </c>
      <c r="H121" s="2">
        <v>29541</v>
      </c>
      <c r="I121" s="2">
        <v>45821</v>
      </c>
      <c r="J121" s="1">
        <v>33.65</v>
      </c>
      <c r="K121" s="4">
        <f t="shared" si="8"/>
        <v>1126.1443599999998</v>
      </c>
      <c r="L121" s="4">
        <f t="shared" si="9"/>
        <v>2220.4956400000001</v>
      </c>
    </row>
    <row r="122" spans="1:12" x14ac:dyDescent="0.3">
      <c r="A122" s="1">
        <v>1120</v>
      </c>
      <c r="B122" s="2">
        <v>45547</v>
      </c>
      <c r="C122" s="1" t="s">
        <v>26</v>
      </c>
      <c r="D122" s="1" t="s">
        <v>47</v>
      </c>
      <c r="E122" s="1" t="s">
        <v>12</v>
      </c>
      <c r="F122" s="1">
        <v>962.15</v>
      </c>
      <c r="G122" s="1" t="s">
        <v>143</v>
      </c>
      <c r="H122" s="2">
        <v>37490</v>
      </c>
      <c r="I122" s="2">
        <v>45560</v>
      </c>
      <c r="J122" s="1">
        <v>12.14</v>
      </c>
      <c r="K122" s="4">
        <f t="shared" si="8"/>
        <v>116.80501000000001</v>
      </c>
      <c r="L122" s="4">
        <f t="shared" si="9"/>
        <v>845.34498999999994</v>
      </c>
    </row>
    <row r="123" spans="1:12" x14ac:dyDescent="0.3">
      <c r="A123" s="1">
        <v>1121</v>
      </c>
      <c r="B123" s="2">
        <v>45534</v>
      </c>
      <c r="C123" s="1" t="s">
        <v>26</v>
      </c>
      <c r="D123" s="1" t="s">
        <v>73</v>
      </c>
      <c r="E123" s="1" t="s">
        <v>28</v>
      </c>
      <c r="F123" s="1">
        <v>3263.31</v>
      </c>
      <c r="G123" s="1" t="s">
        <v>144</v>
      </c>
      <c r="H123" s="2">
        <v>34571</v>
      </c>
      <c r="I123" s="2">
        <v>45537</v>
      </c>
      <c r="J123" s="1">
        <v>42.11</v>
      </c>
      <c r="K123" s="4">
        <f t="shared" si="8"/>
        <v>1374.1798409999999</v>
      </c>
      <c r="L123" s="4">
        <f t="shared" si="9"/>
        <v>1889.130159</v>
      </c>
    </row>
    <row r="124" spans="1:12" x14ac:dyDescent="0.3">
      <c r="A124" s="1">
        <v>1122</v>
      </c>
      <c r="B124" s="2">
        <v>44929</v>
      </c>
      <c r="C124" s="1" t="s">
        <v>35</v>
      </c>
      <c r="D124" s="1" t="s">
        <v>36</v>
      </c>
      <c r="E124" s="1" t="s">
        <v>28</v>
      </c>
      <c r="F124" s="1">
        <v>2326.17</v>
      </c>
      <c r="G124" s="1" t="s">
        <v>145</v>
      </c>
      <c r="H124" s="2">
        <v>23470</v>
      </c>
      <c r="I124" s="2">
        <v>44938</v>
      </c>
      <c r="J124" s="1">
        <v>8.98</v>
      </c>
      <c r="K124" s="4">
        <f t="shared" si="8"/>
        <v>208.89006600000002</v>
      </c>
      <c r="L124" s="4">
        <f t="shared" si="9"/>
        <v>2117.2799340000001</v>
      </c>
    </row>
    <row r="125" spans="1:12" x14ac:dyDescent="0.3">
      <c r="A125" s="1">
        <v>1123</v>
      </c>
      <c r="B125" s="2">
        <v>45807</v>
      </c>
      <c r="C125" s="1" t="s">
        <v>21</v>
      </c>
      <c r="D125" s="1" t="s">
        <v>58</v>
      </c>
      <c r="E125" s="1" t="s">
        <v>31</v>
      </c>
      <c r="F125" s="1">
        <v>4103.01</v>
      </c>
      <c r="G125" s="1" t="s">
        <v>146</v>
      </c>
      <c r="H125" s="2">
        <v>24961</v>
      </c>
      <c r="I125" s="2">
        <v>45812</v>
      </c>
      <c r="J125" s="1">
        <v>0.87</v>
      </c>
      <c r="K125" s="4">
        <f t="shared" si="8"/>
        <v>35.696187000000002</v>
      </c>
      <c r="L125" s="4">
        <f t="shared" si="9"/>
        <v>4067.3138130000002</v>
      </c>
    </row>
    <row r="126" spans="1:12" x14ac:dyDescent="0.3">
      <c r="A126" s="1">
        <v>1124</v>
      </c>
      <c r="B126" s="2">
        <v>45207</v>
      </c>
      <c r="C126" s="1" t="s">
        <v>10</v>
      </c>
      <c r="D126" s="1" t="s">
        <v>30</v>
      </c>
      <c r="E126" s="1" t="s">
        <v>31</v>
      </c>
      <c r="F126" s="1">
        <v>3578.78</v>
      </c>
      <c r="G126" s="1" t="s">
        <v>147</v>
      </c>
      <c r="H126" s="2">
        <v>34343</v>
      </c>
      <c r="I126" s="2">
        <v>45216</v>
      </c>
      <c r="J126" s="1">
        <v>9.4600000000000009</v>
      </c>
      <c r="K126" s="4">
        <f t="shared" si="8"/>
        <v>338.55258800000001</v>
      </c>
      <c r="L126" s="4">
        <f t="shared" si="9"/>
        <v>3240.2274120000002</v>
      </c>
    </row>
    <row r="127" spans="1:12" x14ac:dyDescent="0.3">
      <c r="A127" s="1">
        <v>1125</v>
      </c>
      <c r="B127" s="2">
        <v>44559</v>
      </c>
      <c r="C127" s="1" t="s">
        <v>21</v>
      </c>
      <c r="D127" s="1" t="s">
        <v>22</v>
      </c>
      <c r="E127" s="1" t="s">
        <v>19</v>
      </c>
      <c r="F127" s="1">
        <v>3102.24</v>
      </c>
      <c r="G127" s="1" t="s">
        <v>75</v>
      </c>
      <c r="H127" s="2">
        <v>25853</v>
      </c>
      <c r="I127" s="2">
        <v>44570</v>
      </c>
      <c r="J127" s="1">
        <v>13.12</v>
      </c>
      <c r="K127" s="4">
        <f t="shared" si="8"/>
        <v>407.01388799999989</v>
      </c>
      <c r="L127" s="4">
        <f t="shared" si="9"/>
        <v>2695.2261119999998</v>
      </c>
    </row>
    <row r="128" spans="1:12" x14ac:dyDescent="0.3">
      <c r="A128" s="1">
        <v>1126</v>
      </c>
      <c r="B128" s="2">
        <v>44298</v>
      </c>
      <c r="C128" s="1" t="s">
        <v>10</v>
      </c>
      <c r="D128" s="1" t="s">
        <v>27</v>
      </c>
      <c r="E128" s="1" t="s">
        <v>28</v>
      </c>
      <c r="F128" s="1">
        <v>2539.35</v>
      </c>
      <c r="G128" s="1" t="s">
        <v>62</v>
      </c>
      <c r="H128" s="2">
        <v>22870</v>
      </c>
      <c r="I128" s="2">
        <v>44302</v>
      </c>
      <c r="J128" s="1">
        <v>18.09</v>
      </c>
      <c r="K128" s="4">
        <f t="shared" si="8"/>
        <v>459.36841499999997</v>
      </c>
      <c r="L128" s="4">
        <f t="shared" si="9"/>
        <v>2079.981585</v>
      </c>
    </row>
    <row r="129" spans="1:12" x14ac:dyDescent="0.3">
      <c r="A129" s="1">
        <v>1127</v>
      </c>
      <c r="B129" s="2">
        <v>45488</v>
      </c>
      <c r="C129" s="1" t="s">
        <v>10</v>
      </c>
      <c r="D129" s="1" t="s">
        <v>30</v>
      </c>
      <c r="E129" s="1" t="s">
        <v>31</v>
      </c>
      <c r="F129" s="1">
        <v>1990.67</v>
      </c>
      <c r="G129" s="1" t="s">
        <v>148</v>
      </c>
      <c r="H129" s="2">
        <v>22007</v>
      </c>
      <c r="I129" s="2">
        <v>45495</v>
      </c>
      <c r="J129" s="1">
        <v>1.56</v>
      </c>
      <c r="K129" s="4">
        <f t="shared" si="8"/>
        <v>31.054452000000005</v>
      </c>
      <c r="L129" s="4">
        <f t="shared" si="9"/>
        <v>1959.615548</v>
      </c>
    </row>
    <row r="130" spans="1:12" x14ac:dyDescent="0.3">
      <c r="A130" s="1">
        <v>1128</v>
      </c>
      <c r="B130" s="2">
        <v>45105</v>
      </c>
      <c r="C130" s="1" t="s">
        <v>21</v>
      </c>
      <c r="D130" s="1" t="s">
        <v>55</v>
      </c>
      <c r="E130" s="1" t="s">
        <v>31</v>
      </c>
      <c r="F130" s="1">
        <v>1239.3399999999999</v>
      </c>
      <c r="G130" s="1" t="s">
        <v>149</v>
      </c>
      <c r="H130" s="2">
        <v>26155</v>
      </c>
      <c r="I130" s="2">
        <v>45115</v>
      </c>
      <c r="J130" s="1">
        <v>5.3</v>
      </c>
      <c r="K130" s="4">
        <f t="shared" si="8"/>
        <v>65.685019999999994</v>
      </c>
      <c r="L130" s="4">
        <f t="shared" si="9"/>
        <v>1173.65498</v>
      </c>
    </row>
    <row r="131" spans="1:12" x14ac:dyDescent="0.3">
      <c r="A131" s="1">
        <v>1129</v>
      </c>
      <c r="B131" s="2">
        <v>45034</v>
      </c>
      <c r="C131" s="1" t="s">
        <v>14</v>
      </c>
      <c r="D131" s="1" t="s">
        <v>69</v>
      </c>
      <c r="E131" s="1" t="s">
        <v>31</v>
      </c>
      <c r="F131" s="1">
        <v>585.54999999999995</v>
      </c>
      <c r="G131" s="1" t="s">
        <v>54</v>
      </c>
      <c r="H131" s="2">
        <v>31082</v>
      </c>
      <c r="I131" s="2">
        <v>45038</v>
      </c>
      <c r="J131" s="1">
        <v>49.91</v>
      </c>
      <c r="K131" s="4">
        <f t="shared" ref="K131:K194" si="10">F131*J131%</f>
        <v>292.24800499999998</v>
      </c>
      <c r="L131" s="4">
        <f t="shared" ref="L131:L194" si="11">F131-K131</f>
        <v>293.30199499999998</v>
      </c>
    </row>
    <row r="132" spans="1:12" x14ac:dyDescent="0.3">
      <c r="A132" s="1">
        <v>1130</v>
      </c>
      <c r="B132" s="2">
        <v>45860</v>
      </c>
      <c r="C132" s="1" t="s">
        <v>21</v>
      </c>
      <c r="D132" s="1" t="s">
        <v>24</v>
      </c>
      <c r="E132" s="1" t="s">
        <v>19</v>
      </c>
      <c r="F132" s="1">
        <v>2422.41</v>
      </c>
      <c r="G132" s="1" t="s">
        <v>112</v>
      </c>
      <c r="H132" s="2">
        <v>38171</v>
      </c>
      <c r="I132" s="2">
        <v>45862</v>
      </c>
      <c r="J132" s="1">
        <v>43.13</v>
      </c>
      <c r="K132" s="4">
        <f t="shared" si="10"/>
        <v>1044.785433</v>
      </c>
      <c r="L132" s="4">
        <f t="shared" si="11"/>
        <v>1377.6245669999998</v>
      </c>
    </row>
    <row r="133" spans="1:12" x14ac:dyDescent="0.3">
      <c r="A133" s="1">
        <v>1131</v>
      </c>
      <c r="B133" s="2">
        <v>44404</v>
      </c>
      <c r="C133" s="1" t="s">
        <v>14</v>
      </c>
      <c r="D133" s="1" t="s">
        <v>102</v>
      </c>
      <c r="E133" s="1" t="s">
        <v>12</v>
      </c>
      <c r="F133" s="1">
        <v>1177.53</v>
      </c>
      <c r="G133" s="1" t="s">
        <v>150</v>
      </c>
      <c r="H133" s="2">
        <v>31231</v>
      </c>
      <c r="I133" s="2">
        <v>44418</v>
      </c>
      <c r="J133" s="1">
        <v>25.34</v>
      </c>
      <c r="K133" s="4">
        <f t="shared" si="10"/>
        <v>298.38610199999999</v>
      </c>
      <c r="L133" s="4">
        <f t="shared" si="11"/>
        <v>879.14389800000004</v>
      </c>
    </row>
    <row r="134" spans="1:12" x14ac:dyDescent="0.3">
      <c r="A134" s="1">
        <v>1132</v>
      </c>
      <c r="B134" s="2">
        <v>45011</v>
      </c>
      <c r="C134" s="1" t="s">
        <v>35</v>
      </c>
      <c r="D134" s="1" t="s">
        <v>65</v>
      </c>
      <c r="E134" s="1" t="s">
        <v>19</v>
      </c>
      <c r="F134" s="1">
        <v>141.16999999999999</v>
      </c>
      <c r="G134" s="1" t="s">
        <v>151</v>
      </c>
      <c r="H134" s="2">
        <v>34427</v>
      </c>
      <c r="I134" s="2">
        <v>45015</v>
      </c>
      <c r="J134" s="1">
        <v>22.75</v>
      </c>
      <c r="K134" s="4">
        <f t="shared" si="10"/>
        <v>32.116174999999998</v>
      </c>
      <c r="L134" s="4">
        <f t="shared" si="11"/>
        <v>109.05382499999999</v>
      </c>
    </row>
    <row r="135" spans="1:12" x14ac:dyDescent="0.3">
      <c r="A135" s="1">
        <v>1133</v>
      </c>
      <c r="B135" s="2">
        <v>44704</v>
      </c>
      <c r="C135" s="1" t="s">
        <v>26</v>
      </c>
      <c r="D135" s="1" t="s">
        <v>53</v>
      </c>
      <c r="E135" s="1" t="s">
        <v>28</v>
      </c>
      <c r="F135" s="1">
        <v>309.52</v>
      </c>
      <c r="G135" s="1" t="s">
        <v>152</v>
      </c>
      <c r="H135" s="2">
        <v>24792</v>
      </c>
      <c r="I135" s="2">
        <v>44718</v>
      </c>
      <c r="J135" s="1">
        <v>38.33</v>
      </c>
      <c r="K135" s="4">
        <f t="shared" si="10"/>
        <v>118.63901599999998</v>
      </c>
      <c r="L135" s="4">
        <f t="shared" si="11"/>
        <v>190.88098400000001</v>
      </c>
    </row>
    <row r="136" spans="1:12" x14ac:dyDescent="0.3">
      <c r="A136" s="1">
        <v>1134</v>
      </c>
      <c r="B136" s="2">
        <v>44910</v>
      </c>
      <c r="C136" s="1" t="s">
        <v>21</v>
      </c>
      <c r="D136" s="1" t="s">
        <v>88</v>
      </c>
      <c r="E136" s="1" t="s">
        <v>16</v>
      </c>
      <c r="F136" s="1">
        <v>3482.39</v>
      </c>
      <c r="G136" s="1" t="s">
        <v>153</v>
      </c>
      <c r="H136" s="2">
        <v>36216</v>
      </c>
      <c r="I136" s="2">
        <v>44912</v>
      </c>
      <c r="J136" s="1">
        <v>34.479999999999997</v>
      </c>
      <c r="K136" s="4">
        <f t="shared" si="10"/>
        <v>1200.7280719999999</v>
      </c>
      <c r="L136" s="4">
        <f t="shared" si="11"/>
        <v>2281.661928</v>
      </c>
    </row>
    <row r="137" spans="1:12" x14ac:dyDescent="0.3">
      <c r="A137" s="1">
        <v>1135</v>
      </c>
      <c r="B137" s="2">
        <v>45173</v>
      </c>
      <c r="C137" s="1" t="s">
        <v>14</v>
      </c>
      <c r="D137" s="1" t="s">
        <v>40</v>
      </c>
      <c r="E137" s="1" t="s">
        <v>16</v>
      </c>
      <c r="F137" s="1">
        <v>186.59</v>
      </c>
      <c r="G137" s="1" t="s">
        <v>154</v>
      </c>
      <c r="H137" s="2">
        <v>32146</v>
      </c>
      <c r="I137" s="2">
        <v>45186</v>
      </c>
      <c r="J137" s="1">
        <v>43.06</v>
      </c>
      <c r="K137" s="4">
        <f t="shared" si="10"/>
        <v>80.34565400000001</v>
      </c>
      <c r="L137" s="4">
        <f t="shared" si="11"/>
        <v>106.24434599999999</v>
      </c>
    </row>
    <row r="138" spans="1:12" x14ac:dyDescent="0.3">
      <c r="A138" s="1">
        <v>1136</v>
      </c>
      <c r="B138" s="2">
        <v>44784</v>
      </c>
      <c r="C138" s="1" t="s">
        <v>35</v>
      </c>
      <c r="D138" s="1" t="s">
        <v>55</v>
      </c>
      <c r="E138" s="1" t="s">
        <v>31</v>
      </c>
      <c r="F138" s="1">
        <v>2204.64</v>
      </c>
      <c r="G138" s="1" t="s">
        <v>132</v>
      </c>
      <c r="H138" s="2">
        <v>34364</v>
      </c>
      <c r="I138" s="2">
        <v>44785</v>
      </c>
      <c r="J138" s="1">
        <v>1.55</v>
      </c>
      <c r="K138" s="4">
        <f t="shared" si="10"/>
        <v>34.17192</v>
      </c>
      <c r="L138" s="4">
        <f t="shared" si="11"/>
        <v>2170.4680799999996</v>
      </c>
    </row>
    <row r="139" spans="1:12" x14ac:dyDescent="0.3">
      <c r="A139" s="1">
        <v>1137</v>
      </c>
      <c r="B139" s="2">
        <v>44556</v>
      </c>
      <c r="C139" s="1" t="s">
        <v>35</v>
      </c>
      <c r="D139" s="1" t="s">
        <v>69</v>
      </c>
      <c r="E139" s="1" t="s">
        <v>31</v>
      </c>
      <c r="F139" s="1">
        <v>472.14</v>
      </c>
      <c r="G139" s="1" t="s">
        <v>155</v>
      </c>
      <c r="H139" s="2">
        <v>27688</v>
      </c>
      <c r="I139" s="2">
        <v>44558</v>
      </c>
      <c r="J139" s="1">
        <v>6.01</v>
      </c>
      <c r="K139" s="4">
        <f t="shared" si="10"/>
        <v>28.375613999999999</v>
      </c>
      <c r="L139" s="4">
        <f t="shared" si="11"/>
        <v>443.764386</v>
      </c>
    </row>
    <row r="140" spans="1:12" x14ac:dyDescent="0.3">
      <c r="A140" s="1">
        <v>1138</v>
      </c>
      <c r="B140" s="2">
        <v>44765</v>
      </c>
      <c r="C140" s="1" t="s">
        <v>10</v>
      </c>
      <c r="D140" s="1" t="s">
        <v>27</v>
      </c>
      <c r="E140" s="1" t="s">
        <v>28</v>
      </c>
      <c r="F140" s="1">
        <v>4691.68</v>
      </c>
      <c r="G140" s="1" t="s">
        <v>156</v>
      </c>
      <c r="H140" s="2">
        <v>38693</v>
      </c>
      <c r="I140" s="2">
        <v>44777</v>
      </c>
      <c r="J140" s="1">
        <v>24.19</v>
      </c>
      <c r="K140" s="4">
        <f t="shared" si="10"/>
        <v>1134.9173920000001</v>
      </c>
      <c r="L140" s="4">
        <f t="shared" si="11"/>
        <v>3556.762608</v>
      </c>
    </row>
    <row r="141" spans="1:12" x14ac:dyDescent="0.3">
      <c r="A141" s="1">
        <v>1139</v>
      </c>
      <c r="B141" s="2">
        <v>45699</v>
      </c>
      <c r="C141" s="1" t="s">
        <v>10</v>
      </c>
      <c r="D141" s="1" t="s">
        <v>47</v>
      </c>
      <c r="E141" s="1" t="s">
        <v>12</v>
      </c>
      <c r="F141" s="1">
        <v>1474.93</v>
      </c>
      <c r="G141" s="1" t="s">
        <v>157</v>
      </c>
      <c r="H141" s="2">
        <v>37189</v>
      </c>
      <c r="I141" s="2">
        <v>45710</v>
      </c>
      <c r="J141" s="1">
        <v>13.15</v>
      </c>
      <c r="K141" s="4">
        <f t="shared" si="10"/>
        <v>193.95329500000003</v>
      </c>
      <c r="L141" s="4">
        <f t="shared" si="11"/>
        <v>1280.976705</v>
      </c>
    </row>
    <row r="142" spans="1:12" x14ac:dyDescent="0.3">
      <c r="A142" s="1">
        <v>1140</v>
      </c>
      <c r="B142" s="2">
        <v>45407</v>
      </c>
      <c r="C142" s="1" t="s">
        <v>26</v>
      </c>
      <c r="D142" s="1" t="s">
        <v>36</v>
      </c>
      <c r="E142" s="1" t="s">
        <v>28</v>
      </c>
      <c r="F142" s="1">
        <v>1790.45</v>
      </c>
      <c r="G142" s="1" t="s">
        <v>90</v>
      </c>
      <c r="H142" s="2">
        <v>29348</v>
      </c>
      <c r="I142" s="2">
        <v>45408</v>
      </c>
      <c r="J142" s="1">
        <v>19.11</v>
      </c>
      <c r="K142" s="4">
        <f t="shared" si="10"/>
        <v>342.15499499999999</v>
      </c>
      <c r="L142" s="4">
        <f t="shared" si="11"/>
        <v>1448.2950049999999</v>
      </c>
    </row>
    <row r="143" spans="1:12" x14ac:dyDescent="0.3">
      <c r="A143" s="1">
        <v>1141</v>
      </c>
      <c r="B143" s="2">
        <v>45878</v>
      </c>
      <c r="C143" s="1" t="s">
        <v>35</v>
      </c>
      <c r="D143" s="1" t="s">
        <v>61</v>
      </c>
      <c r="E143" s="1" t="s">
        <v>19</v>
      </c>
      <c r="F143" s="1">
        <v>808</v>
      </c>
      <c r="G143" s="1" t="s">
        <v>78</v>
      </c>
      <c r="H143" s="2">
        <v>25099</v>
      </c>
      <c r="I143" s="2">
        <v>45883</v>
      </c>
      <c r="J143" s="1">
        <v>23.32</v>
      </c>
      <c r="K143" s="4">
        <f t="shared" si="10"/>
        <v>188.4256</v>
      </c>
      <c r="L143" s="4">
        <f t="shared" si="11"/>
        <v>619.57439999999997</v>
      </c>
    </row>
    <row r="144" spans="1:12" x14ac:dyDescent="0.3">
      <c r="A144" s="1">
        <v>1142</v>
      </c>
      <c r="B144" s="2">
        <v>44208</v>
      </c>
      <c r="C144" s="1" t="s">
        <v>14</v>
      </c>
      <c r="D144" s="1" t="s">
        <v>61</v>
      </c>
      <c r="E144" s="1" t="s">
        <v>19</v>
      </c>
      <c r="F144" s="1">
        <v>1853.63</v>
      </c>
      <c r="G144" s="1" t="s">
        <v>158</v>
      </c>
      <c r="H144" s="2">
        <v>34871</v>
      </c>
      <c r="I144" s="2">
        <v>44219</v>
      </c>
      <c r="J144" s="1">
        <v>22.73</v>
      </c>
      <c r="K144" s="4">
        <f t="shared" si="10"/>
        <v>421.33009900000002</v>
      </c>
      <c r="L144" s="4">
        <f t="shared" si="11"/>
        <v>1432.2999010000001</v>
      </c>
    </row>
    <row r="145" spans="1:12" x14ac:dyDescent="0.3">
      <c r="A145" s="1">
        <v>1143</v>
      </c>
      <c r="B145" s="2">
        <v>44282</v>
      </c>
      <c r="C145" s="1" t="s">
        <v>21</v>
      </c>
      <c r="D145" s="1" t="s">
        <v>71</v>
      </c>
      <c r="E145" s="1" t="s">
        <v>31</v>
      </c>
      <c r="F145" s="1">
        <v>3908.26</v>
      </c>
      <c r="G145" s="1" t="s">
        <v>159</v>
      </c>
      <c r="H145" s="2">
        <v>38194</v>
      </c>
      <c r="I145" s="2">
        <v>44285</v>
      </c>
      <c r="J145" s="1">
        <v>5.22</v>
      </c>
      <c r="K145" s="4">
        <f t="shared" si="10"/>
        <v>204.01117199999999</v>
      </c>
      <c r="L145" s="4">
        <f t="shared" si="11"/>
        <v>3704.2488280000002</v>
      </c>
    </row>
    <row r="146" spans="1:12" x14ac:dyDescent="0.3">
      <c r="A146" s="1">
        <v>1144</v>
      </c>
      <c r="B146" s="2">
        <v>45242</v>
      </c>
      <c r="C146" s="1" t="s">
        <v>21</v>
      </c>
      <c r="D146" s="1" t="s">
        <v>30</v>
      </c>
      <c r="E146" s="1" t="s">
        <v>31</v>
      </c>
      <c r="F146" s="1">
        <v>3609.48</v>
      </c>
      <c r="G146" s="1" t="s">
        <v>43</v>
      </c>
      <c r="H146" s="2">
        <v>30054</v>
      </c>
      <c r="I146" s="2">
        <v>45249</v>
      </c>
      <c r="J146" s="1">
        <v>0.27</v>
      </c>
      <c r="K146" s="4">
        <f t="shared" si="10"/>
        <v>9.7455960000000008</v>
      </c>
      <c r="L146" s="4">
        <f t="shared" si="11"/>
        <v>3599.7344039999998</v>
      </c>
    </row>
    <row r="147" spans="1:12" x14ac:dyDescent="0.3">
      <c r="A147" s="1">
        <v>1145</v>
      </c>
      <c r="B147" s="2">
        <v>44771</v>
      </c>
      <c r="C147" s="1" t="s">
        <v>14</v>
      </c>
      <c r="D147" s="1" t="s">
        <v>11</v>
      </c>
      <c r="E147" s="1" t="s">
        <v>12</v>
      </c>
      <c r="F147" s="1">
        <v>527.39</v>
      </c>
      <c r="G147" s="1" t="s">
        <v>59</v>
      </c>
      <c r="H147" s="2">
        <v>25166</v>
      </c>
      <c r="I147" s="2">
        <v>44780</v>
      </c>
      <c r="J147" s="1">
        <v>14.21</v>
      </c>
      <c r="K147" s="4">
        <f t="shared" si="10"/>
        <v>74.942119000000005</v>
      </c>
      <c r="L147" s="4">
        <f t="shared" si="11"/>
        <v>452.447881</v>
      </c>
    </row>
    <row r="148" spans="1:12" x14ac:dyDescent="0.3">
      <c r="A148" s="1">
        <v>1146</v>
      </c>
      <c r="B148" s="2">
        <v>44893</v>
      </c>
      <c r="C148" s="1" t="s">
        <v>35</v>
      </c>
      <c r="D148" s="1" t="s">
        <v>30</v>
      </c>
      <c r="E148" s="1" t="s">
        <v>31</v>
      </c>
      <c r="F148" s="1">
        <v>3221.4</v>
      </c>
      <c r="G148" s="1" t="s">
        <v>160</v>
      </c>
      <c r="H148" s="2">
        <v>35321</v>
      </c>
      <c r="I148" s="2">
        <v>44900</v>
      </c>
      <c r="J148" s="1">
        <v>14.32</v>
      </c>
      <c r="K148" s="4">
        <f t="shared" si="10"/>
        <v>461.30448000000001</v>
      </c>
      <c r="L148" s="4">
        <f t="shared" si="11"/>
        <v>2760.0955199999999</v>
      </c>
    </row>
    <row r="149" spans="1:12" x14ac:dyDescent="0.3">
      <c r="A149" s="1">
        <v>1147</v>
      </c>
      <c r="B149" s="2">
        <v>44609</v>
      </c>
      <c r="C149" s="1" t="s">
        <v>14</v>
      </c>
      <c r="D149" s="1" t="s">
        <v>69</v>
      </c>
      <c r="E149" s="1" t="s">
        <v>31</v>
      </c>
      <c r="F149" s="1">
        <v>2149.13</v>
      </c>
      <c r="G149" s="1" t="s">
        <v>161</v>
      </c>
      <c r="H149" s="2">
        <v>29386</v>
      </c>
      <c r="I149" s="2">
        <v>44612</v>
      </c>
      <c r="J149" s="1">
        <v>39.03</v>
      </c>
      <c r="K149" s="4">
        <f t="shared" si="10"/>
        <v>838.80543900000009</v>
      </c>
      <c r="L149" s="4">
        <f t="shared" si="11"/>
        <v>1310.3245609999999</v>
      </c>
    </row>
    <row r="150" spans="1:12" x14ac:dyDescent="0.3">
      <c r="A150" s="1">
        <v>1148</v>
      </c>
      <c r="B150" s="2">
        <v>44281</v>
      </c>
      <c r="C150" s="1" t="s">
        <v>21</v>
      </c>
      <c r="D150" s="1" t="s">
        <v>24</v>
      </c>
      <c r="E150" s="1" t="s">
        <v>19</v>
      </c>
      <c r="F150" s="1">
        <v>4310.55</v>
      </c>
      <c r="G150" s="1" t="s">
        <v>162</v>
      </c>
      <c r="H150" s="2">
        <v>32712</v>
      </c>
      <c r="I150" s="2">
        <v>44282</v>
      </c>
      <c r="J150" s="1">
        <v>19.37</v>
      </c>
      <c r="K150" s="4">
        <f t="shared" si="10"/>
        <v>834.9535350000001</v>
      </c>
      <c r="L150" s="4">
        <f t="shared" si="11"/>
        <v>3475.5964650000001</v>
      </c>
    </row>
    <row r="151" spans="1:12" x14ac:dyDescent="0.3">
      <c r="A151" s="1">
        <v>1149</v>
      </c>
      <c r="B151" s="2">
        <v>44709</v>
      </c>
      <c r="C151" s="1" t="s">
        <v>10</v>
      </c>
      <c r="D151" s="1" t="s">
        <v>49</v>
      </c>
      <c r="E151" s="1" t="s">
        <v>12</v>
      </c>
      <c r="F151" s="1">
        <v>4335.75</v>
      </c>
      <c r="G151" s="1" t="s">
        <v>163</v>
      </c>
      <c r="H151" s="2">
        <v>30364</v>
      </c>
      <c r="I151" s="2">
        <v>44715</v>
      </c>
      <c r="J151" s="1">
        <v>8.9700000000000006</v>
      </c>
      <c r="K151" s="4">
        <f t="shared" si="10"/>
        <v>388.91677500000003</v>
      </c>
      <c r="L151" s="4">
        <f t="shared" si="11"/>
        <v>3946.8332249999999</v>
      </c>
    </row>
    <row r="152" spans="1:12" x14ac:dyDescent="0.3">
      <c r="A152" s="1">
        <v>1150</v>
      </c>
      <c r="B152" s="2">
        <v>45252</v>
      </c>
      <c r="C152" s="1" t="s">
        <v>35</v>
      </c>
      <c r="D152" s="1" t="s">
        <v>69</v>
      </c>
      <c r="E152" s="1" t="s">
        <v>12</v>
      </c>
      <c r="F152" s="1">
        <v>3821.32</v>
      </c>
      <c r="G152" s="1" t="s">
        <v>164</v>
      </c>
      <c r="H152" s="2">
        <v>28046</v>
      </c>
      <c r="I152" s="2">
        <v>45263</v>
      </c>
      <c r="J152" s="1">
        <v>26.4</v>
      </c>
      <c r="K152" s="4">
        <f t="shared" si="10"/>
        <v>1008.8284800000001</v>
      </c>
      <c r="L152" s="4">
        <f t="shared" si="11"/>
        <v>2812.49152</v>
      </c>
    </row>
    <row r="153" spans="1:12" x14ac:dyDescent="0.3">
      <c r="A153" s="1">
        <v>1151</v>
      </c>
      <c r="B153" s="2">
        <v>44914</v>
      </c>
      <c r="C153" s="1" t="s">
        <v>10</v>
      </c>
      <c r="D153" s="1" t="s">
        <v>65</v>
      </c>
      <c r="E153" s="1" t="s">
        <v>19</v>
      </c>
      <c r="F153" s="1">
        <v>2012.94</v>
      </c>
      <c r="G153" s="1" t="s">
        <v>165</v>
      </c>
      <c r="H153" s="2">
        <v>29887</v>
      </c>
      <c r="I153" s="2">
        <v>44915</v>
      </c>
      <c r="J153" s="1">
        <v>44.45</v>
      </c>
      <c r="K153" s="4">
        <f t="shared" si="10"/>
        <v>894.75183000000004</v>
      </c>
      <c r="L153" s="4">
        <f t="shared" si="11"/>
        <v>1118.1881699999999</v>
      </c>
    </row>
    <row r="154" spans="1:12" x14ac:dyDescent="0.3">
      <c r="A154" s="1">
        <v>1152</v>
      </c>
      <c r="B154" s="2">
        <v>45518</v>
      </c>
      <c r="C154" s="1" t="s">
        <v>14</v>
      </c>
      <c r="D154" s="1" t="s">
        <v>88</v>
      </c>
      <c r="E154" s="1" t="s">
        <v>16</v>
      </c>
      <c r="F154" s="1">
        <v>4403.59</v>
      </c>
      <c r="G154" s="1" t="s">
        <v>166</v>
      </c>
      <c r="H154" s="2">
        <v>27879</v>
      </c>
      <c r="I154" s="2">
        <v>45526</v>
      </c>
      <c r="J154" s="1">
        <v>20.79</v>
      </c>
      <c r="K154" s="4">
        <f t="shared" si="10"/>
        <v>915.50636100000008</v>
      </c>
      <c r="L154" s="4">
        <f t="shared" si="11"/>
        <v>3488.0836389999999</v>
      </c>
    </row>
    <row r="155" spans="1:12" x14ac:dyDescent="0.3">
      <c r="A155" s="1">
        <v>1153</v>
      </c>
      <c r="B155" s="2">
        <v>45326</v>
      </c>
      <c r="C155" s="1" t="s">
        <v>21</v>
      </c>
      <c r="D155" s="1" t="s">
        <v>33</v>
      </c>
      <c r="E155" s="1" t="s">
        <v>16</v>
      </c>
      <c r="F155" s="1">
        <v>3632.86</v>
      </c>
      <c r="G155" s="1" t="s">
        <v>167</v>
      </c>
      <c r="H155" s="2">
        <v>24672</v>
      </c>
      <c r="I155" s="2">
        <v>45334</v>
      </c>
      <c r="J155" s="1">
        <v>42.47</v>
      </c>
      <c r="K155" s="4">
        <f t="shared" si="10"/>
        <v>1542.875642</v>
      </c>
      <c r="L155" s="4">
        <f t="shared" si="11"/>
        <v>2089.9843580000002</v>
      </c>
    </row>
    <row r="156" spans="1:12" x14ac:dyDescent="0.3">
      <c r="A156" s="1">
        <v>1154</v>
      </c>
      <c r="B156" s="2">
        <v>45488</v>
      </c>
      <c r="C156" s="1" t="s">
        <v>21</v>
      </c>
      <c r="D156" s="1" t="s">
        <v>27</v>
      </c>
      <c r="E156" s="1" t="s">
        <v>28</v>
      </c>
      <c r="F156" s="1">
        <v>2638.14</v>
      </c>
      <c r="G156" s="1" t="s">
        <v>168</v>
      </c>
      <c r="H156" s="2">
        <v>37674</v>
      </c>
      <c r="I156" s="2">
        <v>45496</v>
      </c>
      <c r="J156" s="1">
        <v>39.82</v>
      </c>
      <c r="K156" s="4">
        <f t="shared" si="10"/>
        <v>1050.5073479999999</v>
      </c>
      <c r="L156" s="4">
        <f t="shared" si="11"/>
        <v>1587.632652</v>
      </c>
    </row>
    <row r="157" spans="1:12" x14ac:dyDescent="0.3">
      <c r="A157" s="1">
        <v>1155</v>
      </c>
      <c r="B157" s="2">
        <v>44780</v>
      </c>
      <c r="C157" s="1" t="s">
        <v>26</v>
      </c>
      <c r="D157" s="1" t="s">
        <v>53</v>
      </c>
      <c r="E157" s="1" t="s">
        <v>28</v>
      </c>
      <c r="F157" s="1">
        <v>4876.3599999999997</v>
      </c>
      <c r="G157" s="1" t="s">
        <v>169</v>
      </c>
      <c r="H157" s="2">
        <v>37894</v>
      </c>
      <c r="I157" s="2">
        <v>44794</v>
      </c>
      <c r="J157" s="1">
        <v>48.53</v>
      </c>
      <c r="K157" s="4">
        <f t="shared" si="10"/>
        <v>2366.4975079999999</v>
      </c>
      <c r="L157" s="4">
        <f t="shared" si="11"/>
        <v>2509.8624919999997</v>
      </c>
    </row>
    <row r="158" spans="1:12" x14ac:dyDescent="0.3">
      <c r="A158" s="1">
        <v>1156</v>
      </c>
      <c r="B158" s="2">
        <v>45019</v>
      </c>
      <c r="C158" s="1" t="s">
        <v>10</v>
      </c>
      <c r="D158" s="1" t="s">
        <v>11</v>
      </c>
      <c r="E158" s="1" t="s">
        <v>12</v>
      </c>
      <c r="F158" s="1">
        <v>222.74</v>
      </c>
      <c r="G158" s="1" t="s">
        <v>68</v>
      </c>
      <c r="H158" s="2">
        <v>22079</v>
      </c>
      <c r="I158" s="2">
        <v>45031</v>
      </c>
      <c r="J158" s="1">
        <v>25.77</v>
      </c>
      <c r="K158" s="4">
        <f t="shared" si="10"/>
        <v>57.400098</v>
      </c>
      <c r="L158" s="4">
        <f t="shared" si="11"/>
        <v>165.339902</v>
      </c>
    </row>
    <row r="159" spans="1:12" x14ac:dyDescent="0.3">
      <c r="A159" s="1">
        <v>1157</v>
      </c>
      <c r="B159" s="2">
        <v>44954</v>
      </c>
      <c r="C159" s="1" t="s">
        <v>26</v>
      </c>
      <c r="D159" s="1" t="s">
        <v>24</v>
      </c>
      <c r="E159" s="1" t="s">
        <v>19</v>
      </c>
      <c r="F159" s="1">
        <v>1279.19</v>
      </c>
      <c r="G159" s="1" t="s">
        <v>170</v>
      </c>
      <c r="H159" s="2">
        <v>34205</v>
      </c>
      <c r="I159" s="2">
        <v>44960</v>
      </c>
      <c r="J159" s="1">
        <v>43.33</v>
      </c>
      <c r="K159" s="4">
        <f t="shared" si="10"/>
        <v>554.27302699999996</v>
      </c>
      <c r="L159" s="4">
        <f t="shared" si="11"/>
        <v>724.9169730000001</v>
      </c>
    </row>
    <row r="160" spans="1:12" x14ac:dyDescent="0.3">
      <c r="A160" s="1">
        <v>1158</v>
      </c>
      <c r="B160" s="2">
        <v>44956</v>
      </c>
      <c r="C160" s="1" t="s">
        <v>35</v>
      </c>
      <c r="D160" s="1" t="s">
        <v>88</v>
      </c>
      <c r="E160" s="1" t="s">
        <v>16</v>
      </c>
      <c r="F160" s="1">
        <v>355.11</v>
      </c>
      <c r="G160" s="1" t="s">
        <v>79</v>
      </c>
      <c r="H160" s="2">
        <v>28675</v>
      </c>
      <c r="I160" s="2">
        <v>44969</v>
      </c>
      <c r="J160" s="1">
        <v>40.58</v>
      </c>
      <c r="K160" s="4">
        <f t="shared" si="10"/>
        <v>144.10363799999999</v>
      </c>
      <c r="L160" s="4">
        <f t="shared" si="11"/>
        <v>211.00636200000002</v>
      </c>
    </row>
    <row r="161" spans="1:12" x14ac:dyDescent="0.3">
      <c r="A161" s="1">
        <v>1159</v>
      </c>
      <c r="B161" s="2">
        <v>45880</v>
      </c>
      <c r="C161" s="1" t="s">
        <v>26</v>
      </c>
      <c r="D161" s="1" t="s">
        <v>53</v>
      </c>
      <c r="E161" s="1" t="s">
        <v>28</v>
      </c>
      <c r="F161" s="1">
        <v>4313.16</v>
      </c>
      <c r="G161" s="1" t="s">
        <v>171</v>
      </c>
      <c r="H161" s="2">
        <v>31261</v>
      </c>
      <c r="I161" s="2">
        <v>45884</v>
      </c>
      <c r="J161" s="1">
        <v>46.82</v>
      </c>
      <c r="K161" s="4">
        <f t="shared" si="10"/>
        <v>2019.4215119999999</v>
      </c>
      <c r="L161" s="4">
        <f t="shared" si="11"/>
        <v>2293.738488</v>
      </c>
    </row>
    <row r="162" spans="1:12" x14ac:dyDescent="0.3">
      <c r="A162" s="1">
        <v>1160</v>
      </c>
      <c r="B162" s="2">
        <v>45804</v>
      </c>
      <c r="C162" s="1" t="s">
        <v>21</v>
      </c>
      <c r="D162" s="1" t="s">
        <v>44</v>
      </c>
      <c r="E162" s="1" t="s">
        <v>16</v>
      </c>
      <c r="F162" s="1">
        <v>492.96</v>
      </c>
      <c r="G162" s="1" t="s">
        <v>172</v>
      </c>
      <c r="H162" s="2">
        <v>36571</v>
      </c>
      <c r="I162" s="2">
        <v>45814</v>
      </c>
      <c r="J162" s="1">
        <v>21.92</v>
      </c>
      <c r="K162" s="4">
        <f t="shared" si="10"/>
        <v>108.056832</v>
      </c>
      <c r="L162" s="4">
        <f t="shared" si="11"/>
        <v>384.90316799999999</v>
      </c>
    </row>
    <row r="163" spans="1:12" x14ac:dyDescent="0.3">
      <c r="A163" s="1">
        <v>1161</v>
      </c>
      <c r="B163" s="2">
        <v>45796</v>
      </c>
      <c r="C163" s="1" t="s">
        <v>26</v>
      </c>
      <c r="D163" s="1" t="s">
        <v>44</v>
      </c>
      <c r="E163" s="1" t="s">
        <v>16</v>
      </c>
      <c r="F163" s="1">
        <v>1635.84</v>
      </c>
      <c r="G163" s="1" t="s">
        <v>160</v>
      </c>
      <c r="H163" s="2">
        <v>35321</v>
      </c>
      <c r="I163" s="2">
        <v>45804</v>
      </c>
      <c r="J163" s="1">
        <v>5.75</v>
      </c>
      <c r="K163" s="4">
        <f t="shared" si="10"/>
        <v>94.0608</v>
      </c>
      <c r="L163" s="4">
        <f t="shared" si="11"/>
        <v>1541.7791999999999</v>
      </c>
    </row>
    <row r="164" spans="1:12" x14ac:dyDescent="0.3">
      <c r="A164" s="1">
        <v>1162</v>
      </c>
      <c r="B164" s="2">
        <v>45352</v>
      </c>
      <c r="C164" s="1" t="s">
        <v>21</v>
      </c>
      <c r="D164" s="1" t="s">
        <v>49</v>
      </c>
      <c r="E164" s="1" t="s">
        <v>12</v>
      </c>
      <c r="F164" s="1">
        <v>4145.6899999999996</v>
      </c>
      <c r="G164" s="1" t="s">
        <v>96</v>
      </c>
      <c r="H164" s="2">
        <v>36236</v>
      </c>
      <c r="I164" s="2">
        <v>45365</v>
      </c>
      <c r="J164" s="1">
        <v>14.43</v>
      </c>
      <c r="K164" s="4">
        <f t="shared" si="10"/>
        <v>598.2230669999999</v>
      </c>
      <c r="L164" s="4">
        <f t="shared" si="11"/>
        <v>3547.4669329999997</v>
      </c>
    </row>
    <row r="165" spans="1:12" x14ac:dyDescent="0.3">
      <c r="A165" s="1">
        <v>1163</v>
      </c>
      <c r="B165" s="2">
        <v>45008</v>
      </c>
      <c r="C165" s="1" t="s">
        <v>26</v>
      </c>
      <c r="D165" s="1" t="s">
        <v>53</v>
      </c>
      <c r="E165" s="1" t="s">
        <v>28</v>
      </c>
      <c r="F165" s="1">
        <v>4581.34</v>
      </c>
      <c r="G165" s="1" t="s">
        <v>78</v>
      </c>
      <c r="H165" s="2">
        <v>25099</v>
      </c>
      <c r="I165" s="2">
        <v>45010</v>
      </c>
      <c r="J165" s="1">
        <v>32.869999999999997</v>
      </c>
      <c r="K165" s="4">
        <f t="shared" si="10"/>
        <v>1505.8864579999999</v>
      </c>
      <c r="L165" s="4">
        <f t="shared" si="11"/>
        <v>3075.4535420000002</v>
      </c>
    </row>
    <row r="166" spans="1:12" x14ac:dyDescent="0.3">
      <c r="A166" s="1">
        <v>1164</v>
      </c>
      <c r="B166" s="2">
        <v>44551</v>
      </c>
      <c r="C166" s="1" t="s">
        <v>10</v>
      </c>
      <c r="D166" s="1" t="s">
        <v>47</v>
      </c>
      <c r="E166" s="1" t="s">
        <v>12</v>
      </c>
      <c r="F166" s="1">
        <v>1339.01</v>
      </c>
      <c r="G166" s="1" t="s">
        <v>173</v>
      </c>
      <c r="H166" s="2">
        <v>22016</v>
      </c>
      <c r="I166" s="2">
        <v>44553</v>
      </c>
      <c r="J166" s="1">
        <v>22.21</v>
      </c>
      <c r="K166" s="4">
        <f t="shared" si="10"/>
        <v>297.39412100000004</v>
      </c>
      <c r="L166" s="4">
        <f t="shared" si="11"/>
        <v>1041.6158789999999</v>
      </c>
    </row>
    <row r="167" spans="1:12" x14ac:dyDescent="0.3">
      <c r="A167" s="1">
        <v>1165</v>
      </c>
      <c r="B167" s="2">
        <v>45742</v>
      </c>
      <c r="C167" s="1" t="s">
        <v>14</v>
      </c>
      <c r="D167" s="1" t="s">
        <v>15</v>
      </c>
      <c r="E167" s="1" t="s">
        <v>16</v>
      </c>
      <c r="F167" s="1">
        <v>2790.45</v>
      </c>
      <c r="G167" s="1" t="s">
        <v>157</v>
      </c>
      <c r="H167" s="2">
        <v>37189</v>
      </c>
      <c r="I167" s="2">
        <v>45752</v>
      </c>
      <c r="J167" s="1">
        <v>6.5</v>
      </c>
      <c r="K167" s="4">
        <f t="shared" si="10"/>
        <v>181.37924999999998</v>
      </c>
      <c r="L167" s="4">
        <f t="shared" si="11"/>
        <v>2609.0707499999999</v>
      </c>
    </row>
    <row r="168" spans="1:12" x14ac:dyDescent="0.3">
      <c r="A168" s="1">
        <v>1166</v>
      </c>
      <c r="B168" s="2">
        <v>44783</v>
      </c>
      <c r="C168" s="1" t="s">
        <v>10</v>
      </c>
      <c r="D168" s="1" t="s">
        <v>24</v>
      </c>
      <c r="E168" s="1" t="s">
        <v>19</v>
      </c>
      <c r="F168" s="1">
        <v>720.87</v>
      </c>
      <c r="G168" s="1" t="s">
        <v>174</v>
      </c>
      <c r="H168" s="2">
        <v>38118</v>
      </c>
      <c r="I168" s="2">
        <v>44791</v>
      </c>
      <c r="J168" s="1">
        <v>21.76</v>
      </c>
      <c r="K168" s="4">
        <f t="shared" si="10"/>
        <v>156.861312</v>
      </c>
      <c r="L168" s="4">
        <f t="shared" si="11"/>
        <v>564.00868800000001</v>
      </c>
    </row>
    <row r="169" spans="1:12" x14ac:dyDescent="0.3">
      <c r="A169" s="1">
        <v>1167</v>
      </c>
      <c r="B169" s="2">
        <v>45151</v>
      </c>
      <c r="C169" s="1" t="s">
        <v>21</v>
      </c>
      <c r="D169" s="1" t="s">
        <v>58</v>
      </c>
      <c r="E169" s="1" t="s">
        <v>31</v>
      </c>
      <c r="F169" s="1">
        <v>1782.75</v>
      </c>
      <c r="G169" s="1" t="s">
        <v>175</v>
      </c>
      <c r="H169" s="2">
        <v>36623</v>
      </c>
      <c r="I169" s="2">
        <v>45156</v>
      </c>
      <c r="J169" s="1">
        <v>9.26</v>
      </c>
      <c r="K169" s="4">
        <f t="shared" si="10"/>
        <v>165.08265</v>
      </c>
      <c r="L169" s="4">
        <f t="shared" si="11"/>
        <v>1617.6673499999999</v>
      </c>
    </row>
    <row r="170" spans="1:12" x14ac:dyDescent="0.3">
      <c r="A170" s="1">
        <v>1168</v>
      </c>
      <c r="B170" s="2">
        <v>45093</v>
      </c>
      <c r="C170" s="1" t="s">
        <v>14</v>
      </c>
      <c r="D170" s="1" t="s">
        <v>44</v>
      </c>
      <c r="E170" s="1" t="s">
        <v>16</v>
      </c>
      <c r="F170" s="1">
        <v>2529.54</v>
      </c>
      <c r="G170" s="1" t="s">
        <v>72</v>
      </c>
      <c r="H170" s="2">
        <v>32992</v>
      </c>
      <c r="I170" s="2">
        <v>45094</v>
      </c>
      <c r="J170" s="1">
        <v>35.01</v>
      </c>
      <c r="K170" s="4">
        <f t="shared" si="10"/>
        <v>885.59195399999987</v>
      </c>
      <c r="L170" s="4">
        <f t="shared" si="11"/>
        <v>1643.948046</v>
      </c>
    </row>
    <row r="171" spans="1:12" x14ac:dyDescent="0.3">
      <c r="A171" s="1">
        <v>1169</v>
      </c>
      <c r="B171" s="2">
        <v>44225</v>
      </c>
      <c r="C171" s="1" t="s">
        <v>14</v>
      </c>
      <c r="D171" s="1" t="s">
        <v>24</v>
      </c>
      <c r="E171" s="1" t="s">
        <v>19</v>
      </c>
      <c r="F171" s="1">
        <v>456.09</v>
      </c>
      <c r="G171" s="1" t="s">
        <v>143</v>
      </c>
      <c r="H171" s="2">
        <v>37490</v>
      </c>
      <c r="I171" s="2">
        <v>44233</v>
      </c>
      <c r="J171" s="1">
        <v>45.07</v>
      </c>
      <c r="K171" s="4">
        <f t="shared" si="10"/>
        <v>205.55976299999998</v>
      </c>
      <c r="L171" s="4">
        <f t="shared" si="11"/>
        <v>250.530237</v>
      </c>
    </row>
    <row r="172" spans="1:12" x14ac:dyDescent="0.3">
      <c r="A172" s="1">
        <v>1170</v>
      </c>
      <c r="B172" s="2">
        <v>44998</v>
      </c>
      <c r="C172" s="1" t="s">
        <v>26</v>
      </c>
      <c r="D172" s="1" t="s">
        <v>69</v>
      </c>
      <c r="E172" s="1" t="s">
        <v>31</v>
      </c>
      <c r="F172" s="1">
        <v>1253.77</v>
      </c>
      <c r="G172" s="1" t="s">
        <v>132</v>
      </c>
      <c r="H172" s="2">
        <v>34364</v>
      </c>
      <c r="I172" s="2">
        <v>45011</v>
      </c>
      <c r="J172" s="1">
        <v>10.24</v>
      </c>
      <c r="K172" s="4">
        <f t="shared" si="10"/>
        <v>128.38604800000002</v>
      </c>
      <c r="L172" s="4">
        <f t="shared" si="11"/>
        <v>1125.3839519999999</v>
      </c>
    </row>
    <row r="173" spans="1:12" x14ac:dyDescent="0.3">
      <c r="A173" s="1">
        <v>1171</v>
      </c>
      <c r="B173" s="2">
        <v>45820</v>
      </c>
      <c r="C173" s="1" t="s">
        <v>35</v>
      </c>
      <c r="D173" s="1" t="s">
        <v>24</v>
      </c>
      <c r="E173" s="1" t="s">
        <v>19</v>
      </c>
      <c r="F173" s="1">
        <v>271.82</v>
      </c>
      <c r="G173" s="1" t="s">
        <v>163</v>
      </c>
      <c r="H173" s="2">
        <v>30364</v>
      </c>
      <c r="I173" s="2">
        <v>45824</v>
      </c>
      <c r="J173" s="1">
        <v>42.03</v>
      </c>
      <c r="K173" s="4">
        <f t="shared" si="10"/>
        <v>114.245946</v>
      </c>
      <c r="L173" s="4">
        <f t="shared" si="11"/>
        <v>157.57405399999999</v>
      </c>
    </row>
    <row r="174" spans="1:12" x14ac:dyDescent="0.3">
      <c r="A174" s="1">
        <v>1172</v>
      </c>
      <c r="B174" s="2">
        <v>44617</v>
      </c>
      <c r="C174" s="1" t="s">
        <v>14</v>
      </c>
      <c r="D174" s="1" t="s">
        <v>55</v>
      </c>
      <c r="E174" s="1" t="s">
        <v>31</v>
      </c>
      <c r="F174" s="1">
        <v>3804.2</v>
      </c>
      <c r="G174" s="1" t="s">
        <v>167</v>
      </c>
      <c r="H174" s="2">
        <v>24672</v>
      </c>
      <c r="I174" s="2">
        <v>44620</v>
      </c>
      <c r="J174" s="1">
        <v>27.88</v>
      </c>
      <c r="K174" s="4">
        <f t="shared" si="10"/>
        <v>1060.61096</v>
      </c>
      <c r="L174" s="4">
        <f t="shared" si="11"/>
        <v>2743.5890399999998</v>
      </c>
    </row>
    <row r="175" spans="1:12" x14ac:dyDescent="0.3">
      <c r="A175" s="1">
        <v>1173</v>
      </c>
      <c r="B175" s="2">
        <v>44561</v>
      </c>
      <c r="C175" s="1" t="s">
        <v>26</v>
      </c>
      <c r="D175" s="1" t="s">
        <v>55</v>
      </c>
      <c r="E175" s="1" t="s">
        <v>31</v>
      </c>
      <c r="F175" s="1">
        <v>3327.36</v>
      </c>
      <c r="G175" s="1" t="s">
        <v>126</v>
      </c>
      <c r="H175" s="2">
        <v>28644</v>
      </c>
      <c r="I175" s="2">
        <v>44567</v>
      </c>
      <c r="J175" s="1">
        <v>43.29</v>
      </c>
      <c r="K175" s="4">
        <f t="shared" si="10"/>
        <v>1440.4141440000001</v>
      </c>
      <c r="L175" s="4">
        <f t="shared" si="11"/>
        <v>1886.945856</v>
      </c>
    </row>
    <row r="176" spans="1:12" x14ac:dyDescent="0.3">
      <c r="A176" s="1">
        <v>1174</v>
      </c>
      <c r="B176" s="2">
        <v>44498</v>
      </c>
      <c r="C176" s="1" t="s">
        <v>35</v>
      </c>
      <c r="D176" s="1" t="s">
        <v>30</v>
      </c>
      <c r="E176" s="1" t="s">
        <v>31</v>
      </c>
      <c r="F176" s="1">
        <v>4323.72</v>
      </c>
      <c r="G176" s="1" t="s">
        <v>29</v>
      </c>
      <c r="H176" s="2">
        <v>24033</v>
      </c>
      <c r="I176" s="2">
        <v>44501</v>
      </c>
      <c r="J176" s="1">
        <v>40.82</v>
      </c>
      <c r="K176" s="4">
        <f t="shared" si="10"/>
        <v>1764.9425040000001</v>
      </c>
      <c r="L176" s="4">
        <f t="shared" si="11"/>
        <v>2558.7774960000002</v>
      </c>
    </row>
    <row r="177" spans="1:12" x14ac:dyDescent="0.3">
      <c r="A177" s="1">
        <v>1175</v>
      </c>
      <c r="B177" s="2">
        <v>44844</v>
      </c>
      <c r="C177" s="1" t="s">
        <v>14</v>
      </c>
      <c r="D177" s="1" t="s">
        <v>49</v>
      </c>
      <c r="E177" s="1" t="s">
        <v>12</v>
      </c>
      <c r="F177" s="1">
        <v>4240.53</v>
      </c>
      <c r="G177" s="1" t="s">
        <v>176</v>
      </c>
      <c r="H177" s="2">
        <v>33282</v>
      </c>
      <c r="I177" s="2">
        <v>44856</v>
      </c>
      <c r="J177" s="1">
        <v>1.84</v>
      </c>
      <c r="K177" s="4">
        <f t="shared" si="10"/>
        <v>78.025751999999997</v>
      </c>
      <c r="L177" s="4">
        <f t="shared" si="11"/>
        <v>4162.5042480000002</v>
      </c>
    </row>
    <row r="178" spans="1:12" x14ac:dyDescent="0.3">
      <c r="A178" s="1">
        <v>1176</v>
      </c>
      <c r="B178" s="2">
        <v>44490</v>
      </c>
      <c r="C178" s="1" t="s">
        <v>10</v>
      </c>
      <c r="D178" s="1" t="s">
        <v>11</v>
      </c>
      <c r="E178" s="1" t="s">
        <v>12</v>
      </c>
      <c r="F178" s="1">
        <v>365.08</v>
      </c>
      <c r="G178" s="1" t="s">
        <v>177</v>
      </c>
      <c r="H178" s="2">
        <v>22927</v>
      </c>
      <c r="I178" s="2">
        <v>44493</v>
      </c>
      <c r="J178" s="1">
        <v>19.37</v>
      </c>
      <c r="K178" s="4">
        <f t="shared" si="10"/>
        <v>70.715996000000004</v>
      </c>
      <c r="L178" s="4">
        <f t="shared" si="11"/>
        <v>294.36400399999997</v>
      </c>
    </row>
    <row r="179" spans="1:12" x14ac:dyDescent="0.3">
      <c r="A179" s="1">
        <v>1177</v>
      </c>
      <c r="B179" s="2">
        <v>44469</v>
      </c>
      <c r="C179" s="1" t="s">
        <v>14</v>
      </c>
      <c r="D179" s="1" t="s">
        <v>30</v>
      </c>
      <c r="E179" s="1" t="s">
        <v>31</v>
      </c>
      <c r="F179" s="1">
        <v>2760.09</v>
      </c>
      <c r="G179" s="1" t="s">
        <v>178</v>
      </c>
      <c r="H179" s="2">
        <v>23890</v>
      </c>
      <c r="I179" s="2">
        <v>44481</v>
      </c>
      <c r="J179" s="1">
        <v>45.94</v>
      </c>
      <c r="K179" s="4">
        <f t="shared" si="10"/>
        <v>1267.9853459999999</v>
      </c>
      <c r="L179" s="4">
        <f t="shared" si="11"/>
        <v>1492.1046540000002</v>
      </c>
    </row>
    <row r="180" spans="1:12" x14ac:dyDescent="0.3">
      <c r="A180" s="1">
        <v>1178</v>
      </c>
      <c r="B180" s="2">
        <v>44255</v>
      </c>
      <c r="C180" s="1" t="s">
        <v>35</v>
      </c>
      <c r="D180" s="1" t="s">
        <v>61</v>
      </c>
      <c r="E180" s="1" t="s">
        <v>19</v>
      </c>
      <c r="F180" s="1">
        <v>3846</v>
      </c>
      <c r="G180" s="1" t="s">
        <v>179</v>
      </c>
      <c r="H180" s="2">
        <v>30356</v>
      </c>
      <c r="I180" s="2">
        <v>44256</v>
      </c>
      <c r="J180" s="1">
        <v>1.22</v>
      </c>
      <c r="K180" s="4">
        <f t="shared" si="10"/>
        <v>46.921199999999999</v>
      </c>
      <c r="L180" s="4">
        <f t="shared" si="11"/>
        <v>3799.0788000000002</v>
      </c>
    </row>
    <row r="181" spans="1:12" x14ac:dyDescent="0.3">
      <c r="A181" s="1">
        <v>1179</v>
      </c>
      <c r="B181" s="2">
        <v>44307</v>
      </c>
      <c r="C181" s="1" t="s">
        <v>26</v>
      </c>
      <c r="D181" s="1" t="s">
        <v>47</v>
      </c>
      <c r="E181" s="1" t="s">
        <v>12</v>
      </c>
      <c r="F181" s="1">
        <v>319.27999999999997</v>
      </c>
      <c r="G181" s="1" t="s">
        <v>180</v>
      </c>
      <c r="H181" s="2">
        <v>25163</v>
      </c>
      <c r="I181" s="2">
        <v>44319</v>
      </c>
      <c r="J181" s="1">
        <v>34.58</v>
      </c>
      <c r="K181" s="4">
        <f t="shared" si="10"/>
        <v>110.40702399999999</v>
      </c>
      <c r="L181" s="4">
        <f t="shared" si="11"/>
        <v>208.87297599999999</v>
      </c>
    </row>
    <row r="182" spans="1:12" x14ac:dyDescent="0.3">
      <c r="A182" s="1">
        <v>1180</v>
      </c>
      <c r="B182" s="2">
        <v>44632</v>
      </c>
      <c r="C182" s="1" t="s">
        <v>14</v>
      </c>
      <c r="D182" s="1" t="s">
        <v>11</v>
      </c>
      <c r="E182" s="1" t="s">
        <v>12</v>
      </c>
      <c r="F182" s="1">
        <v>4801.1000000000004</v>
      </c>
      <c r="G182" s="1" t="s">
        <v>85</v>
      </c>
      <c r="H182" s="2">
        <v>37236</v>
      </c>
      <c r="I182" s="2">
        <v>44645</v>
      </c>
      <c r="J182" s="1">
        <v>46.21</v>
      </c>
      <c r="K182" s="4">
        <f t="shared" si="10"/>
        <v>2218.5883100000001</v>
      </c>
      <c r="L182" s="4">
        <f t="shared" si="11"/>
        <v>2582.5116900000003</v>
      </c>
    </row>
    <row r="183" spans="1:12" x14ac:dyDescent="0.3">
      <c r="A183" s="1">
        <v>1181</v>
      </c>
      <c r="B183" s="2">
        <v>44779</v>
      </c>
      <c r="C183" s="1" t="s">
        <v>14</v>
      </c>
      <c r="D183" s="1" t="s">
        <v>47</v>
      </c>
      <c r="E183" s="1" t="s">
        <v>12</v>
      </c>
      <c r="F183" s="1">
        <v>2518.65</v>
      </c>
      <c r="G183" s="1" t="s">
        <v>181</v>
      </c>
      <c r="H183" s="2">
        <v>25222</v>
      </c>
      <c r="I183" s="2">
        <v>44782</v>
      </c>
      <c r="J183" s="1">
        <v>18.14</v>
      </c>
      <c r="K183" s="4">
        <f t="shared" si="10"/>
        <v>456.88311000000004</v>
      </c>
      <c r="L183" s="4">
        <f t="shared" si="11"/>
        <v>2061.7668899999999</v>
      </c>
    </row>
    <row r="184" spans="1:12" x14ac:dyDescent="0.3">
      <c r="A184" s="1">
        <v>1182</v>
      </c>
      <c r="B184" s="2">
        <v>44255</v>
      </c>
      <c r="C184" s="1" t="s">
        <v>14</v>
      </c>
      <c r="D184" s="1" t="s">
        <v>73</v>
      </c>
      <c r="E184" s="1" t="s">
        <v>28</v>
      </c>
      <c r="F184" s="1">
        <v>842.21</v>
      </c>
      <c r="G184" s="1" t="s">
        <v>182</v>
      </c>
      <c r="H184" s="2">
        <v>24719</v>
      </c>
      <c r="I184" s="2">
        <v>44258</v>
      </c>
      <c r="J184" s="1">
        <v>32.22</v>
      </c>
      <c r="K184" s="4">
        <f t="shared" si="10"/>
        <v>271.36006200000003</v>
      </c>
      <c r="L184" s="4">
        <f t="shared" si="11"/>
        <v>570.84993800000007</v>
      </c>
    </row>
    <row r="185" spans="1:12" x14ac:dyDescent="0.3">
      <c r="A185" s="1">
        <v>1183</v>
      </c>
      <c r="B185" s="2">
        <v>44414</v>
      </c>
      <c r="C185" s="1" t="s">
        <v>14</v>
      </c>
      <c r="D185" s="1" t="s">
        <v>33</v>
      </c>
      <c r="E185" s="1" t="s">
        <v>16</v>
      </c>
      <c r="F185" s="1">
        <v>1084.71</v>
      </c>
      <c r="G185" s="1" t="s">
        <v>121</v>
      </c>
      <c r="H185" s="2">
        <v>24580</v>
      </c>
      <c r="I185" s="2">
        <v>44424</v>
      </c>
      <c r="J185" s="1">
        <v>36.89</v>
      </c>
      <c r="K185" s="4">
        <f t="shared" si="10"/>
        <v>400.149519</v>
      </c>
      <c r="L185" s="4">
        <f t="shared" si="11"/>
        <v>684.56048099999998</v>
      </c>
    </row>
    <row r="186" spans="1:12" x14ac:dyDescent="0.3">
      <c r="A186" s="1">
        <v>1184</v>
      </c>
      <c r="B186" s="2">
        <v>44227</v>
      </c>
      <c r="C186" s="1" t="s">
        <v>21</v>
      </c>
      <c r="D186" s="1" t="s">
        <v>38</v>
      </c>
      <c r="E186" s="1" t="s">
        <v>28</v>
      </c>
      <c r="F186" s="1">
        <v>2092.31</v>
      </c>
      <c r="G186" s="1" t="s">
        <v>183</v>
      </c>
      <c r="H186" s="2">
        <v>32359</v>
      </c>
      <c r="I186" s="2">
        <v>44234</v>
      </c>
      <c r="J186" s="1">
        <v>41.77</v>
      </c>
      <c r="K186" s="4">
        <f t="shared" si="10"/>
        <v>873.95788700000003</v>
      </c>
      <c r="L186" s="4">
        <f t="shared" si="11"/>
        <v>1218.3521129999999</v>
      </c>
    </row>
    <row r="187" spans="1:12" x14ac:dyDescent="0.3">
      <c r="A187" s="1">
        <v>1185</v>
      </c>
      <c r="B187" s="2">
        <v>44174</v>
      </c>
      <c r="C187" s="1" t="s">
        <v>14</v>
      </c>
      <c r="D187" s="1" t="s">
        <v>33</v>
      </c>
      <c r="E187" s="1" t="s">
        <v>16</v>
      </c>
      <c r="F187" s="1">
        <v>3301.51</v>
      </c>
      <c r="G187" s="1" t="s">
        <v>184</v>
      </c>
      <c r="H187" s="2">
        <v>29547</v>
      </c>
      <c r="I187" s="2">
        <v>44180</v>
      </c>
      <c r="J187" s="1">
        <v>14.54</v>
      </c>
      <c r="K187" s="4">
        <f t="shared" si="10"/>
        <v>480.03955400000001</v>
      </c>
      <c r="L187" s="4">
        <f t="shared" si="11"/>
        <v>2821.4704460000003</v>
      </c>
    </row>
    <row r="188" spans="1:12" x14ac:dyDescent="0.3">
      <c r="A188" s="1">
        <v>1186</v>
      </c>
      <c r="B188" s="2">
        <v>45520</v>
      </c>
      <c r="C188" s="1" t="s">
        <v>26</v>
      </c>
      <c r="D188" s="1" t="s">
        <v>49</v>
      </c>
      <c r="E188" s="1" t="s">
        <v>12</v>
      </c>
      <c r="F188" s="1">
        <v>4889.82</v>
      </c>
      <c r="G188" s="1" t="s">
        <v>185</v>
      </c>
      <c r="H188" s="2">
        <v>36384</v>
      </c>
      <c r="I188" s="2">
        <v>45534</v>
      </c>
      <c r="J188" s="1">
        <v>26.73</v>
      </c>
      <c r="K188" s="4">
        <f t="shared" si="10"/>
        <v>1307.0488859999998</v>
      </c>
      <c r="L188" s="4">
        <f t="shared" si="11"/>
        <v>3582.7711140000001</v>
      </c>
    </row>
    <row r="189" spans="1:12" x14ac:dyDescent="0.3">
      <c r="A189" s="1">
        <v>1187</v>
      </c>
      <c r="B189" s="2">
        <v>45444</v>
      </c>
      <c r="C189" s="1" t="s">
        <v>35</v>
      </c>
      <c r="D189" s="1" t="s">
        <v>71</v>
      </c>
      <c r="E189" s="1" t="s">
        <v>31</v>
      </c>
      <c r="F189" s="1">
        <v>1596.91</v>
      </c>
      <c r="G189" s="1" t="s">
        <v>122</v>
      </c>
      <c r="H189" s="2">
        <v>29720</v>
      </c>
      <c r="I189" s="2">
        <v>45453</v>
      </c>
      <c r="J189" s="1">
        <v>23.65</v>
      </c>
      <c r="K189" s="4">
        <f t="shared" si="10"/>
        <v>377.66921500000001</v>
      </c>
      <c r="L189" s="4">
        <f t="shared" si="11"/>
        <v>1219.240785</v>
      </c>
    </row>
    <row r="190" spans="1:12" x14ac:dyDescent="0.3">
      <c r="A190" s="1">
        <v>1188</v>
      </c>
      <c r="B190" s="2">
        <v>45667</v>
      </c>
      <c r="C190" s="1" t="s">
        <v>35</v>
      </c>
      <c r="D190" s="1" t="s">
        <v>88</v>
      </c>
      <c r="E190" s="1" t="s">
        <v>16</v>
      </c>
      <c r="F190" s="1">
        <v>746.87</v>
      </c>
      <c r="G190" s="1" t="s">
        <v>186</v>
      </c>
      <c r="H190" s="2">
        <v>39193</v>
      </c>
      <c r="I190" s="2">
        <v>45670</v>
      </c>
      <c r="J190" s="1">
        <v>42.9</v>
      </c>
      <c r="K190" s="4">
        <f t="shared" si="10"/>
        <v>320.40722999999997</v>
      </c>
      <c r="L190" s="4">
        <f t="shared" si="11"/>
        <v>426.46277000000003</v>
      </c>
    </row>
    <row r="191" spans="1:12" x14ac:dyDescent="0.3">
      <c r="A191" s="1">
        <v>1189</v>
      </c>
      <c r="B191" s="2">
        <v>45333</v>
      </c>
      <c r="C191" s="1" t="s">
        <v>35</v>
      </c>
      <c r="D191" s="1" t="s">
        <v>65</v>
      </c>
      <c r="E191" s="1" t="s">
        <v>19</v>
      </c>
      <c r="F191" s="1">
        <v>2712.97</v>
      </c>
      <c r="G191" s="1" t="s">
        <v>187</v>
      </c>
      <c r="H191" s="2">
        <v>30778</v>
      </c>
      <c r="I191" s="2">
        <v>45344</v>
      </c>
      <c r="J191" s="1">
        <v>6.89</v>
      </c>
      <c r="K191" s="4">
        <f t="shared" si="10"/>
        <v>186.923633</v>
      </c>
      <c r="L191" s="4">
        <f t="shared" si="11"/>
        <v>2526.0463669999999</v>
      </c>
    </row>
    <row r="192" spans="1:12" x14ac:dyDescent="0.3">
      <c r="A192" s="1">
        <v>1190</v>
      </c>
      <c r="B192" s="2">
        <v>44120</v>
      </c>
      <c r="C192" s="1" t="s">
        <v>10</v>
      </c>
      <c r="D192" s="1" t="s">
        <v>15</v>
      </c>
      <c r="E192" s="1" t="s">
        <v>16</v>
      </c>
      <c r="F192" s="1">
        <v>4441.87</v>
      </c>
      <c r="G192" s="1" t="s">
        <v>184</v>
      </c>
      <c r="H192" s="2">
        <v>29547</v>
      </c>
      <c r="I192" s="2">
        <v>44123</v>
      </c>
      <c r="J192" s="1">
        <v>1.02</v>
      </c>
      <c r="K192" s="4">
        <f t="shared" si="10"/>
        <v>45.307074</v>
      </c>
      <c r="L192" s="4">
        <f t="shared" si="11"/>
        <v>4396.5629259999996</v>
      </c>
    </row>
    <row r="193" spans="1:12" x14ac:dyDescent="0.3">
      <c r="A193" s="1">
        <v>1191</v>
      </c>
      <c r="B193" s="2">
        <v>45266</v>
      </c>
      <c r="C193" s="1" t="s">
        <v>14</v>
      </c>
      <c r="D193" s="1" t="s">
        <v>55</v>
      </c>
      <c r="E193" s="1" t="s">
        <v>31</v>
      </c>
      <c r="F193" s="1">
        <v>4864.68</v>
      </c>
      <c r="G193" s="1" t="s">
        <v>188</v>
      </c>
      <c r="H193" s="2">
        <v>31467</v>
      </c>
      <c r="I193" s="2">
        <v>45277</v>
      </c>
      <c r="J193" s="1">
        <v>35.32</v>
      </c>
      <c r="K193" s="4">
        <f t="shared" si="10"/>
        <v>1718.2049760000002</v>
      </c>
      <c r="L193" s="4">
        <f t="shared" si="11"/>
        <v>3146.4750240000003</v>
      </c>
    </row>
    <row r="194" spans="1:12" x14ac:dyDescent="0.3">
      <c r="A194" s="1">
        <v>1192</v>
      </c>
      <c r="B194" s="2">
        <v>44285</v>
      </c>
      <c r="C194" s="1" t="s">
        <v>35</v>
      </c>
      <c r="D194" s="1" t="s">
        <v>27</v>
      </c>
      <c r="E194" s="1" t="s">
        <v>28</v>
      </c>
      <c r="F194" s="1">
        <v>4013.62</v>
      </c>
      <c r="G194" s="1" t="s">
        <v>189</v>
      </c>
      <c r="H194" s="2">
        <v>34164</v>
      </c>
      <c r="I194" s="2">
        <v>44292</v>
      </c>
      <c r="J194" s="1">
        <v>45.04</v>
      </c>
      <c r="K194" s="4">
        <f t="shared" si="10"/>
        <v>1807.7344479999999</v>
      </c>
      <c r="L194" s="4">
        <f t="shared" si="11"/>
        <v>2205.8855519999997</v>
      </c>
    </row>
    <row r="195" spans="1:12" x14ac:dyDescent="0.3">
      <c r="A195" s="1">
        <v>1193</v>
      </c>
      <c r="B195" s="2">
        <v>45437</v>
      </c>
      <c r="C195" s="1" t="s">
        <v>14</v>
      </c>
      <c r="D195" s="1" t="s">
        <v>36</v>
      </c>
      <c r="E195" s="1" t="s">
        <v>28</v>
      </c>
      <c r="F195" s="1">
        <v>3465.02</v>
      </c>
      <c r="G195" s="1" t="s">
        <v>190</v>
      </c>
      <c r="H195" s="2">
        <v>33354</v>
      </c>
      <c r="I195" s="2">
        <v>45449</v>
      </c>
      <c r="J195" s="1">
        <v>18.989999999999998</v>
      </c>
      <c r="K195" s="4">
        <f t="shared" ref="K195:K258" si="12">F195*J195%</f>
        <v>658.00729799999999</v>
      </c>
      <c r="L195" s="4">
        <f t="shared" ref="L195:L258" si="13">F195-K195</f>
        <v>2807.012702</v>
      </c>
    </row>
    <row r="196" spans="1:12" x14ac:dyDescent="0.3">
      <c r="A196" s="1">
        <v>1194</v>
      </c>
      <c r="B196" s="2">
        <v>45746</v>
      </c>
      <c r="C196" s="1" t="s">
        <v>14</v>
      </c>
      <c r="D196" s="1" t="s">
        <v>65</v>
      </c>
      <c r="E196" s="1" t="s">
        <v>19</v>
      </c>
      <c r="F196" s="1">
        <v>4434.63</v>
      </c>
      <c r="G196" s="1" t="s">
        <v>191</v>
      </c>
      <c r="H196" s="2">
        <v>37495</v>
      </c>
      <c r="I196" s="2">
        <v>45750</v>
      </c>
      <c r="J196" s="1">
        <v>35.770000000000003</v>
      </c>
      <c r="K196" s="4">
        <f t="shared" si="12"/>
        <v>1586.267151</v>
      </c>
      <c r="L196" s="4">
        <f t="shared" si="13"/>
        <v>2848.3628490000001</v>
      </c>
    </row>
    <row r="197" spans="1:12" x14ac:dyDescent="0.3">
      <c r="A197" s="1">
        <v>1195</v>
      </c>
      <c r="B197" s="2">
        <v>45831</v>
      </c>
      <c r="C197" s="1" t="s">
        <v>21</v>
      </c>
      <c r="D197" s="1" t="s">
        <v>53</v>
      </c>
      <c r="E197" s="1" t="s">
        <v>28</v>
      </c>
      <c r="F197" s="1">
        <v>440.11</v>
      </c>
      <c r="G197" s="1" t="s">
        <v>191</v>
      </c>
      <c r="H197" s="2">
        <v>37495</v>
      </c>
      <c r="I197" s="2">
        <v>45836</v>
      </c>
      <c r="J197" s="1">
        <v>15.2</v>
      </c>
      <c r="K197" s="4">
        <f t="shared" si="12"/>
        <v>66.896720000000002</v>
      </c>
      <c r="L197" s="4">
        <f t="shared" si="13"/>
        <v>373.21328</v>
      </c>
    </row>
    <row r="198" spans="1:12" x14ac:dyDescent="0.3">
      <c r="A198" s="1">
        <v>1196</v>
      </c>
      <c r="B198" s="2">
        <v>45182</v>
      </c>
      <c r="C198" s="1" t="s">
        <v>10</v>
      </c>
      <c r="D198" s="1" t="s">
        <v>102</v>
      </c>
      <c r="E198" s="1" t="s">
        <v>12</v>
      </c>
      <c r="F198" s="1">
        <v>505.23</v>
      </c>
      <c r="G198" s="1" t="s">
        <v>192</v>
      </c>
      <c r="H198" s="2">
        <v>33626</v>
      </c>
      <c r="I198" s="2">
        <v>45186</v>
      </c>
      <c r="J198" s="1">
        <v>32.119999999999997</v>
      </c>
      <c r="K198" s="4">
        <f t="shared" si="12"/>
        <v>162.279876</v>
      </c>
      <c r="L198" s="4">
        <f t="shared" si="13"/>
        <v>342.95012400000002</v>
      </c>
    </row>
    <row r="199" spans="1:12" x14ac:dyDescent="0.3">
      <c r="A199" s="1">
        <v>1197</v>
      </c>
      <c r="B199" s="2">
        <v>45554</v>
      </c>
      <c r="C199" s="1" t="s">
        <v>35</v>
      </c>
      <c r="D199" s="1" t="s">
        <v>33</v>
      </c>
      <c r="E199" s="1" t="s">
        <v>16</v>
      </c>
      <c r="F199" s="1">
        <v>4798.92</v>
      </c>
      <c r="G199" s="1" t="s">
        <v>123</v>
      </c>
      <c r="H199" s="2">
        <v>36120</v>
      </c>
      <c r="I199" s="2">
        <v>45561</v>
      </c>
      <c r="J199" s="1">
        <v>34.590000000000003</v>
      </c>
      <c r="K199" s="4">
        <f t="shared" si="12"/>
        <v>1659.9464280000002</v>
      </c>
      <c r="L199" s="4">
        <f t="shared" si="13"/>
        <v>3138.9735719999999</v>
      </c>
    </row>
    <row r="200" spans="1:12" x14ac:dyDescent="0.3">
      <c r="A200" s="1">
        <v>1198</v>
      </c>
      <c r="B200" s="2">
        <v>44503</v>
      </c>
      <c r="C200" s="1" t="s">
        <v>14</v>
      </c>
      <c r="D200" s="1" t="s">
        <v>33</v>
      </c>
      <c r="E200" s="1" t="s">
        <v>16</v>
      </c>
      <c r="F200" s="1">
        <v>484.34</v>
      </c>
      <c r="G200" s="1" t="s">
        <v>193</v>
      </c>
      <c r="H200" s="2">
        <v>26082</v>
      </c>
      <c r="I200" s="2">
        <v>44510</v>
      </c>
      <c r="J200" s="1">
        <v>18.260000000000002</v>
      </c>
      <c r="K200" s="4">
        <f t="shared" si="12"/>
        <v>88.440483999999998</v>
      </c>
      <c r="L200" s="4">
        <f t="shared" si="13"/>
        <v>395.89951599999995</v>
      </c>
    </row>
    <row r="201" spans="1:12" x14ac:dyDescent="0.3">
      <c r="A201" s="1">
        <v>1199</v>
      </c>
      <c r="B201" s="2">
        <v>44435</v>
      </c>
      <c r="C201" s="1" t="s">
        <v>14</v>
      </c>
      <c r="D201" s="1" t="s">
        <v>49</v>
      </c>
      <c r="E201" s="1" t="s">
        <v>12</v>
      </c>
      <c r="F201" s="1">
        <v>4449.97</v>
      </c>
      <c r="G201" s="1" t="s">
        <v>118</v>
      </c>
      <c r="H201" s="2">
        <v>22599</v>
      </c>
      <c r="I201" s="2">
        <v>44448</v>
      </c>
      <c r="J201" s="1">
        <v>4.2699999999999996</v>
      </c>
      <c r="K201" s="4">
        <f t="shared" si="12"/>
        <v>190.01371899999998</v>
      </c>
      <c r="L201" s="4">
        <f t="shared" si="13"/>
        <v>4259.9562810000007</v>
      </c>
    </row>
    <row r="202" spans="1:12" x14ac:dyDescent="0.3">
      <c r="A202" s="1">
        <v>1200</v>
      </c>
      <c r="B202" s="2">
        <v>45089</v>
      </c>
      <c r="C202" s="1" t="s">
        <v>26</v>
      </c>
      <c r="D202" s="1" t="s">
        <v>11</v>
      </c>
      <c r="E202" s="1" t="s">
        <v>12</v>
      </c>
      <c r="F202" s="1">
        <v>3878.91</v>
      </c>
      <c r="G202" s="1" t="s">
        <v>83</v>
      </c>
      <c r="H202" s="2">
        <v>24673</v>
      </c>
      <c r="I202" s="2">
        <v>45096</v>
      </c>
      <c r="J202" s="1">
        <v>39.96</v>
      </c>
      <c r="K202" s="4">
        <f t="shared" si="12"/>
        <v>1550.012436</v>
      </c>
      <c r="L202" s="4">
        <f t="shared" si="13"/>
        <v>2328.8975639999999</v>
      </c>
    </row>
    <row r="203" spans="1:12" x14ac:dyDescent="0.3">
      <c r="A203" s="1">
        <v>1201</v>
      </c>
      <c r="B203" s="2">
        <v>44968</v>
      </c>
      <c r="C203" s="1" t="s">
        <v>21</v>
      </c>
      <c r="D203" s="1" t="s">
        <v>38</v>
      </c>
      <c r="E203" s="1" t="s">
        <v>28</v>
      </c>
      <c r="F203" s="1">
        <v>3955.84</v>
      </c>
      <c r="G203" s="1" t="s">
        <v>194</v>
      </c>
      <c r="H203" s="2">
        <v>22210</v>
      </c>
      <c r="I203" s="2">
        <v>44969</v>
      </c>
      <c r="J203" s="1">
        <v>18.329999999999998</v>
      </c>
      <c r="K203" s="4">
        <f t="shared" si="12"/>
        <v>725.10547199999996</v>
      </c>
      <c r="L203" s="4">
        <f t="shared" si="13"/>
        <v>3230.734528</v>
      </c>
    </row>
    <row r="204" spans="1:12" x14ac:dyDescent="0.3">
      <c r="A204" s="1">
        <v>1202</v>
      </c>
      <c r="B204" s="2">
        <v>44175</v>
      </c>
      <c r="C204" s="1" t="s">
        <v>26</v>
      </c>
      <c r="D204" s="1" t="s">
        <v>69</v>
      </c>
      <c r="E204" s="1" t="s">
        <v>31</v>
      </c>
      <c r="F204" s="1">
        <v>1511.72</v>
      </c>
      <c r="G204" s="1" t="s">
        <v>195</v>
      </c>
      <c r="H204" s="2">
        <v>28065</v>
      </c>
      <c r="I204" s="2">
        <v>44187</v>
      </c>
      <c r="J204" s="1">
        <v>39.659999999999997</v>
      </c>
      <c r="K204" s="4">
        <f t="shared" si="12"/>
        <v>599.54815199999996</v>
      </c>
      <c r="L204" s="4">
        <f t="shared" si="13"/>
        <v>912.17184800000007</v>
      </c>
    </row>
    <row r="205" spans="1:12" x14ac:dyDescent="0.3">
      <c r="A205" s="1">
        <v>1203</v>
      </c>
      <c r="B205" s="2">
        <v>45345</v>
      </c>
      <c r="C205" s="1" t="s">
        <v>35</v>
      </c>
      <c r="D205" s="1" t="s">
        <v>44</v>
      </c>
      <c r="E205" s="1" t="s">
        <v>16</v>
      </c>
      <c r="F205" s="1">
        <v>2358</v>
      </c>
      <c r="G205" s="1" t="s">
        <v>122</v>
      </c>
      <c r="H205" s="2">
        <v>29720</v>
      </c>
      <c r="I205" s="2">
        <v>45346</v>
      </c>
      <c r="J205" s="1">
        <v>47.61</v>
      </c>
      <c r="K205" s="4">
        <f t="shared" si="12"/>
        <v>1122.6437999999998</v>
      </c>
      <c r="L205" s="4">
        <f t="shared" si="13"/>
        <v>1235.3562000000002</v>
      </c>
    </row>
    <row r="206" spans="1:12" x14ac:dyDescent="0.3">
      <c r="A206" s="1">
        <v>1204</v>
      </c>
      <c r="B206" s="2">
        <v>44468</v>
      </c>
      <c r="C206" s="1" t="s">
        <v>26</v>
      </c>
      <c r="D206" s="1" t="s">
        <v>65</v>
      </c>
      <c r="E206" s="1" t="s">
        <v>19</v>
      </c>
      <c r="F206" s="1">
        <v>4910.2700000000004</v>
      </c>
      <c r="G206" s="1" t="s">
        <v>173</v>
      </c>
      <c r="H206" s="2">
        <v>22016</v>
      </c>
      <c r="I206" s="2">
        <v>44481</v>
      </c>
      <c r="J206" s="1">
        <v>0.52</v>
      </c>
      <c r="K206" s="4">
        <f t="shared" si="12"/>
        <v>25.533404000000001</v>
      </c>
      <c r="L206" s="4">
        <f t="shared" si="13"/>
        <v>4884.7365960000006</v>
      </c>
    </row>
    <row r="207" spans="1:12" x14ac:dyDescent="0.3">
      <c r="A207" s="1">
        <v>1205</v>
      </c>
      <c r="B207" s="2">
        <v>44575</v>
      </c>
      <c r="C207" s="1" t="s">
        <v>21</v>
      </c>
      <c r="D207" s="1" t="s">
        <v>69</v>
      </c>
      <c r="E207" s="1" t="s">
        <v>31</v>
      </c>
      <c r="F207" s="1">
        <v>654.83000000000004</v>
      </c>
      <c r="G207" s="1" t="s">
        <v>196</v>
      </c>
      <c r="H207" s="2">
        <v>26300</v>
      </c>
      <c r="I207" s="2">
        <v>44588</v>
      </c>
      <c r="J207" s="1">
        <v>27.19</v>
      </c>
      <c r="K207" s="4">
        <f t="shared" si="12"/>
        <v>178.04827700000004</v>
      </c>
      <c r="L207" s="4">
        <f t="shared" si="13"/>
        <v>476.781723</v>
      </c>
    </row>
    <row r="208" spans="1:12" x14ac:dyDescent="0.3">
      <c r="A208" s="1">
        <v>1206</v>
      </c>
      <c r="B208" s="2">
        <v>45665</v>
      </c>
      <c r="C208" s="1" t="s">
        <v>14</v>
      </c>
      <c r="D208" s="1" t="s">
        <v>47</v>
      </c>
      <c r="E208" s="1" t="s">
        <v>12</v>
      </c>
      <c r="F208" s="1">
        <v>871.1</v>
      </c>
      <c r="G208" s="1" t="s">
        <v>197</v>
      </c>
      <c r="H208" s="2">
        <v>26001</v>
      </c>
      <c r="I208" s="2">
        <v>45667</v>
      </c>
      <c r="J208" s="1">
        <v>42.4</v>
      </c>
      <c r="K208" s="4">
        <f t="shared" si="12"/>
        <v>369.34640000000002</v>
      </c>
      <c r="L208" s="4">
        <f t="shared" si="13"/>
        <v>501.75360000000001</v>
      </c>
    </row>
    <row r="209" spans="1:12" x14ac:dyDescent="0.3">
      <c r="A209" s="1">
        <v>1207</v>
      </c>
      <c r="B209" s="2">
        <v>44585</v>
      </c>
      <c r="C209" s="1" t="s">
        <v>10</v>
      </c>
      <c r="D209" s="1" t="s">
        <v>30</v>
      </c>
      <c r="E209" s="1" t="s">
        <v>31</v>
      </c>
      <c r="F209" s="1">
        <v>2724.62</v>
      </c>
      <c r="G209" s="1" t="s">
        <v>198</v>
      </c>
      <c r="H209" s="2">
        <v>31598</v>
      </c>
      <c r="I209" s="2">
        <v>44599</v>
      </c>
      <c r="J209" s="1">
        <v>39.33</v>
      </c>
      <c r="K209" s="4">
        <f t="shared" si="12"/>
        <v>1071.593046</v>
      </c>
      <c r="L209" s="4">
        <f t="shared" si="13"/>
        <v>1653.0269539999999</v>
      </c>
    </row>
    <row r="210" spans="1:12" x14ac:dyDescent="0.3">
      <c r="A210" s="1">
        <v>1208</v>
      </c>
      <c r="B210" s="2">
        <v>45028</v>
      </c>
      <c r="C210" s="1" t="s">
        <v>14</v>
      </c>
      <c r="D210" s="1" t="s">
        <v>36</v>
      </c>
      <c r="E210" s="1" t="s">
        <v>28</v>
      </c>
      <c r="F210" s="1">
        <v>1636.83</v>
      </c>
      <c r="G210" s="1" t="s">
        <v>199</v>
      </c>
      <c r="H210" s="2">
        <v>25341</v>
      </c>
      <c r="I210" s="2">
        <v>45040</v>
      </c>
      <c r="J210" s="1">
        <v>11.01</v>
      </c>
      <c r="K210" s="4">
        <f t="shared" si="12"/>
        <v>180.21498299999999</v>
      </c>
      <c r="L210" s="4">
        <f t="shared" si="13"/>
        <v>1456.6150169999999</v>
      </c>
    </row>
    <row r="211" spans="1:12" x14ac:dyDescent="0.3">
      <c r="A211" s="1">
        <v>1209</v>
      </c>
      <c r="B211" s="2">
        <v>44543</v>
      </c>
      <c r="C211" s="1" t="s">
        <v>10</v>
      </c>
      <c r="D211" s="1" t="s">
        <v>65</v>
      </c>
      <c r="E211" s="1" t="s">
        <v>19</v>
      </c>
      <c r="F211" s="1">
        <v>173.02</v>
      </c>
      <c r="G211" s="1" t="s">
        <v>200</v>
      </c>
      <c r="H211" s="2">
        <v>30222</v>
      </c>
      <c r="I211" s="2">
        <v>44553</v>
      </c>
      <c r="J211" s="1">
        <v>15.94</v>
      </c>
      <c r="K211" s="4">
        <f t="shared" si="12"/>
        <v>27.579387999999998</v>
      </c>
      <c r="L211" s="4">
        <f t="shared" si="13"/>
        <v>145.44061200000002</v>
      </c>
    </row>
    <row r="212" spans="1:12" x14ac:dyDescent="0.3">
      <c r="A212" s="1">
        <v>1210</v>
      </c>
      <c r="B212" s="2">
        <v>44387</v>
      </c>
      <c r="C212" s="1" t="s">
        <v>35</v>
      </c>
      <c r="D212" s="1" t="s">
        <v>61</v>
      </c>
      <c r="E212" s="1" t="s">
        <v>19</v>
      </c>
      <c r="F212" s="1">
        <v>3390.55</v>
      </c>
      <c r="G212" s="1" t="s">
        <v>201</v>
      </c>
      <c r="H212" s="2">
        <v>23469</v>
      </c>
      <c r="I212" s="2">
        <v>44389</v>
      </c>
      <c r="J212" s="1">
        <v>16.8</v>
      </c>
      <c r="K212" s="4">
        <f t="shared" si="12"/>
        <v>569.61240000000009</v>
      </c>
      <c r="L212" s="4">
        <f t="shared" si="13"/>
        <v>2820.9376000000002</v>
      </c>
    </row>
    <row r="213" spans="1:12" x14ac:dyDescent="0.3">
      <c r="A213" s="1">
        <v>1211</v>
      </c>
      <c r="B213" s="2">
        <v>44412</v>
      </c>
      <c r="C213" s="1" t="s">
        <v>14</v>
      </c>
      <c r="D213" s="1" t="s">
        <v>53</v>
      </c>
      <c r="E213" s="1" t="s">
        <v>28</v>
      </c>
      <c r="F213" s="1">
        <v>2135.7600000000002</v>
      </c>
      <c r="G213" s="1" t="s">
        <v>202</v>
      </c>
      <c r="H213" s="2">
        <v>24802</v>
      </c>
      <c r="I213" s="2">
        <v>44426</v>
      </c>
      <c r="J213" s="1">
        <v>38.24</v>
      </c>
      <c r="K213" s="4">
        <f t="shared" si="12"/>
        <v>816.71462400000007</v>
      </c>
      <c r="L213" s="4">
        <f t="shared" si="13"/>
        <v>1319.045376</v>
      </c>
    </row>
    <row r="214" spans="1:12" x14ac:dyDescent="0.3">
      <c r="A214" s="1">
        <v>1212</v>
      </c>
      <c r="B214" s="2">
        <v>45875</v>
      </c>
      <c r="C214" s="1" t="s">
        <v>35</v>
      </c>
      <c r="D214" s="1" t="s">
        <v>58</v>
      </c>
      <c r="E214" s="1" t="s">
        <v>31</v>
      </c>
      <c r="F214" s="1">
        <v>4735.45</v>
      </c>
      <c r="G214" s="1" t="s">
        <v>165</v>
      </c>
      <c r="H214" s="2">
        <v>29887</v>
      </c>
      <c r="I214" s="2">
        <v>45888</v>
      </c>
      <c r="J214" s="1">
        <v>31.17</v>
      </c>
      <c r="K214" s="4">
        <f t="shared" si="12"/>
        <v>1476.039765</v>
      </c>
      <c r="L214" s="4">
        <f t="shared" si="13"/>
        <v>3259.4102349999998</v>
      </c>
    </row>
    <row r="215" spans="1:12" x14ac:dyDescent="0.3">
      <c r="A215" s="1">
        <v>1213</v>
      </c>
      <c r="B215" s="2">
        <v>44481</v>
      </c>
      <c r="C215" s="1" t="s">
        <v>10</v>
      </c>
      <c r="D215" s="1" t="s">
        <v>69</v>
      </c>
      <c r="E215" s="1" t="s">
        <v>31</v>
      </c>
      <c r="F215" s="1">
        <v>2889.24</v>
      </c>
      <c r="G215" s="1" t="s">
        <v>13</v>
      </c>
      <c r="H215" s="2">
        <v>24348</v>
      </c>
      <c r="I215" s="2">
        <v>44488</v>
      </c>
      <c r="J215" s="1">
        <v>28.37</v>
      </c>
      <c r="K215" s="4">
        <f t="shared" si="12"/>
        <v>819.67738799999995</v>
      </c>
      <c r="L215" s="4">
        <f t="shared" si="13"/>
        <v>2069.5626119999997</v>
      </c>
    </row>
    <row r="216" spans="1:12" x14ac:dyDescent="0.3">
      <c r="A216" s="1">
        <v>1214</v>
      </c>
      <c r="B216" s="2">
        <v>45507</v>
      </c>
      <c r="C216" s="1" t="s">
        <v>21</v>
      </c>
      <c r="D216" s="1" t="s">
        <v>22</v>
      </c>
      <c r="E216" s="1" t="s">
        <v>19</v>
      </c>
      <c r="F216" s="1">
        <v>3022.9</v>
      </c>
      <c r="G216" s="1" t="s">
        <v>170</v>
      </c>
      <c r="H216" s="2">
        <v>34205</v>
      </c>
      <c r="I216" s="2">
        <v>45521</v>
      </c>
      <c r="J216" s="1">
        <v>47.72</v>
      </c>
      <c r="K216" s="4">
        <f t="shared" si="12"/>
        <v>1442.5278800000001</v>
      </c>
      <c r="L216" s="4">
        <f t="shared" si="13"/>
        <v>1580.37212</v>
      </c>
    </row>
    <row r="217" spans="1:12" x14ac:dyDescent="0.3">
      <c r="A217" s="1">
        <v>1215</v>
      </c>
      <c r="B217" s="2">
        <v>45473</v>
      </c>
      <c r="C217" s="1" t="s">
        <v>35</v>
      </c>
      <c r="D217" s="1" t="s">
        <v>11</v>
      </c>
      <c r="E217" s="1" t="s">
        <v>12</v>
      </c>
      <c r="F217" s="1">
        <v>4188.75</v>
      </c>
      <c r="G217" s="1" t="s">
        <v>203</v>
      </c>
      <c r="H217" s="2">
        <v>34357</v>
      </c>
      <c r="I217" s="2">
        <v>45475</v>
      </c>
      <c r="J217" s="1">
        <v>38.21</v>
      </c>
      <c r="K217" s="4">
        <f t="shared" si="12"/>
        <v>1600.521375</v>
      </c>
      <c r="L217" s="4">
        <f t="shared" si="13"/>
        <v>2588.2286249999997</v>
      </c>
    </row>
    <row r="218" spans="1:12" x14ac:dyDescent="0.3">
      <c r="A218" s="1">
        <v>1216</v>
      </c>
      <c r="B218" s="2">
        <v>44675</v>
      </c>
      <c r="C218" s="1" t="s">
        <v>26</v>
      </c>
      <c r="D218" s="1" t="s">
        <v>49</v>
      </c>
      <c r="E218" s="1" t="s">
        <v>12</v>
      </c>
      <c r="F218" s="1">
        <v>2073.79</v>
      </c>
      <c r="G218" s="1" t="s">
        <v>77</v>
      </c>
      <c r="H218" s="2">
        <v>38696</v>
      </c>
      <c r="I218" s="2">
        <v>44682</v>
      </c>
      <c r="J218" s="1">
        <v>25.62</v>
      </c>
      <c r="K218" s="4">
        <f t="shared" si="12"/>
        <v>531.30499799999996</v>
      </c>
      <c r="L218" s="4">
        <f t="shared" si="13"/>
        <v>1542.4850019999999</v>
      </c>
    </row>
    <row r="219" spans="1:12" x14ac:dyDescent="0.3">
      <c r="A219" s="1">
        <v>1217</v>
      </c>
      <c r="B219" s="2">
        <v>44521</v>
      </c>
      <c r="C219" s="1" t="s">
        <v>14</v>
      </c>
      <c r="D219" s="1" t="s">
        <v>73</v>
      </c>
      <c r="E219" s="1" t="s">
        <v>28</v>
      </c>
      <c r="F219" s="1">
        <v>2237.83</v>
      </c>
      <c r="G219" s="1" t="s">
        <v>137</v>
      </c>
      <c r="H219" s="2">
        <v>36905</v>
      </c>
      <c r="I219" s="2">
        <v>44524</v>
      </c>
      <c r="J219" s="1">
        <v>4.8600000000000003</v>
      </c>
      <c r="K219" s="4">
        <f t="shared" si="12"/>
        <v>108.758538</v>
      </c>
      <c r="L219" s="4">
        <f t="shared" si="13"/>
        <v>2129.0714619999999</v>
      </c>
    </row>
    <row r="220" spans="1:12" x14ac:dyDescent="0.3">
      <c r="A220" s="1">
        <v>1218</v>
      </c>
      <c r="B220" s="2">
        <v>44470</v>
      </c>
      <c r="C220" s="1" t="s">
        <v>26</v>
      </c>
      <c r="D220" s="1" t="s">
        <v>24</v>
      </c>
      <c r="E220" s="1" t="s">
        <v>19</v>
      </c>
      <c r="F220" s="1">
        <v>3830.75</v>
      </c>
      <c r="G220" s="1" t="s">
        <v>204</v>
      </c>
      <c r="H220" s="2">
        <v>23718</v>
      </c>
      <c r="I220" s="2">
        <v>44475</v>
      </c>
      <c r="J220" s="1">
        <v>39.33</v>
      </c>
      <c r="K220" s="4">
        <f t="shared" si="12"/>
        <v>1506.633975</v>
      </c>
      <c r="L220" s="4">
        <f t="shared" si="13"/>
        <v>2324.1160250000003</v>
      </c>
    </row>
    <row r="221" spans="1:12" x14ac:dyDescent="0.3">
      <c r="A221" s="1">
        <v>1219</v>
      </c>
      <c r="B221" s="2">
        <v>45412</v>
      </c>
      <c r="C221" s="1" t="s">
        <v>35</v>
      </c>
      <c r="D221" s="1" t="s">
        <v>53</v>
      </c>
      <c r="E221" s="1" t="s">
        <v>28</v>
      </c>
      <c r="F221" s="1">
        <v>808.73</v>
      </c>
      <c r="G221" s="1" t="s">
        <v>205</v>
      </c>
      <c r="H221" s="2">
        <v>27526</v>
      </c>
      <c r="I221" s="2">
        <v>45419</v>
      </c>
      <c r="J221" s="1">
        <v>8.61</v>
      </c>
      <c r="K221" s="4">
        <f t="shared" si="12"/>
        <v>69.631653</v>
      </c>
      <c r="L221" s="4">
        <f t="shared" si="13"/>
        <v>739.09834699999999</v>
      </c>
    </row>
    <row r="222" spans="1:12" x14ac:dyDescent="0.3">
      <c r="A222" s="1">
        <v>1220</v>
      </c>
      <c r="B222" s="2">
        <v>45194</v>
      </c>
      <c r="C222" s="1" t="s">
        <v>14</v>
      </c>
      <c r="D222" s="1" t="s">
        <v>65</v>
      </c>
      <c r="E222" s="1" t="s">
        <v>19</v>
      </c>
      <c r="F222" s="1">
        <v>3956.75</v>
      </c>
      <c r="G222" s="1" t="s">
        <v>206</v>
      </c>
      <c r="H222" s="2">
        <v>34011</v>
      </c>
      <c r="I222" s="2">
        <v>45205</v>
      </c>
      <c r="J222" s="1">
        <v>1.67</v>
      </c>
      <c r="K222" s="4">
        <f t="shared" si="12"/>
        <v>66.077725000000001</v>
      </c>
      <c r="L222" s="4">
        <f t="shared" si="13"/>
        <v>3890.6722749999999</v>
      </c>
    </row>
    <row r="223" spans="1:12" x14ac:dyDescent="0.3">
      <c r="A223" s="1">
        <v>1221</v>
      </c>
      <c r="B223" s="2">
        <v>45465</v>
      </c>
      <c r="C223" s="1" t="s">
        <v>14</v>
      </c>
      <c r="D223" s="1" t="s">
        <v>53</v>
      </c>
      <c r="E223" s="1" t="s">
        <v>28</v>
      </c>
      <c r="F223" s="1">
        <v>3130.27</v>
      </c>
      <c r="G223" s="1" t="s">
        <v>139</v>
      </c>
      <c r="H223" s="2">
        <v>29381</v>
      </c>
      <c r="I223" s="2">
        <v>45478</v>
      </c>
      <c r="J223" s="1">
        <v>44.53</v>
      </c>
      <c r="K223" s="4">
        <f t="shared" si="12"/>
        <v>1393.9092310000001</v>
      </c>
      <c r="L223" s="4">
        <f t="shared" si="13"/>
        <v>1736.3607689999999</v>
      </c>
    </row>
    <row r="224" spans="1:12" x14ac:dyDescent="0.3">
      <c r="A224" s="1">
        <v>1222</v>
      </c>
      <c r="B224" s="2">
        <v>44808</v>
      </c>
      <c r="C224" s="1" t="s">
        <v>35</v>
      </c>
      <c r="D224" s="1" t="s">
        <v>53</v>
      </c>
      <c r="E224" s="1" t="s">
        <v>28</v>
      </c>
      <c r="F224" s="1">
        <v>3446.37</v>
      </c>
      <c r="G224" s="1" t="s">
        <v>207</v>
      </c>
      <c r="H224" s="2">
        <v>23988</v>
      </c>
      <c r="I224" s="2">
        <v>44814</v>
      </c>
      <c r="J224" s="1">
        <v>5.56</v>
      </c>
      <c r="K224" s="4">
        <f t="shared" si="12"/>
        <v>191.61817199999999</v>
      </c>
      <c r="L224" s="4">
        <f t="shared" si="13"/>
        <v>3254.7518279999999</v>
      </c>
    </row>
    <row r="225" spans="1:12" x14ac:dyDescent="0.3">
      <c r="A225" s="1">
        <v>1223</v>
      </c>
      <c r="B225" s="2">
        <v>45167</v>
      </c>
      <c r="C225" s="1" t="s">
        <v>35</v>
      </c>
      <c r="D225" s="1" t="s">
        <v>36</v>
      </c>
      <c r="E225" s="1" t="s">
        <v>28</v>
      </c>
      <c r="F225" s="1">
        <v>2497.2600000000002</v>
      </c>
      <c r="G225" s="1" t="s">
        <v>130</v>
      </c>
      <c r="H225" s="2">
        <v>38750</v>
      </c>
      <c r="I225" s="2">
        <v>45174</v>
      </c>
      <c r="J225" s="1">
        <v>1.29</v>
      </c>
      <c r="K225" s="4">
        <f t="shared" si="12"/>
        <v>32.214654000000003</v>
      </c>
      <c r="L225" s="4">
        <f t="shared" si="13"/>
        <v>2465.0453460000003</v>
      </c>
    </row>
    <row r="226" spans="1:12" x14ac:dyDescent="0.3">
      <c r="A226" s="1">
        <v>1224</v>
      </c>
      <c r="B226" s="2">
        <v>44083</v>
      </c>
      <c r="C226" s="1" t="s">
        <v>14</v>
      </c>
      <c r="D226" s="1" t="s">
        <v>11</v>
      </c>
      <c r="E226" s="1" t="s">
        <v>12</v>
      </c>
      <c r="F226" s="1">
        <v>851.57</v>
      </c>
      <c r="G226" s="1" t="s">
        <v>181</v>
      </c>
      <c r="H226" s="2">
        <v>25222</v>
      </c>
      <c r="I226" s="2">
        <v>44092</v>
      </c>
      <c r="J226" s="1">
        <v>7.79</v>
      </c>
      <c r="K226" s="4">
        <f t="shared" si="12"/>
        <v>66.337303000000006</v>
      </c>
      <c r="L226" s="4">
        <f t="shared" si="13"/>
        <v>785.23269700000003</v>
      </c>
    </row>
    <row r="227" spans="1:12" x14ac:dyDescent="0.3">
      <c r="A227" s="1">
        <v>1225</v>
      </c>
      <c r="B227" s="2">
        <v>44858</v>
      </c>
      <c r="C227" s="1" t="s">
        <v>26</v>
      </c>
      <c r="D227" s="1" t="s">
        <v>33</v>
      </c>
      <c r="E227" s="1" t="s">
        <v>16</v>
      </c>
      <c r="F227" s="1">
        <v>2904.95</v>
      </c>
      <c r="G227" s="1" t="s">
        <v>124</v>
      </c>
      <c r="H227" s="2">
        <v>30786</v>
      </c>
      <c r="I227" s="2">
        <v>44860</v>
      </c>
      <c r="J227" s="1">
        <v>6.47</v>
      </c>
      <c r="K227" s="4">
        <f t="shared" si="12"/>
        <v>187.95026499999997</v>
      </c>
      <c r="L227" s="4">
        <f t="shared" si="13"/>
        <v>2716.9997349999999</v>
      </c>
    </row>
    <row r="228" spans="1:12" x14ac:dyDescent="0.3">
      <c r="A228" s="1">
        <v>1226</v>
      </c>
      <c r="B228" s="2">
        <v>45203</v>
      </c>
      <c r="C228" s="1" t="s">
        <v>26</v>
      </c>
      <c r="D228" s="1" t="s">
        <v>47</v>
      </c>
      <c r="E228" s="1" t="s">
        <v>12</v>
      </c>
      <c r="F228" s="1">
        <v>513.84</v>
      </c>
      <c r="G228" s="1" t="s">
        <v>113</v>
      </c>
      <c r="H228" s="2">
        <v>25579</v>
      </c>
      <c r="I228" s="2">
        <v>45214</v>
      </c>
      <c r="J228" s="1">
        <v>49.58</v>
      </c>
      <c r="K228" s="4">
        <f t="shared" si="12"/>
        <v>254.76187199999998</v>
      </c>
      <c r="L228" s="4">
        <f t="shared" si="13"/>
        <v>259.07812800000005</v>
      </c>
    </row>
    <row r="229" spans="1:12" x14ac:dyDescent="0.3">
      <c r="A229" s="1">
        <v>1227</v>
      </c>
      <c r="B229" s="2">
        <v>45737</v>
      </c>
      <c r="C229" s="1" t="s">
        <v>35</v>
      </c>
      <c r="D229" s="1" t="s">
        <v>47</v>
      </c>
      <c r="E229" s="1" t="s">
        <v>12</v>
      </c>
      <c r="F229" s="1">
        <v>4335.8</v>
      </c>
      <c r="G229" s="1" t="s">
        <v>208</v>
      </c>
      <c r="H229" s="2">
        <v>32188</v>
      </c>
      <c r="I229" s="2">
        <v>45750</v>
      </c>
      <c r="J229" s="1">
        <v>9.0299999999999994</v>
      </c>
      <c r="K229" s="4">
        <f t="shared" si="12"/>
        <v>391.52274</v>
      </c>
      <c r="L229" s="4">
        <f t="shared" si="13"/>
        <v>3944.2772600000003</v>
      </c>
    </row>
    <row r="230" spans="1:12" x14ac:dyDescent="0.3">
      <c r="A230" s="1">
        <v>1228</v>
      </c>
      <c r="B230" s="2">
        <v>45107</v>
      </c>
      <c r="C230" s="1" t="s">
        <v>14</v>
      </c>
      <c r="D230" s="1" t="s">
        <v>44</v>
      </c>
      <c r="E230" s="1" t="s">
        <v>16</v>
      </c>
      <c r="F230" s="1">
        <v>2971.52</v>
      </c>
      <c r="G230" s="1" t="s">
        <v>209</v>
      </c>
      <c r="H230" s="2">
        <v>28522</v>
      </c>
      <c r="I230" s="2">
        <v>45119</v>
      </c>
      <c r="J230" s="1">
        <v>24.69</v>
      </c>
      <c r="K230" s="4">
        <f t="shared" si="12"/>
        <v>733.66828800000008</v>
      </c>
      <c r="L230" s="4">
        <f t="shared" si="13"/>
        <v>2237.8517119999997</v>
      </c>
    </row>
    <row r="231" spans="1:12" x14ac:dyDescent="0.3">
      <c r="A231" s="1">
        <v>1229</v>
      </c>
      <c r="B231" s="2">
        <v>44494</v>
      </c>
      <c r="C231" s="1" t="s">
        <v>35</v>
      </c>
      <c r="D231" s="1" t="s">
        <v>88</v>
      </c>
      <c r="E231" s="1" t="s">
        <v>16</v>
      </c>
      <c r="F231" s="1">
        <v>4761.95</v>
      </c>
      <c r="G231" s="1" t="s">
        <v>210</v>
      </c>
      <c r="H231" s="2">
        <v>27550</v>
      </c>
      <c r="I231" s="2">
        <v>44501</v>
      </c>
      <c r="J231" s="1">
        <v>43.51</v>
      </c>
      <c r="K231" s="4">
        <f t="shared" si="12"/>
        <v>2071.9244449999997</v>
      </c>
      <c r="L231" s="4">
        <f t="shared" si="13"/>
        <v>2690.0255550000002</v>
      </c>
    </row>
    <row r="232" spans="1:12" x14ac:dyDescent="0.3">
      <c r="A232" s="1">
        <v>1230</v>
      </c>
      <c r="B232" s="2">
        <v>44269</v>
      </c>
      <c r="C232" s="1" t="s">
        <v>26</v>
      </c>
      <c r="D232" s="1" t="s">
        <v>33</v>
      </c>
      <c r="E232" s="1" t="s">
        <v>16</v>
      </c>
      <c r="F232" s="1">
        <v>1146.72</v>
      </c>
      <c r="G232" s="1" t="s">
        <v>158</v>
      </c>
      <c r="H232" s="2">
        <v>34871</v>
      </c>
      <c r="I232" s="2">
        <v>44274</v>
      </c>
      <c r="J232" s="1">
        <v>32.44</v>
      </c>
      <c r="K232" s="4">
        <f t="shared" si="12"/>
        <v>371.99596799999995</v>
      </c>
      <c r="L232" s="4">
        <f t="shared" si="13"/>
        <v>774.72403200000008</v>
      </c>
    </row>
    <row r="233" spans="1:12" x14ac:dyDescent="0.3">
      <c r="A233" s="1">
        <v>1231</v>
      </c>
      <c r="B233" s="2">
        <v>44857</v>
      </c>
      <c r="C233" s="1" t="s">
        <v>26</v>
      </c>
      <c r="D233" s="1" t="s">
        <v>47</v>
      </c>
      <c r="E233" s="1" t="s">
        <v>12</v>
      </c>
      <c r="F233" s="1">
        <v>2995.97</v>
      </c>
      <c r="G233" s="1" t="s">
        <v>153</v>
      </c>
      <c r="H233" s="2">
        <v>36216</v>
      </c>
      <c r="I233" s="2">
        <v>44868</v>
      </c>
      <c r="J233" s="1">
        <v>3.74</v>
      </c>
      <c r="K233" s="4">
        <f t="shared" si="12"/>
        <v>112.049278</v>
      </c>
      <c r="L233" s="4">
        <f t="shared" si="13"/>
        <v>2883.9207219999998</v>
      </c>
    </row>
    <row r="234" spans="1:12" x14ac:dyDescent="0.3">
      <c r="A234" s="1">
        <v>1232</v>
      </c>
      <c r="B234" s="2">
        <v>44732</v>
      </c>
      <c r="C234" s="1" t="s">
        <v>14</v>
      </c>
      <c r="D234" s="1" t="s">
        <v>73</v>
      </c>
      <c r="E234" s="1" t="s">
        <v>28</v>
      </c>
      <c r="F234" s="1">
        <v>1461.44</v>
      </c>
      <c r="G234" s="1" t="s">
        <v>211</v>
      </c>
      <c r="H234" s="2">
        <v>35702</v>
      </c>
      <c r="I234" s="2">
        <v>44741</v>
      </c>
      <c r="J234" s="1">
        <v>1.64</v>
      </c>
      <c r="K234" s="4">
        <f t="shared" si="12"/>
        <v>23.967616</v>
      </c>
      <c r="L234" s="4">
        <f t="shared" si="13"/>
        <v>1437.4723840000001</v>
      </c>
    </row>
    <row r="235" spans="1:12" x14ac:dyDescent="0.3">
      <c r="A235" s="1">
        <v>1233</v>
      </c>
      <c r="B235" s="2">
        <v>44730</v>
      </c>
      <c r="C235" s="1" t="s">
        <v>21</v>
      </c>
      <c r="D235" s="1" t="s">
        <v>69</v>
      </c>
      <c r="E235" s="1" t="s">
        <v>12</v>
      </c>
      <c r="F235" s="1">
        <v>325.3</v>
      </c>
      <c r="G235" s="1" t="s">
        <v>152</v>
      </c>
      <c r="H235" s="2">
        <v>24792</v>
      </c>
      <c r="I235" s="2">
        <v>44736</v>
      </c>
      <c r="J235" s="1">
        <v>9.27</v>
      </c>
      <c r="K235" s="4">
        <f t="shared" si="12"/>
        <v>30.155309999999997</v>
      </c>
      <c r="L235" s="4">
        <f t="shared" si="13"/>
        <v>295.14469000000003</v>
      </c>
    </row>
    <row r="236" spans="1:12" x14ac:dyDescent="0.3">
      <c r="A236" s="1">
        <v>1234</v>
      </c>
      <c r="B236" s="2">
        <v>44339</v>
      </c>
      <c r="C236" s="1" t="s">
        <v>21</v>
      </c>
      <c r="D236" s="1" t="s">
        <v>49</v>
      </c>
      <c r="E236" s="1" t="s">
        <v>12</v>
      </c>
      <c r="F236" s="1">
        <v>4453.8100000000004</v>
      </c>
      <c r="G236" s="1" t="s">
        <v>212</v>
      </c>
      <c r="H236" s="2">
        <v>23674</v>
      </c>
      <c r="I236" s="2">
        <v>44348</v>
      </c>
      <c r="J236" s="1">
        <v>42.29</v>
      </c>
      <c r="K236" s="4">
        <f t="shared" si="12"/>
        <v>1883.5162490000002</v>
      </c>
      <c r="L236" s="4">
        <f t="shared" si="13"/>
        <v>2570.2937510000002</v>
      </c>
    </row>
    <row r="237" spans="1:12" x14ac:dyDescent="0.3">
      <c r="A237" s="1">
        <v>1235</v>
      </c>
      <c r="B237" s="2">
        <v>44284</v>
      </c>
      <c r="C237" s="1" t="s">
        <v>35</v>
      </c>
      <c r="D237" s="1" t="s">
        <v>18</v>
      </c>
      <c r="E237" s="1" t="s">
        <v>19</v>
      </c>
      <c r="F237" s="1">
        <v>4999.79</v>
      </c>
      <c r="G237" s="1" t="s">
        <v>213</v>
      </c>
      <c r="H237" s="2">
        <v>34345</v>
      </c>
      <c r="I237" s="2">
        <v>44285</v>
      </c>
      <c r="J237" s="1">
        <v>42.92</v>
      </c>
      <c r="K237" s="4">
        <f t="shared" si="12"/>
        <v>2145.9098680000002</v>
      </c>
      <c r="L237" s="4">
        <f t="shared" si="13"/>
        <v>2853.8801319999998</v>
      </c>
    </row>
    <row r="238" spans="1:12" x14ac:dyDescent="0.3">
      <c r="A238" s="1">
        <v>1236</v>
      </c>
      <c r="B238" s="2">
        <v>45408</v>
      </c>
      <c r="C238" s="1" t="s">
        <v>10</v>
      </c>
      <c r="D238" s="1" t="s">
        <v>40</v>
      </c>
      <c r="E238" s="1" t="s">
        <v>16</v>
      </c>
      <c r="F238" s="1">
        <v>4464.05</v>
      </c>
      <c r="G238" s="1" t="s">
        <v>116</v>
      </c>
      <c r="H238" s="2">
        <v>39294</v>
      </c>
      <c r="I238" s="2">
        <v>45415</v>
      </c>
      <c r="J238" s="1">
        <v>27.44</v>
      </c>
      <c r="K238" s="4">
        <f t="shared" si="12"/>
        <v>1224.9353200000003</v>
      </c>
      <c r="L238" s="4">
        <f t="shared" si="13"/>
        <v>3239.1146799999997</v>
      </c>
    </row>
    <row r="239" spans="1:12" x14ac:dyDescent="0.3">
      <c r="A239" s="1">
        <v>1237</v>
      </c>
      <c r="B239" s="2">
        <v>44398</v>
      </c>
      <c r="C239" s="1" t="s">
        <v>21</v>
      </c>
      <c r="D239" s="1" t="s">
        <v>102</v>
      </c>
      <c r="E239" s="1" t="s">
        <v>12</v>
      </c>
      <c r="F239" s="1">
        <v>3581.56</v>
      </c>
      <c r="G239" s="1" t="s">
        <v>86</v>
      </c>
      <c r="H239" s="2">
        <v>37858</v>
      </c>
      <c r="I239" s="2">
        <v>44405</v>
      </c>
      <c r="J239" s="1">
        <v>41.87</v>
      </c>
      <c r="K239" s="4">
        <f t="shared" si="12"/>
        <v>1499.5991719999997</v>
      </c>
      <c r="L239" s="4">
        <f t="shared" si="13"/>
        <v>2081.9608280000002</v>
      </c>
    </row>
    <row r="240" spans="1:12" x14ac:dyDescent="0.3">
      <c r="A240" s="1">
        <v>1238</v>
      </c>
      <c r="B240" s="2">
        <v>44940</v>
      </c>
      <c r="C240" s="1" t="s">
        <v>26</v>
      </c>
      <c r="D240" s="1" t="s">
        <v>71</v>
      </c>
      <c r="E240" s="1" t="s">
        <v>31</v>
      </c>
      <c r="F240" s="1">
        <v>1509.92</v>
      </c>
      <c r="G240" s="1" t="s">
        <v>214</v>
      </c>
      <c r="H240" s="2">
        <v>29540</v>
      </c>
      <c r="I240" s="2">
        <v>44943</v>
      </c>
      <c r="J240" s="1">
        <v>20.399999999999999</v>
      </c>
      <c r="K240" s="4">
        <f t="shared" si="12"/>
        <v>308.02368000000001</v>
      </c>
      <c r="L240" s="4">
        <f t="shared" si="13"/>
        <v>1201.8963200000001</v>
      </c>
    </row>
    <row r="241" spans="1:12" x14ac:dyDescent="0.3">
      <c r="A241" s="1">
        <v>1239</v>
      </c>
      <c r="B241" s="2">
        <v>45792</v>
      </c>
      <c r="C241" s="1" t="s">
        <v>35</v>
      </c>
      <c r="D241" s="1" t="s">
        <v>27</v>
      </c>
      <c r="E241" s="1" t="s">
        <v>28</v>
      </c>
      <c r="F241" s="1">
        <v>2305.0300000000002</v>
      </c>
      <c r="G241" s="1" t="s">
        <v>215</v>
      </c>
      <c r="H241" s="2">
        <v>31386</v>
      </c>
      <c r="I241" s="2">
        <v>45803</v>
      </c>
      <c r="J241" s="1">
        <v>39.799999999999997</v>
      </c>
      <c r="K241" s="4">
        <f t="shared" si="12"/>
        <v>917.40193999999997</v>
      </c>
      <c r="L241" s="4">
        <f t="shared" si="13"/>
        <v>1387.6280600000002</v>
      </c>
    </row>
    <row r="242" spans="1:12" x14ac:dyDescent="0.3">
      <c r="A242" s="1">
        <v>1240</v>
      </c>
      <c r="B242" s="2">
        <v>45013</v>
      </c>
      <c r="C242" s="1" t="s">
        <v>35</v>
      </c>
      <c r="D242" s="1" t="s">
        <v>88</v>
      </c>
      <c r="E242" s="1" t="s">
        <v>16</v>
      </c>
      <c r="F242" s="1">
        <v>4272.7299999999996</v>
      </c>
      <c r="G242" s="1" t="s">
        <v>91</v>
      </c>
      <c r="H242" s="2">
        <v>34220</v>
      </c>
      <c r="I242" s="2">
        <v>45020</v>
      </c>
      <c r="J242" s="1">
        <v>37.74</v>
      </c>
      <c r="K242" s="4">
        <f t="shared" si="12"/>
        <v>1612.5283019999999</v>
      </c>
      <c r="L242" s="4">
        <f t="shared" si="13"/>
        <v>2660.2016979999999</v>
      </c>
    </row>
    <row r="243" spans="1:12" x14ac:dyDescent="0.3">
      <c r="A243" s="1">
        <v>1241</v>
      </c>
      <c r="B243" s="2">
        <v>45234</v>
      </c>
      <c r="C243" s="1" t="s">
        <v>21</v>
      </c>
      <c r="D243" s="1" t="s">
        <v>69</v>
      </c>
      <c r="E243" s="1" t="s">
        <v>31</v>
      </c>
      <c r="F243" s="1">
        <v>1756.15</v>
      </c>
      <c r="G243" s="1" t="s">
        <v>216</v>
      </c>
      <c r="H243" s="2">
        <v>31419</v>
      </c>
      <c r="I243" s="2">
        <v>45239</v>
      </c>
      <c r="J243" s="1">
        <v>33.44</v>
      </c>
      <c r="K243" s="4">
        <f t="shared" si="12"/>
        <v>587.25656000000004</v>
      </c>
      <c r="L243" s="4">
        <f t="shared" si="13"/>
        <v>1168.8934400000001</v>
      </c>
    </row>
    <row r="244" spans="1:12" x14ac:dyDescent="0.3">
      <c r="A244" s="1">
        <v>1242</v>
      </c>
      <c r="B244" s="2">
        <v>44800</v>
      </c>
      <c r="C244" s="1" t="s">
        <v>14</v>
      </c>
      <c r="D244" s="1" t="s">
        <v>40</v>
      </c>
      <c r="E244" s="1" t="s">
        <v>16</v>
      </c>
      <c r="F244" s="1">
        <v>2727.83</v>
      </c>
      <c r="G244" s="1" t="s">
        <v>103</v>
      </c>
      <c r="H244" s="2">
        <v>30923</v>
      </c>
      <c r="I244" s="2">
        <v>44805</v>
      </c>
      <c r="J244" s="1">
        <v>11.22</v>
      </c>
      <c r="K244" s="4">
        <f t="shared" si="12"/>
        <v>306.06252599999999</v>
      </c>
      <c r="L244" s="4">
        <f t="shared" si="13"/>
        <v>2421.7674739999998</v>
      </c>
    </row>
    <row r="245" spans="1:12" x14ac:dyDescent="0.3">
      <c r="A245" s="1">
        <v>1243</v>
      </c>
      <c r="B245" s="2">
        <v>44438</v>
      </c>
      <c r="C245" s="1" t="s">
        <v>26</v>
      </c>
      <c r="D245" s="1" t="s">
        <v>53</v>
      </c>
      <c r="E245" s="1" t="s">
        <v>28</v>
      </c>
      <c r="F245" s="1">
        <v>993.29</v>
      </c>
      <c r="G245" s="1" t="s">
        <v>80</v>
      </c>
      <c r="H245" s="2">
        <v>31578</v>
      </c>
      <c r="I245" s="2">
        <v>44442</v>
      </c>
      <c r="J245" s="1">
        <v>9.93</v>
      </c>
      <c r="K245" s="4">
        <f t="shared" si="12"/>
        <v>98.633696999999998</v>
      </c>
      <c r="L245" s="4">
        <f t="shared" si="13"/>
        <v>894.65630299999998</v>
      </c>
    </row>
    <row r="246" spans="1:12" x14ac:dyDescent="0.3">
      <c r="A246" s="1">
        <v>1244</v>
      </c>
      <c r="B246" s="2">
        <v>45408</v>
      </c>
      <c r="C246" s="1" t="s">
        <v>14</v>
      </c>
      <c r="D246" s="1" t="s">
        <v>47</v>
      </c>
      <c r="E246" s="1" t="s">
        <v>12</v>
      </c>
      <c r="F246" s="1">
        <v>1187.1099999999999</v>
      </c>
      <c r="G246" s="1" t="s">
        <v>170</v>
      </c>
      <c r="H246" s="2">
        <v>34205</v>
      </c>
      <c r="I246" s="2">
        <v>45420</v>
      </c>
      <c r="J246" s="1">
        <v>33.229999999999997</v>
      </c>
      <c r="K246" s="4">
        <f t="shared" si="12"/>
        <v>394.47665299999994</v>
      </c>
      <c r="L246" s="4">
        <f t="shared" si="13"/>
        <v>792.63334699999996</v>
      </c>
    </row>
    <row r="247" spans="1:12" x14ac:dyDescent="0.3">
      <c r="A247" s="1">
        <v>1245</v>
      </c>
      <c r="B247" s="2">
        <v>44488</v>
      </c>
      <c r="C247" s="1" t="s">
        <v>21</v>
      </c>
      <c r="D247" s="1" t="s">
        <v>15</v>
      </c>
      <c r="E247" s="1" t="s">
        <v>16</v>
      </c>
      <c r="F247" s="1">
        <v>2517.8000000000002</v>
      </c>
      <c r="G247" s="1" t="s">
        <v>107</v>
      </c>
      <c r="H247" s="2">
        <v>26671</v>
      </c>
      <c r="I247" s="2">
        <v>44495</v>
      </c>
      <c r="J247" s="1">
        <v>38.24</v>
      </c>
      <c r="K247" s="4">
        <f t="shared" si="12"/>
        <v>962.80672000000015</v>
      </c>
      <c r="L247" s="4">
        <f t="shared" si="13"/>
        <v>1554.9932800000001</v>
      </c>
    </row>
    <row r="248" spans="1:12" x14ac:dyDescent="0.3">
      <c r="A248" s="1">
        <v>1246</v>
      </c>
      <c r="B248" s="2">
        <v>44489</v>
      </c>
      <c r="C248" s="1" t="s">
        <v>10</v>
      </c>
      <c r="D248" s="1" t="s">
        <v>88</v>
      </c>
      <c r="E248" s="1" t="s">
        <v>16</v>
      </c>
      <c r="F248" s="1">
        <v>4390.6000000000004</v>
      </c>
      <c r="G248" s="1" t="s">
        <v>144</v>
      </c>
      <c r="H248" s="2">
        <v>34571</v>
      </c>
      <c r="I248" s="2">
        <v>44491</v>
      </c>
      <c r="J248" s="1">
        <v>15.44</v>
      </c>
      <c r="K248" s="4">
        <f t="shared" si="12"/>
        <v>677.90863999999999</v>
      </c>
      <c r="L248" s="4">
        <f t="shared" si="13"/>
        <v>3712.6913600000003</v>
      </c>
    </row>
    <row r="249" spans="1:12" x14ac:dyDescent="0.3">
      <c r="A249" s="1">
        <v>1247</v>
      </c>
      <c r="B249" s="2">
        <v>44653</v>
      </c>
      <c r="C249" s="1" t="s">
        <v>35</v>
      </c>
      <c r="D249" s="1" t="s">
        <v>38</v>
      </c>
      <c r="E249" s="1" t="s">
        <v>28</v>
      </c>
      <c r="F249" s="1">
        <v>4464.93</v>
      </c>
      <c r="G249" s="1" t="s">
        <v>194</v>
      </c>
      <c r="H249" s="2">
        <v>22210</v>
      </c>
      <c r="I249" s="2">
        <v>44658</v>
      </c>
      <c r="J249" s="1">
        <v>42.78</v>
      </c>
      <c r="K249" s="4">
        <f t="shared" si="12"/>
        <v>1910.0970540000003</v>
      </c>
      <c r="L249" s="4">
        <f t="shared" si="13"/>
        <v>2554.832946</v>
      </c>
    </row>
    <row r="250" spans="1:12" x14ac:dyDescent="0.3">
      <c r="A250" s="1">
        <v>1248</v>
      </c>
      <c r="B250" s="2">
        <v>45583</v>
      </c>
      <c r="C250" s="1" t="s">
        <v>10</v>
      </c>
      <c r="D250" s="1" t="s">
        <v>55</v>
      </c>
      <c r="E250" s="1" t="s">
        <v>31</v>
      </c>
      <c r="F250" s="1">
        <v>834.79</v>
      </c>
      <c r="G250" s="1" t="s">
        <v>62</v>
      </c>
      <c r="H250" s="2">
        <v>22870</v>
      </c>
      <c r="I250" s="2">
        <v>45587</v>
      </c>
      <c r="J250" s="1">
        <v>43.88</v>
      </c>
      <c r="K250" s="4">
        <f t="shared" si="12"/>
        <v>366.30585200000002</v>
      </c>
      <c r="L250" s="4">
        <f t="shared" si="13"/>
        <v>468.48414799999995</v>
      </c>
    </row>
    <row r="251" spans="1:12" x14ac:dyDescent="0.3">
      <c r="A251" s="1">
        <v>1249</v>
      </c>
      <c r="B251" s="2">
        <v>45218</v>
      </c>
      <c r="C251" s="1" t="s">
        <v>14</v>
      </c>
      <c r="D251" s="1" t="s">
        <v>73</v>
      </c>
      <c r="E251" s="1" t="s">
        <v>28</v>
      </c>
      <c r="F251" s="1">
        <v>1780.78</v>
      </c>
      <c r="G251" s="1" t="s">
        <v>217</v>
      </c>
      <c r="H251" s="2">
        <v>36951</v>
      </c>
      <c r="I251" s="2">
        <v>45232</v>
      </c>
      <c r="J251" s="1">
        <v>43.61</v>
      </c>
      <c r="K251" s="4">
        <f t="shared" si="12"/>
        <v>776.59815800000001</v>
      </c>
      <c r="L251" s="4">
        <f t="shared" si="13"/>
        <v>1004.181842</v>
      </c>
    </row>
    <row r="252" spans="1:12" x14ac:dyDescent="0.3">
      <c r="A252" s="1">
        <v>1250</v>
      </c>
      <c r="B252" s="2">
        <v>44458</v>
      </c>
      <c r="C252" s="1" t="s">
        <v>35</v>
      </c>
      <c r="D252" s="1" t="s">
        <v>49</v>
      </c>
      <c r="E252" s="1" t="s">
        <v>12</v>
      </c>
      <c r="F252" s="1">
        <v>2340.94</v>
      </c>
      <c r="G252" s="1" t="s">
        <v>218</v>
      </c>
      <c r="H252" s="2">
        <v>29792</v>
      </c>
      <c r="I252" s="2">
        <v>44460</v>
      </c>
      <c r="J252" s="1">
        <v>22.07</v>
      </c>
      <c r="K252" s="4">
        <f t="shared" si="12"/>
        <v>516.64545800000008</v>
      </c>
      <c r="L252" s="4">
        <f t="shared" si="13"/>
        <v>1824.2945420000001</v>
      </c>
    </row>
    <row r="253" spans="1:12" x14ac:dyDescent="0.3">
      <c r="A253" s="1">
        <v>1251</v>
      </c>
      <c r="B253" s="2">
        <v>45121</v>
      </c>
      <c r="C253" s="1" t="s">
        <v>21</v>
      </c>
      <c r="D253" s="1" t="s">
        <v>38</v>
      </c>
      <c r="E253" s="1" t="s">
        <v>28</v>
      </c>
      <c r="F253" s="1">
        <v>898.44</v>
      </c>
      <c r="G253" s="1" t="s">
        <v>152</v>
      </c>
      <c r="H253" s="2">
        <v>24792</v>
      </c>
      <c r="I253" s="2">
        <v>45128</v>
      </c>
      <c r="J253" s="1">
        <v>19.48</v>
      </c>
      <c r="K253" s="4">
        <f t="shared" si="12"/>
        <v>175.01611200000002</v>
      </c>
      <c r="L253" s="4">
        <f t="shared" si="13"/>
        <v>723.42388800000003</v>
      </c>
    </row>
    <row r="254" spans="1:12" x14ac:dyDescent="0.3">
      <c r="A254" s="1">
        <v>1252</v>
      </c>
      <c r="B254" s="2">
        <v>45116</v>
      </c>
      <c r="C254" s="1" t="s">
        <v>21</v>
      </c>
      <c r="D254" s="1" t="s">
        <v>38</v>
      </c>
      <c r="E254" s="1" t="s">
        <v>28</v>
      </c>
      <c r="F254" s="1">
        <v>2705.86</v>
      </c>
      <c r="G254" s="1" t="s">
        <v>219</v>
      </c>
      <c r="H254" s="2">
        <v>25321</v>
      </c>
      <c r="I254" s="2">
        <v>45121</v>
      </c>
      <c r="J254" s="1">
        <v>48.33</v>
      </c>
      <c r="K254" s="4">
        <f t="shared" si="12"/>
        <v>1307.7421380000001</v>
      </c>
      <c r="L254" s="4">
        <f t="shared" si="13"/>
        <v>1398.1178620000001</v>
      </c>
    </row>
    <row r="255" spans="1:12" x14ac:dyDescent="0.3">
      <c r="A255" s="1">
        <v>1253</v>
      </c>
      <c r="B255" s="2">
        <v>44995</v>
      </c>
      <c r="C255" s="1" t="s">
        <v>10</v>
      </c>
      <c r="D255" s="1" t="s">
        <v>24</v>
      </c>
      <c r="E255" s="1" t="s">
        <v>19</v>
      </c>
      <c r="F255" s="1">
        <v>4945.4399999999996</v>
      </c>
      <c r="G255" s="1" t="s">
        <v>118</v>
      </c>
      <c r="H255" s="2">
        <v>22599</v>
      </c>
      <c r="I255" s="2">
        <v>44999</v>
      </c>
      <c r="J255" s="1">
        <v>23.04</v>
      </c>
      <c r="K255" s="4">
        <f t="shared" si="12"/>
        <v>1139.4293759999998</v>
      </c>
      <c r="L255" s="4">
        <f t="shared" si="13"/>
        <v>3806.0106239999996</v>
      </c>
    </row>
    <row r="256" spans="1:12" x14ac:dyDescent="0.3">
      <c r="A256" s="1">
        <v>1254</v>
      </c>
      <c r="B256" s="2">
        <v>45777</v>
      </c>
      <c r="C256" s="1" t="s">
        <v>21</v>
      </c>
      <c r="D256" s="1" t="s">
        <v>58</v>
      </c>
      <c r="E256" s="1" t="s">
        <v>31</v>
      </c>
      <c r="F256" s="1">
        <v>1796.08</v>
      </c>
      <c r="G256" s="1" t="s">
        <v>176</v>
      </c>
      <c r="H256" s="2">
        <v>33282</v>
      </c>
      <c r="I256" s="2">
        <v>45788</v>
      </c>
      <c r="J256" s="1">
        <v>3.3</v>
      </c>
      <c r="K256" s="4">
        <f t="shared" si="12"/>
        <v>59.27064</v>
      </c>
      <c r="L256" s="4">
        <f t="shared" si="13"/>
        <v>1736.80936</v>
      </c>
    </row>
    <row r="257" spans="1:12" x14ac:dyDescent="0.3">
      <c r="A257" s="1">
        <v>1255</v>
      </c>
      <c r="B257" s="2">
        <v>44791</v>
      </c>
      <c r="C257" s="1" t="s">
        <v>35</v>
      </c>
      <c r="D257" s="1" t="s">
        <v>69</v>
      </c>
      <c r="E257" s="1" t="s">
        <v>31</v>
      </c>
      <c r="F257" s="1">
        <v>1032.53</v>
      </c>
      <c r="G257" s="1" t="s">
        <v>157</v>
      </c>
      <c r="H257" s="2">
        <v>37189</v>
      </c>
      <c r="I257" s="2">
        <v>44793</v>
      </c>
      <c r="J257" s="1">
        <v>47.26</v>
      </c>
      <c r="K257" s="4">
        <f t="shared" si="12"/>
        <v>487.97367799999995</v>
      </c>
      <c r="L257" s="4">
        <f t="shared" si="13"/>
        <v>544.55632200000002</v>
      </c>
    </row>
    <row r="258" spans="1:12" x14ac:dyDescent="0.3">
      <c r="A258" s="1">
        <v>1256</v>
      </c>
      <c r="B258" s="2">
        <v>44829</v>
      </c>
      <c r="C258" s="1" t="s">
        <v>10</v>
      </c>
      <c r="D258" s="1" t="s">
        <v>22</v>
      </c>
      <c r="E258" s="1" t="s">
        <v>19</v>
      </c>
      <c r="F258" s="1">
        <v>1161.73</v>
      </c>
      <c r="G258" s="1" t="s">
        <v>220</v>
      </c>
      <c r="H258" s="2">
        <v>30755</v>
      </c>
      <c r="I258" s="2">
        <v>44838</v>
      </c>
      <c r="J258" s="1">
        <v>8.2799999999999994</v>
      </c>
      <c r="K258" s="4">
        <f t="shared" si="12"/>
        <v>96.191243999999998</v>
      </c>
      <c r="L258" s="4">
        <f t="shared" si="13"/>
        <v>1065.5387559999999</v>
      </c>
    </row>
    <row r="259" spans="1:12" x14ac:dyDescent="0.3">
      <c r="A259" s="1">
        <v>1257</v>
      </c>
      <c r="B259" s="2">
        <v>45205</v>
      </c>
      <c r="C259" s="1" t="s">
        <v>35</v>
      </c>
      <c r="D259" s="1" t="s">
        <v>24</v>
      </c>
      <c r="E259" s="1" t="s">
        <v>19</v>
      </c>
      <c r="F259" s="1">
        <v>544.44000000000005</v>
      </c>
      <c r="G259" s="1" t="s">
        <v>221</v>
      </c>
      <c r="H259" s="2">
        <v>35658</v>
      </c>
      <c r="I259" s="2">
        <v>45214</v>
      </c>
      <c r="J259" s="1">
        <v>38.49</v>
      </c>
      <c r="K259" s="4">
        <f t="shared" ref="K259:K322" si="14">F259*J259%</f>
        <v>209.55495600000003</v>
      </c>
      <c r="L259" s="4">
        <f t="shared" ref="L259:L322" si="15">F259-K259</f>
        <v>334.88504399999999</v>
      </c>
    </row>
    <row r="260" spans="1:12" x14ac:dyDescent="0.3">
      <c r="A260" s="1">
        <v>1258</v>
      </c>
      <c r="B260" s="2">
        <v>44533</v>
      </c>
      <c r="C260" s="1" t="s">
        <v>26</v>
      </c>
      <c r="D260" s="1" t="s">
        <v>49</v>
      </c>
      <c r="E260" s="1" t="s">
        <v>12</v>
      </c>
      <c r="F260" s="1">
        <v>4156.28</v>
      </c>
      <c r="G260" s="1" t="s">
        <v>110</v>
      </c>
      <c r="H260" s="2">
        <v>32064</v>
      </c>
      <c r="I260" s="2">
        <v>44535</v>
      </c>
      <c r="J260" s="1">
        <v>11.58</v>
      </c>
      <c r="K260" s="4">
        <f t="shared" si="14"/>
        <v>481.29722399999997</v>
      </c>
      <c r="L260" s="4">
        <f t="shared" si="15"/>
        <v>3674.9827759999998</v>
      </c>
    </row>
    <row r="261" spans="1:12" x14ac:dyDescent="0.3">
      <c r="A261" s="1">
        <v>1259</v>
      </c>
      <c r="B261" s="2">
        <v>44840</v>
      </c>
      <c r="C261" s="1" t="s">
        <v>21</v>
      </c>
      <c r="D261" s="1" t="s">
        <v>11</v>
      </c>
      <c r="E261" s="1" t="s">
        <v>12</v>
      </c>
      <c r="F261" s="1">
        <v>1970.21</v>
      </c>
      <c r="G261" s="1" t="s">
        <v>222</v>
      </c>
      <c r="H261" s="2">
        <v>28619</v>
      </c>
      <c r="I261" s="2">
        <v>44850</v>
      </c>
      <c r="J261" s="1">
        <v>11.03</v>
      </c>
      <c r="K261" s="4">
        <f t="shared" si="14"/>
        <v>217.31416300000001</v>
      </c>
      <c r="L261" s="4">
        <f t="shared" si="15"/>
        <v>1752.895837</v>
      </c>
    </row>
    <row r="262" spans="1:12" x14ac:dyDescent="0.3">
      <c r="A262" s="1">
        <v>1260</v>
      </c>
      <c r="B262" s="2">
        <v>44890</v>
      </c>
      <c r="C262" s="1" t="s">
        <v>35</v>
      </c>
      <c r="D262" s="1" t="s">
        <v>73</v>
      </c>
      <c r="E262" s="1" t="s">
        <v>28</v>
      </c>
      <c r="F262" s="1">
        <v>4251.99</v>
      </c>
      <c r="G262" s="1" t="s">
        <v>186</v>
      </c>
      <c r="H262" s="2">
        <v>39193</v>
      </c>
      <c r="I262" s="2">
        <v>44903</v>
      </c>
      <c r="J262" s="1">
        <v>34.770000000000003</v>
      </c>
      <c r="K262" s="4">
        <f t="shared" si="14"/>
        <v>1478.416923</v>
      </c>
      <c r="L262" s="4">
        <f t="shared" si="15"/>
        <v>2773.573077</v>
      </c>
    </row>
    <row r="263" spans="1:12" x14ac:dyDescent="0.3">
      <c r="A263" s="1">
        <v>1261</v>
      </c>
      <c r="B263" s="2">
        <v>44437</v>
      </c>
      <c r="C263" s="1" t="s">
        <v>21</v>
      </c>
      <c r="D263" s="1" t="s">
        <v>61</v>
      </c>
      <c r="E263" s="1" t="s">
        <v>19</v>
      </c>
      <c r="F263" s="1">
        <v>2814.81</v>
      </c>
      <c r="G263" s="1" t="s">
        <v>119</v>
      </c>
      <c r="H263" s="2">
        <v>34954</v>
      </c>
      <c r="I263" s="2">
        <v>44444</v>
      </c>
      <c r="J263" s="1">
        <v>36.85</v>
      </c>
      <c r="K263" s="4">
        <f t="shared" si="14"/>
        <v>1037.2574849999999</v>
      </c>
      <c r="L263" s="4">
        <f t="shared" si="15"/>
        <v>1777.5525150000001</v>
      </c>
    </row>
    <row r="264" spans="1:12" x14ac:dyDescent="0.3">
      <c r="A264" s="1">
        <v>1262</v>
      </c>
      <c r="B264" s="2">
        <v>45103</v>
      </c>
      <c r="C264" s="1" t="s">
        <v>10</v>
      </c>
      <c r="D264" s="1" t="s">
        <v>73</v>
      </c>
      <c r="E264" s="1" t="s">
        <v>28</v>
      </c>
      <c r="F264" s="1">
        <v>2491.4899999999998</v>
      </c>
      <c r="G264" s="1" t="s">
        <v>221</v>
      </c>
      <c r="H264" s="2">
        <v>35658</v>
      </c>
      <c r="I264" s="2">
        <v>45113</v>
      </c>
      <c r="J264" s="1">
        <v>21.1</v>
      </c>
      <c r="K264" s="4">
        <f t="shared" si="14"/>
        <v>525.70438999999999</v>
      </c>
      <c r="L264" s="4">
        <f t="shared" si="15"/>
        <v>1965.7856099999999</v>
      </c>
    </row>
    <row r="265" spans="1:12" x14ac:dyDescent="0.3">
      <c r="A265" s="1">
        <v>1263</v>
      </c>
      <c r="B265" s="2">
        <v>44413</v>
      </c>
      <c r="C265" s="1" t="s">
        <v>14</v>
      </c>
      <c r="D265" s="1" t="s">
        <v>18</v>
      </c>
      <c r="E265" s="1" t="s">
        <v>19</v>
      </c>
      <c r="F265" s="1">
        <v>3097.86</v>
      </c>
      <c r="G265" s="1" t="s">
        <v>145</v>
      </c>
      <c r="H265" s="2">
        <v>23470</v>
      </c>
      <c r="I265" s="2">
        <v>44419</v>
      </c>
      <c r="J265" s="1">
        <v>41.73</v>
      </c>
      <c r="K265" s="4">
        <f t="shared" si="14"/>
        <v>1292.7369779999999</v>
      </c>
      <c r="L265" s="4">
        <f t="shared" si="15"/>
        <v>1805.1230220000002</v>
      </c>
    </row>
    <row r="266" spans="1:12" x14ac:dyDescent="0.3">
      <c r="A266" s="1">
        <v>1264</v>
      </c>
      <c r="B266" s="2">
        <v>45805</v>
      </c>
      <c r="C266" s="1" t="s">
        <v>10</v>
      </c>
      <c r="D266" s="1" t="s">
        <v>38</v>
      </c>
      <c r="E266" s="1" t="s">
        <v>28</v>
      </c>
      <c r="F266" s="1">
        <v>762.49</v>
      </c>
      <c r="G266" s="1" t="s">
        <v>32</v>
      </c>
      <c r="H266" s="2">
        <v>27166</v>
      </c>
      <c r="I266" s="2">
        <v>45807</v>
      </c>
      <c r="J266" s="1">
        <v>16.559999999999999</v>
      </c>
      <c r="K266" s="4">
        <f t="shared" si="14"/>
        <v>126.268344</v>
      </c>
      <c r="L266" s="4">
        <f t="shared" si="15"/>
        <v>636.22165600000005</v>
      </c>
    </row>
    <row r="267" spans="1:12" x14ac:dyDescent="0.3">
      <c r="A267" s="1">
        <v>1265</v>
      </c>
      <c r="B267" s="2">
        <v>45103</v>
      </c>
      <c r="C267" s="1" t="s">
        <v>35</v>
      </c>
      <c r="D267" s="1" t="s">
        <v>61</v>
      </c>
      <c r="E267" s="1" t="s">
        <v>19</v>
      </c>
      <c r="F267" s="1">
        <v>3658.32</v>
      </c>
      <c r="G267" s="1" t="s">
        <v>63</v>
      </c>
      <c r="H267" s="2">
        <v>25430</v>
      </c>
      <c r="I267" s="2">
        <v>45116</v>
      </c>
      <c r="J267" s="1">
        <v>27.9</v>
      </c>
      <c r="K267" s="4">
        <f t="shared" si="14"/>
        <v>1020.6712799999999</v>
      </c>
      <c r="L267" s="4">
        <f t="shared" si="15"/>
        <v>2637.6487200000001</v>
      </c>
    </row>
    <row r="268" spans="1:12" x14ac:dyDescent="0.3">
      <c r="A268" s="1">
        <v>1266</v>
      </c>
      <c r="B268" s="2">
        <v>45878</v>
      </c>
      <c r="C268" s="1" t="s">
        <v>35</v>
      </c>
      <c r="D268" s="1" t="s">
        <v>33</v>
      </c>
      <c r="E268" s="1" t="s">
        <v>16</v>
      </c>
      <c r="F268" s="1">
        <v>4570.67</v>
      </c>
      <c r="G268" s="1" t="s">
        <v>223</v>
      </c>
      <c r="H268" s="2">
        <v>35407</v>
      </c>
      <c r="I268" s="2">
        <v>45880</v>
      </c>
      <c r="J268" s="1">
        <v>40.4</v>
      </c>
      <c r="K268" s="4">
        <f t="shared" si="14"/>
        <v>1846.5506799999998</v>
      </c>
      <c r="L268" s="4">
        <f t="shared" si="15"/>
        <v>2724.1193200000002</v>
      </c>
    </row>
    <row r="269" spans="1:12" x14ac:dyDescent="0.3">
      <c r="A269" s="1">
        <v>1267</v>
      </c>
      <c r="B269" s="2">
        <v>44454</v>
      </c>
      <c r="C269" s="1" t="s">
        <v>26</v>
      </c>
      <c r="D269" s="1" t="s">
        <v>36</v>
      </c>
      <c r="E269" s="1" t="s">
        <v>28</v>
      </c>
      <c r="F269" s="1">
        <v>175.11</v>
      </c>
      <c r="G269" s="1" t="s">
        <v>224</v>
      </c>
      <c r="H269" s="2">
        <v>35405</v>
      </c>
      <c r="I269" s="2">
        <v>44461</v>
      </c>
      <c r="J269" s="1">
        <v>23.84</v>
      </c>
      <c r="K269" s="4">
        <f t="shared" si="14"/>
        <v>41.746224000000005</v>
      </c>
      <c r="L269" s="4">
        <f t="shared" si="15"/>
        <v>133.363776</v>
      </c>
    </row>
    <row r="270" spans="1:12" x14ac:dyDescent="0.3">
      <c r="A270" s="1">
        <v>1268</v>
      </c>
      <c r="B270" s="2">
        <v>44776</v>
      </c>
      <c r="C270" s="1" t="s">
        <v>10</v>
      </c>
      <c r="D270" s="1" t="s">
        <v>69</v>
      </c>
      <c r="E270" s="1" t="s">
        <v>12</v>
      </c>
      <c r="F270" s="1">
        <v>1206.06</v>
      </c>
      <c r="G270" s="1" t="s">
        <v>32</v>
      </c>
      <c r="H270" s="2">
        <v>27166</v>
      </c>
      <c r="I270" s="2">
        <v>44782</v>
      </c>
      <c r="J270" s="1">
        <v>10.39</v>
      </c>
      <c r="K270" s="4">
        <f t="shared" si="14"/>
        <v>125.309634</v>
      </c>
      <c r="L270" s="4">
        <f t="shared" si="15"/>
        <v>1080.750366</v>
      </c>
    </row>
    <row r="271" spans="1:12" x14ac:dyDescent="0.3">
      <c r="A271" s="1">
        <v>1269</v>
      </c>
      <c r="B271" s="2">
        <v>44135</v>
      </c>
      <c r="C271" s="1" t="s">
        <v>26</v>
      </c>
      <c r="D271" s="1" t="s">
        <v>65</v>
      </c>
      <c r="E271" s="1" t="s">
        <v>19</v>
      </c>
      <c r="F271" s="1">
        <v>800.68</v>
      </c>
      <c r="G271" s="1" t="s">
        <v>129</v>
      </c>
      <c r="H271" s="2">
        <v>26668</v>
      </c>
      <c r="I271" s="2">
        <v>44142</v>
      </c>
      <c r="J271" s="1">
        <v>13.26</v>
      </c>
      <c r="K271" s="4">
        <f t="shared" si="14"/>
        <v>106.17016799999999</v>
      </c>
      <c r="L271" s="4">
        <f t="shared" si="15"/>
        <v>694.50983199999996</v>
      </c>
    </row>
    <row r="272" spans="1:12" x14ac:dyDescent="0.3">
      <c r="A272" s="1">
        <v>1270</v>
      </c>
      <c r="B272" s="2">
        <v>44757</v>
      </c>
      <c r="C272" s="1" t="s">
        <v>35</v>
      </c>
      <c r="D272" s="1" t="s">
        <v>36</v>
      </c>
      <c r="E272" s="1" t="s">
        <v>28</v>
      </c>
      <c r="F272" s="1">
        <v>1878.78</v>
      </c>
      <c r="G272" s="1" t="s">
        <v>46</v>
      </c>
      <c r="H272" s="2">
        <v>24670</v>
      </c>
      <c r="I272" s="2">
        <v>44766</v>
      </c>
      <c r="J272" s="1">
        <v>1.81</v>
      </c>
      <c r="K272" s="4">
        <f t="shared" si="14"/>
        <v>34.005918000000001</v>
      </c>
      <c r="L272" s="4">
        <f t="shared" si="15"/>
        <v>1844.7740819999999</v>
      </c>
    </row>
    <row r="273" spans="1:12" x14ac:dyDescent="0.3">
      <c r="A273" s="1">
        <v>1271</v>
      </c>
      <c r="B273" s="2">
        <v>45831</v>
      </c>
      <c r="C273" s="1" t="s">
        <v>14</v>
      </c>
      <c r="D273" s="1" t="s">
        <v>30</v>
      </c>
      <c r="E273" s="1" t="s">
        <v>31</v>
      </c>
      <c r="F273" s="1">
        <v>854.3</v>
      </c>
      <c r="G273" s="1" t="s">
        <v>225</v>
      </c>
      <c r="H273" s="2">
        <v>27641</v>
      </c>
      <c r="I273" s="2">
        <v>45844</v>
      </c>
      <c r="J273" s="1">
        <v>34.979999999999997</v>
      </c>
      <c r="K273" s="4">
        <f t="shared" si="14"/>
        <v>298.83413999999993</v>
      </c>
      <c r="L273" s="4">
        <f t="shared" si="15"/>
        <v>555.46586000000002</v>
      </c>
    </row>
    <row r="274" spans="1:12" x14ac:dyDescent="0.3">
      <c r="A274" s="1">
        <v>1272</v>
      </c>
      <c r="B274" s="2">
        <v>45875</v>
      </c>
      <c r="C274" s="1" t="s">
        <v>14</v>
      </c>
      <c r="D274" s="1" t="s">
        <v>47</v>
      </c>
      <c r="E274" s="1" t="s">
        <v>12</v>
      </c>
      <c r="F274" s="1">
        <v>3347.21</v>
      </c>
      <c r="G274" s="1" t="s">
        <v>67</v>
      </c>
      <c r="H274" s="2">
        <v>34016</v>
      </c>
      <c r="I274" s="2">
        <v>45880</v>
      </c>
      <c r="J274" s="1">
        <v>41.7</v>
      </c>
      <c r="K274" s="4">
        <f t="shared" si="14"/>
        <v>1395.7865700000002</v>
      </c>
      <c r="L274" s="4">
        <f t="shared" si="15"/>
        <v>1951.4234299999998</v>
      </c>
    </row>
    <row r="275" spans="1:12" x14ac:dyDescent="0.3">
      <c r="A275" s="1">
        <v>1273</v>
      </c>
      <c r="B275" s="2">
        <v>45857</v>
      </c>
      <c r="C275" s="1" t="s">
        <v>26</v>
      </c>
      <c r="D275" s="1" t="s">
        <v>53</v>
      </c>
      <c r="E275" s="1" t="s">
        <v>28</v>
      </c>
      <c r="F275" s="1">
        <v>2890.65</v>
      </c>
      <c r="G275" s="1" t="s">
        <v>226</v>
      </c>
      <c r="H275" s="2">
        <v>33332</v>
      </c>
      <c r="I275" s="2">
        <v>45868</v>
      </c>
      <c r="J275" s="1">
        <v>27.79</v>
      </c>
      <c r="K275" s="4">
        <f t="shared" si="14"/>
        <v>803.31163500000002</v>
      </c>
      <c r="L275" s="4">
        <f t="shared" si="15"/>
        <v>2087.3383650000001</v>
      </c>
    </row>
    <row r="276" spans="1:12" x14ac:dyDescent="0.3">
      <c r="A276" s="1">
        <v>1274</v>
      </c>
      <c r="B276" s="2">
        <v>45696</v>
      </c>
      <c r="C276" s="1" t="s">
        <v>26</v>
      </c>
      <c r="D276" s="1" t="s">
        <v>49</v>
      </c>
      <c r="E276" s="1" t="s">
        <v>12</v>
      </c>
      <c r="F276" s="1">
        <v>3258.98</v>
      </c>
      <c r="G276" s="1" t="s">
        <v>227</v>
      </c>
      <c r="H276" s="2">
        <v>34932</v>
      </c>
      <c r="I276" s="2">
        <v>45701</v>
      </c>
      <c r="J276" s="1">
        <v>15.98</v>
      </c>
      <c r="K276" s="4">
        <f t="shared" si="14"/>
        <v>520.78500399999996</v>
      </c>
      <c r="L276" s="4">
        <f t="shared" si="15"/>
        <v>2738.1949960000002</v>
      </c>
    </row>
    <row r="277" spans="1:12" x14ac:dyDescent="0.3">
      <c r="A277" s="1">
        <v>1275</v>
      </c>
      <c r="B277" s="2">
        <v>45724</v>
      </c>
      <c r="C277" s="1" t="s">
        <v>10</v>
      </c>
      <c r="D277" s="1" t="s">
        <v>49</v>
      </c>
      <c r="E277" s="1" t="s">
        <v>12</v>
      </c>
      <c r="F277" s="1">
        <v>2674.72</v>
      </c>
      <c r="G277" s="1" t="s">
        <v>90</v>
      </c>
      <c r="H277" s="2">
        <v>29348</v>
      </c>
      <c r="I277" s="2">
        <v>45730</v>
      </c>
      <c r="J277" s="1">
        <v>41</v>
      </c>
      <c r="K277" s="4">
        <f t="shared" si="14"/>
        <v>1096.6351999999999</v>
      </c>
      <c r="L277" s="4">
        <f t="shared" si="15"/>
        <v>1578.0847999999999</v>
      </c>
    </row>
    <row r="278" spans="1:12" x14ac:dyDescent="0.3">
      <c r="A278" s="1">
        <v>1276</v>
      </c>
      <c r="B278" s="2">
        <v>45664</v>
      </c>
      <c r="C278" s="1" t="s">
        <v>35</v>
      </c>
      <c r="D278" s="1" t="s">
        <v>47</v>
      </c>
      <c r="E278" s="1" t="s">
        <v>12</v>
      </c>
      <c r="F278" s="1">
        <v>2605.23</v>
      </c>
      <c r="G278" s="1" t="s">
        <v>228</v>
      </c>
      <c r="H278" s="2">
        <v>25811</v>
      </c>
      <c r="I278" s="2">
        <v>45671</v>
      </c>
      <c r="J278" s="1">
        <v>38.31</v>
      </c>
      <c r="K278" s="4">
        <f t="shared" si="14"/>
        <v>998.06361300000003</v>
      </c>
      <c r="L278" s="4">
        <f t="shared" si="15"/>
        <v>1607.166387</v>
      </c>
    </row>
    <row r="279" spans="1:12" x14ac:dyDescent="0.3">
      <c r="A279" s="1">
        <v>1277</v>
      </c>
      <c r="B279" s="2">
        <v>44414</v>
      </c>
      <c r="C279" s="1" t="s">
        <v>10</v>
      </c>
      <c r="D279" s="1" t="s">
        <v>38</v>
      </c>
      <c r="E279" s="1" t="s">
        <v>28</v>
      </c>
      <c r="F279" s="1">
        <v>1138.02</v>
      </c>
      <c r="G279" s="1" t="s">
        <v>212</v>
      </c>
      <c r="H279" s="2">
        <v>23674</v>
      </c>
      <c r="I279" s="2">
        <v>44426</v>
      </c>
      <c r="J279" s="1">
        <v>44.7</v>
      </c>
      <c r="K279" s="4">
        <f t="shared" si="14"/>
        <v>508.69493999999997</v>
      </c>
      <c r="L279" s="4">
        <f t="shared" si="15"/>
        <v>629.32506000000001</v>
      </c>
    </row>
    <row r="280" spans="1:12" x14ac:dyDescent="0.3">
      <c r="A280" s="1">
        <v>1278</v>
      </c>
      <c r="B280" s="2">
        <v>45112</v>
      </c>
      <c r="C280" s="1" t="s">
        <v>14</v>
      </c>
      <c r="D280" s="1" t="s">
        <v>15</v>
      </c>
      <c r="E280" s="1" t="s">
        <v>16</v>
      </c>
      <c r="F280" s="1">
        <v>1792.81</v>
      </c>
      <c r="G280" s="1" t="s">
        <v>229</v>
      </c>
      <c r="H280" s="2">
        <v>37783</v>
      </c>
      <c r="I280" s="2">
        <v>45114</v>
      </c>
      <c r="J280" s="1">
        <v>0.96</v>
      </c>
      <c r="K280" s="4">
        <f t="shared" si="14"/>
        <v>17.210975999999999</v>
      </c>
      <c r="L280" s="4">
        <f t="shared" si="15"/>
        <v>1775.5990239999999</v>
      </c>
    </row>
    <row r="281" spans="1:12" x14ac:dyDescent="0.3">
      <c r="A281" s="1">
        <v>1279</v>
      </c>
      <c r="B281" s="2">
        <v>45807</v>
      </c>
      <c r="C281" s="1" t="s">
        <v>35</v>
      </c>
      <c r="D281" s="1" t="s">
        <v>24</v>
      </c>
      <c r="E281" s="1" t="s">
        <v>19</v>
      </c>
      <c r="F281" s="1">
        <v>281.86</v>
      </c>
      <c r="G281" s="1" t="s">
        <v>100</v>
      </c>
      <c r="H281" s="2">
        <v>22100</v>
      </c>
      <c r="I281" s="2">
        <v>45815</v>
      </c>
      <c r="J281" s="1">
        <v>40.89</v>
      </c>
      <c r="K281" s="4">
        <f t="shared" si="14"/>
        <v>115.252554</v>
      </c>
      <c r="L281" s="4">
        <f t="shared" si="15"/>
        <v>166.60744600000001</v>
      </c>
    </row>
    <row r="282" spans="1:12" x14ac:dyDescent="0.3">
      <c r="A282" s="1">
        <v>1280</v>
      </c>
      <c r="B282" s="2">
        <v>44353</v>
      </c>
      <c r="C282" s="1" t="s">
        <v>21</v>
      </c>
      <c r="D282" s="1" t="s">
        <v>53</v>
      </c>
      <c r="E282" s="1" t="s">
        <v>28</v>
      </c>
      <c r="F282" s="1">
        <v>926.55</v>
      </c>
      <c r="G282" s="1" t="s">
        <v>192</v>
      </c>
      <c r="H282" s="2">
        <v>33626</v>
      </c>
      <c r="I282" s="2">
        <v>44359</v>
      </c>
      <c r="J282" s="1">
        <v>6.59</v>
      </c>
      <c r="K282" s="4">
        <f t="shared" si="14"/>
        <v>61.059644999999996</v>
      </c>
      <c r="L282" s="4">
        <f t="shared" si="15"/>
        <v>865.49035499999991</v>
      </c>
    </row>
    <row r="283" spans="1:12" x14ac:dyDescent="0.3">
      <c r="A283" s="1">
        <v>1281</v>
      </c>
      <c r="B283" s="2">
        <v>44602</v>
      </c>
      <c r="C283" s="1" t="s">
        <v>35</v>
      </c>
      <c r="D283" s="1" t="s">
        <v>18</v>
      </c>
      <c r="E283" s="1" t="s">
        <v>19</v>
      </c>
      <c r="F283" s="1">
        <v>1739.97</v>
      </c>
      <c r="G283" s="1" t="s">
        <v>132</v>
      </c>
      <c r="H283" s="2">
        <v>34364</v>
      </c>
      <c r="I283" s="2">
        <v>44608</v>
      </c>
      <c r="J283" s="1">
        <v>37.43</v>
      </c>
      <c r="K283" s="4">
        <f t="shared" si="14"/>
        <v>651.27077100000008</v>
      </c>
      <c r="L283" s="4">
        <f t="shared" si="15"/>
        <v>1088.6992289999998</v>
      </c>
    </row>
    <row r="284" spans="1:12" x14ac:dyDescent="0.3">
      <c r="A284" s="1">
        <v>1282</v>
      </c>
      <c r="B284" s="2">
        <v>45045</v>
      </c>
      <c r="C284" s="1" t="s">
        <v>35</v>
      </c>
      <c r="D284" s="1" t="s">
        <v>65</v>
      </c>
      <c r="E284" s="1" t="s">
        <v>19</v>
      </c>
      <c r="F284" s="1">
        <v>1567.53</v>
      </c>
      <c r="G284" s="1" t="s">
        <v>148</v>
      </c>
      <c r="H284" s="2">
        <v>22007</v>
      </c>
      <c r="I284" s="2">
        <v>45049</v>
      </c>
      <c r="J284" s="1">
        <v>49</v>
      </c>
      <c r="K284" s="4">
        <f t="shared" si="14"/>
        <v>768.08969999999999</v>
      </c>
      <c r="L284" s="4">
        <f t="shared" si="15"/>
        <v>799.44029999999998</v>
      </c>
    </row>
    <row r="285" spans="1:12" x14ac:dyDescent="0.3">
      <c r="A285" s="1">
        <v>1283</v>
      </c>
      <c r="B285" s="2">
        <v>45017</v>
      </c>
      <c r="C285" s="1" t="s">
        <v>26</v>
      </c>
      <c r="D285" s="1" t="s">
        <v>33</v>
      </c>
      <c r="E285" s="1" t="s">
        <v>16</v>
      </c>
      <c r="F285" s="1">
        <v>1815.01</v>
      </c>
      <c r="G285" s="1" t="s">
        <v>142</v>
      </c>
      <c r="H285" s="2">
        <v>29541</v>
      </c>
      <c r="I285" s="2">
        <v>45031</v>
      </c>
      <c r="J285" s="1">
        <v>30.87</v>
      </c>
      <c r="K285" s="4">
        <f t="shared" si="14"/>
        <v>560.293587</v>
      </c>
      <c r="L285" s="4">
        <f t="shared" si="15"/>
        <v>1254.7164130000001</v>
      </c>
    </row>
    <row r="286" spans="1:12" x14ac:dyDescent="0.3">
      <c r="A286" s="1">
        <v>1284</v>
      </c>
      <c r="B286" s="2">
        <v>45082</v>
      </c>
      <c r="C286" s="1" t="s">
        <v>10</v>
      </c>
      <c r="D286" s="1" t="s">
        <v>102</v>
      </c>
      <c r="E286" s="1" t="s">
        <v>12</v>
      </c>
      <c r="F286" s="1">
        <v>3756.55</v>
      </c>
      <c r="G286" s="1" t="s">
        <v>120</v>
      </c>
      <c r="H286" s="2">
        <v>30820</v>
      </c>
      <c r="I286" s="2">
        <v>45088</v>
      </c>
      <c r="J286" s="1">
        <v>23.22</v>
      </c>
      <c r="K286" s="4">
        <f t="shared" si="14"/>
        <v>872.27090999999996</v>
      </c>
      <c r="L286" s="4">
        <f t="shared" si="15"/>
        <v>2884.27909</v>
      </c>
    </row>
    <row r="287" spans="1:12" x14ac:dyDescent="0.3">
      <c r="A287" s="1">
        <v>1285</v>
      </c>
      <c r="B287" s="2">
        <v>45807</v>
      </c>
      <c r="C287" s="1" t="s">
        <v>26</v>
      </c>
      <c r="D287" s="1" t="s">
        <v>22</v>
      </c>
      <c r="E287" s="1" t="s">
        <v>19</v>
      </c>
      <c r="F287" s="1">
        <v>1008.01</v>
      </c>
      <c r="G287" s="1" t="s">
        <v>230</v>
      </c>
      <c r="H287" s="2">
        <v>35642</v>
      </c>
      <c r="I287" s="2">
        <v>45812</v>
      </c>
      <c r="J287" s="1">
        <v>47.76</v>
      </c>
      <c r="K287" s="4">
        <f t="shared" si="14"/>
        <v>481.42557599999998</v>
      </c>
      <c r="L287" s="4">
        <f t="shared" si="15"/>
        <v>526.58442400000001</v>
      </c>
    </row>
    <row r="288" spans="1:12" x14ac:dyDescent="0.3">
      <c r="A288" s="1">
        <v>1286</v>
      </c>
      <c r="B288" s="2">
        <v>45456</v>
      </c>
      <c r="C288" s="1" t="s">
        <v>35</v>
      </c>
      <c r="D288" s="1" t="s">
        <v>69</v>
      </c>
      <c r="E288" s="1" t="s">
        <v>31</v>
      </c>
      <c r="F288" s="1">
        <v>2518.66</v>
      </c>
      <c r="G288" s="1" t="s">
        <v>231</v>
      </c>
      <c r="H288" s="2">
        <v>32047</v>
      </c>
      <c r="I288" s="2">
        <v>45468</v>
      </c>
      <c r="J288" s="1">
        <v>37.5</v>
      </c>
      <c r="K288" s="4">
        <f t="shared" si="14"/>
        <v>944.49749999999995</v>
      </c>
      <c r="L288" s="4">
        <f t="shared" si="15"/>
        <v>1574.1624999999999</v>
      </c>
    </row>
    <row r="289" spans="1:12" x14ac:dyDescent="0.3">
      <c r="A289" s="1">
        <v>1287</v>
      </c>
      <c r="B289" s="2">
        <v>44150</v>
      </c>
      <c r="C289" s="1" t="s">
        <v>35</v>
      </c>
      <c r="D289" s="1" t="s">
        <v>15</v>
      </c>
      <c r="E289" s="1" t="s">
        <v>16</v>
      </c>
      <c r="F289" s="1">
        <v>791.54</v>
      </c>
      <c r="G289" s="1" t="s">
        <v>232</v>
      </c>
      <c r="H289" s="2">
        <v>37913</v>
      </c>
      <c r="I289" s="2">
        <v>44160</v>
      </c>
      <c r="J289" s="1">
        <v>1.71</v>
      </c>
      <c r="K289" s="4">
        <f t="shared" si="14"/>
        <v>13.535334000000001</v>
      </c>
      <c r="L289" s="4">
        <f t="shared" si="15"/>
        <v>778.00466599999993</v>
      </c>
    </row>
    <row r="290" spans="1:12" x14ac:dyDescent="0.3">
      <c r="A290" s="1">
        <v>1288</v>
      </c>
      <c r="B290" s="2">
        <v>44486</v>
      </c>
      <c r="C290" s="1" t="s">
        <v>10</v>
      </c>
      <c r="D290" s="1" t="s">
        <v>27</v>
      </c>
      <c r="E290" s="1" t="s">
        <v>28</v>
      </c>
      <c r="F290" s="1">
        <v>2583.3000000000002</v>
      </c>
      <c r="G290" s="1" t="s">
        <v>213</v>
      </c>
      <c r="H290" s="2">
        <v>34345</v>
      </c>
      <c r="I290" s="2">
        <v>44493</v>
      </c>
      <c r="J290" s="1">
        <v>25.43</v>
      </c>
      <c r="K290" s="4">
        <f t="shared" si="14"/>
        <v>656.93318999999997</v>
      </c>
      <c r="L290" s="4">
        <f t="shared" si="15"/>
        <v>1926.3668100000002</v>
      </c>
    </row>
    <row r="291" spans="1:12" x14ac:dyDescent="0.3">
      <c r="A291" s="1">
        <v>1289</v>
      </c>
      <c r="B291" s="2">
        <v>44768</v>
      </c>
      <c r="C291" s="1" t="s">
        <v>21</v>
      </c>
      <c r="D291" s="1" t="s">
        <v>53</v>
      </c>
      <c r="E291" s="1" t="s">
        <v>28</v>
      </c>
      <c r="F291" s="1">
        <v>746.65</v>
      </c>
      <c r="G291" s="1" t="s">
        <v>129</v>
      </c>
      <c r="H291" s="2">
        <v>25933</v>
      </c>
      <c r="I291" s="2">
        <v>44773</v>
      </c>
      <c r="J291" s="1">
        <v>22.2</v>
      </c>
      <c r="K291" s="4">
        <f t="shared" si="14"/>
        <v>165.75630000000001</v>
      </c>
      <c r="L291" s="4">
        <f t="shared" si="15"/>
        <v>580.89369999999997</v>
      </c>
    </row>
    <row r="292" spans="1:12" x14ac:dyDescent="0.3">
      <c r="A292" s="1">
        <v>1290</v>
      </c>
      <c r="B292" s="2">
        <v>44419</v>
      </c>
      <c r="C292" s="1" t="s">
        <v>35</v>
      </c>
      <c r="D292" s="1" t="s">
        <v>58</v>
      </c>
      <c r="E292" s="1" t="s">
        <v>31</v>
      </c>
      <c r="F292" s="1">
        <v>3547.69</v>
      </c>
      <c r="G292" s="1" t="s">
        <v>90</v>
      </c>
      <c r="H292" s="2">
        <v>29348</v>
      </c>
      <c r="I292" s="2">
        <v>44423</v>
      </c>
      <c r="J292" s="1">
        <v>29.29</v>
      </c>
      <c r="K292" s="4">
        <f t="shared" si="14"/>
        <v>1039.1184009999999</v>
      </c>
      <c r="L292" s="4">
        <f t="shared" si="15"/>
        <v>2508.5715989999999</v>
      </c>
    </row>
    <row r="293" spans="1:12" x14ac:dyDescent="0.3">
      <c r="A293" s="1">
        <v>1291</v>
      </c>
      <c r="B293" s="2">
        <v>44229</v>
      </c>
      <c r="C293" s="1" t="s">
        <v>14</v>
      </c>
      <c r="D293" s="1" t="s">
        <v>47</v>
      </c>
      <c r="E293" s="1" t="s">
        <v>12</v>
      </c>
      <c r="F293" s="1">
        <v>3240.37</v>
      </c>
      <c r="G293" s="1" t="s">
        <v>233</v>
      </c>
      <c r="H293" s="2">
        <v>38826</v>
      </c>
      <c r="I293" s="2">
        <v>44235</v>
      </c>
      <c r="J293" s="1">
        <v>27.44</v>
      </c>
      <c r="K293" s="4">
        <f t="shared" si="14"/>
        <v>889.15752800000007</v>
      </c>
      <c r="L293" s="4">
        <f t="shared" si="15"/>
        <v>2351.2124719999997</v>
      </c>
    </row>
    <row r="294" spans="1:12" x14ac:dyDescent="0.3">
      <c r="A294" s="1">
        <v>1292</v>
      </c>
      <c r="B294" s="2">
        <v>45799</v>
      </c>
      <c r="C294" s="1" t="s">
        <v>10</v>
      </c>
      <c r="D294" s="1" t="s">
        <v>69</v>
      </c>
      <c r="E294" s="1" t="s">
        <v>12</v>
      </c>
      <c r="F294" s="1">
        <v>1365.32</v>
      </c>
      <c r="G294" s="1" t="s">
        <v>217</v>
      </c>
      <c r="H294" s="2">
        <v>36951</v>
      </c>
      <c r="I294" s="2">
        <v>45803</v>
      </c>
      <c r="J294" s="1">
        <v>19.55</v>
      </c>
      <c r="K294" s="4">
        <f t="shared" si="14"/>
        <v>266.92005999999998</v>
      </c>
      <c r="L294" s="4">
        <f t="shared" si="15"/>
        <v>1098.39994</v>
      </c>
    </row>
    <row r="295" spans="1:12" x14ac:dyDescent="0.3">
      <c r="A295" s="1">
        <v>1293</v>
      </c>
      <c r="B295" s="2">
        <v>45221</v>
      </c>
      <c r="C295" s="1" t="s">
        <v>14</v>
      </c>
      <c r="D295" s="1" t="s">
        <v>49</v>
      </c>
      <c r="E295" s="1" t="s">
        <v>12</v>
      </c>
      <c r="F295" s="1">
        <v>1475.57</v>
      </c>
      <c r="G295" s="1" t="s">
        <v>178</v>
      </c>
      <c r="H295" s="2">
        <v>23890</v>
      </c>
      <c r="I295" s="2">
        <v>45229</v>
      </c>
      <c r="J295" s="1">
        <v>32.5</v>
      </c>
      <c r="K295" s="4">
        <f t="shared" si="14"/>
        <v>479.56025</v>
      </c>
      <c r="L295" s="4">
        <f t="shared" si="15"/>
        <v>996.00974999999994</v>
      </c>
    </row>
    <row r="296" spans="1:12" x14ac:dyDescent="0.3">
      <c r="A296" s="1">
        <v>1294</v>
      </c>
      <c r="B296" s="2">
        <v>45335</v>
      </c>
      <c r="C296" s="1" t="s">
        <v>14</v>
      </c>
      <c r="D296" s="1" t="s">
        <v>30</v>
      </c>
      <c r="E296" s="1" t="s">
        <v>31</v>
      </c>
      <c r="F296" s="1">
        <v>714.22</v>
      </c>
      <c r="G296" s="1" t="s">
        <v>234</v>
      </c>
      <c r="H296" s="2">
        <v>24368</v>
      </c>
      <c r="I296" s="2">
        <v>45340</v>
      </c>
      <c r="J296" s="1">
        <v>40.56</v>
      </c>
      <c r="K296" s="4">
        <f t="shared" si="14"/>
        <v>289.68763200000001</v>
      </c>
      <c r="L296" s="4">
        <f t="shared" si="15"/>
        <v>424.53236800000002</v>
      </c>
    </row>
    <row r="297" spans="1:12" x14ac:dyDescent="0.3">
      <c r="A297" s="1">
        <v>1295</v>
      </c>
      <c r="B297" s="2">
        <v>45791</v>
      </c>
      <c r="C297" s="1" t="s">
        <v>35</v>
      </c>
      <c r="D297" s="1" t="s">
        <v>11</v>
      </c>
      <c r="E297" s="1" t="s">
        <v>12</v>
      </c>
      <c r="F297" s="1">
        <v>2154.89</v>
      </c>
      <c r="G297" s="1" t="s">
        <v>50</v>
      </c>
      <c r="H297" s="2">
        <v>22594</v>
      </c>
      <c r="I297" s="2">
        <v>45792</v>
      </c>
      <c r="J297" s="1">
        <v>25</v>
      </c>
      <c r="K297" s="4">
        <f t="shared" si="14"/>
        <v>538.72249999999997</v>
      </c>
      <c r="L297" s="4">
        <f t="shared" si="15"/>
        <v>1616.1675</v>
      </c>
    </row>
    <row r="298" spans="1:12" x14ac:dyDescent="0.3">
      <c r="A298" s="1">
        <v>1296</v>
      </c>
      <c r="B298" s="2">
        <v>45625</v>
      </c>
      <c r="C298" s="1" t="s">
        <v>21</v>
      </c>
      <c r="D298" s="1" t="s">
        <v>44</v>
      </c>
      <c r="E298" s="1" t="s">
        <v>16</v>
      </c>
      <c r="F298" s="1">
        <v>4002.12</v>
      </c>
      <c r="G298" s="1" t="s">
        <v>178</v>
      </c>
      <c r="H298" s="2">
        <v>23890</v>
      </c>
      <c r="I298" s="2">
        <v>45633</v>
      </c>
      <c r="J298" s="1">
        <v>46.69</v>
      </c>
      <c r="K298" s="4">
        <f t="shared" si="14"/>
        <v>1868.5898279999999</v>
      </c>
      <c r="L298" s="4">
        <f t="shared" si="15"/>
        <v>2133.5301719999998</v>
      </c>
    </row>
    <row r="299" spans="1:12" x14ac:dyDescent="0.3">
      <c r="A299" s="1">
        <v>1297</v>
      </c>
      <c r="B299" s="2">
        <v>44703</v>
      </c>
      <c r="C299" s="1" t="s">
        <v>26</v>
      </c>
      <c r="D299" s="1" t="s">
        <v>22</v>
      </c>
      <c r="E299" s="1" t="s">
        <v>19</v>
      </c>
      <c r="F299" s="1">
        <v>3838.33</v>
      </c>
      <c r="G299" s="1" t="s">
        <v>210</v>
      </c>
      <c r="H299" s="2">
        <v>27550</v>
      </c>
      <c r="I299" s="2">
        <v>44713</v>
      </c>
      <c r="J299" s="1">
        <v>24.79</v>
      </c>
      <c r="K299" s="4">
        <f t="shared" si="14"/>
        <v>951.52200699999992</v>
      </c>
      <c r="L299" s="4">
        <f t="shared" si="15"/>
        <v>2886.8079929999999</v>
      </c>
    </row>
    <row r="300" spans="1:12" x14ac:dyDescent="0.3">
      <c r="A300" s="1">
        <v>1298</v>
      </c>
      <c r="B300" s="2">
        <v>45461</v>
      </c>
      <c r="C300" s="1" t="s">
        <v>35</v>
      </c>
      <c r="D300" s="1" t="s">
        <v>33</v>
      </c>
      <c r="E300" s="1" t="s">
        <v>16</v>
      </c>
      <c r="F300" s="1">
        <v>828.96</v>
      </c>
      <c r="G300" s="1" t="s">
        <v>235</v>
      </c>
      <c r="H300" s="2">
        <v>36760</v>
      </c>
      <c r="I300" s="2">
        <v>45462</v>
      </c>
      <c r="J300" s="1">
        <v>40.68</v>
      </c>
      <c r="K300" s="4">
        <f t="shared" si="14"/>
        <v>337.22092800000001</v>
      </c>
      <c r="L300" s="4">
        <f t="shared" si="15"/>
        <v>491.73907200000002</v>
      </c>
    </row>
    <row r="301" spans="1:12" x14ac:dyDescent="0.3">
      <c r="A301" s="1">
        <v>1299</v>
      </c>
      <c r="B301" s="2">
        <v>44819</v>
      </c>
      <c r="C301" s="1" t="s">
        <v>10</v>
      </c>
      <c r="D301" s="1" t="s">
        <v>38</v>
      </c>
      <c r="E301" s="1" t="s">
        <v>28</v>
      </c>
      <c r="F301" s="1">
        <v>2757.73</v>
      </c>
      <c r="G301" s="1" t="s">
        <v>152</v>
      </c>
      <c r="H301" s="2">
        <v>24792</v>
      </c>
      <c r="I301" s="2">
        <v>44829</v>
      </c>
      <c r="J301" s="1">
        <v>21.95</v>
      </c>
      <c r="K301" s="4">
        <f t="shared" si="14"/>
        <v>605.32173499999999</v>
      </c>
      <c r="L301" s="4">
        <f t="shared" si="15"/>
        <v>2152.408265</v>
      </c>
    </row>
    <row r="302" spans="1:12" x14ac:dyDescent="0.3">
      <c r="A302" s="1">
        <v>1300</v>
      </c>
      <c r="B302" s="2">
        <v>45780</v>
      </c>
      <c r="C302" s="1" t="s">
        <v>35</v>
      </c>
      <c r="D302" s="1" t="s">
        <v>36</v>
      </c>
      <c r="E302" s="1" t="s">
        <v>28</v>
      </c>
      <c r="F302" s="1">
        <v>4519.3100000000004</v>
      </c>
      <c r="G302" s="1" t="s">
        <v>154</v>
      </c>
      <c r="H302" s="2">
        <v>32146</v>
      </c>
      <c r="I302" s="2">
        <v>45791</v>
      </c>
      <c r="J302" s="1">
        <v>34.9</v>
      </c>
      <c r="K302" s="4">
        <f t="shared" si="14"/>
        <v>1577.23919</v>
      </c>
      <c r="L302" s="4">
        <f t="shared" si="15"/>
        <v>2942.0708100000002</v>
      </c>
    </row>
    <row r="303" spans="1:12" x14ac:dyDescent="0.3">
      <c r="A303" s="1">
        <v>1301</v>
      </c>
      <c r="B303" s="2">
        <v>45060</v>
      </c>
      <c r="C303" s="1" t="s">
        <v>14</v>
      </c>
      <c r="D303" s="1" t="s">
        <v>33</v>
      </c>
      <c r="E303" s="1" t="s">
        <v>16</v>
      </c>
      <c r="F303" s="1">
        <v>2137.69</v>
      </c>
      <c r="G303" s="1" t="s">
        <v>236</v>
      </c>
      <c r="H303" s="2">
        <v>36099</v>
      </c>
      <c r="I303" s="2">
        <v>45074</v>
      </c>
      <c r="J303" s="1">
        <v>25.33</v>
      </c>
      <c r="K303" s="4">
        <f t="shared" si="14"/>
        <v>541.47687699999994</v>
      </c>
      <c r="L303" s="4">
        <f t="shared" si="15"/>
        <v>1596.213123</v>
      </c>
    </row>
    <row r="304" spans="1:12" x14ac:dyDescent="0.3">
      <c r="A304" s="1">
        <v>1302</v>
      </c>
      <c r="B304" s="2">
        <v>44344</v>
      </c>
      <c r="C304" s="1" t="s">
        <v>10</v>
      </c>
      <c r="D304" s="1" t="s">
        <v>73</v>
      </c>
      <c r="E304" s="1" t="s">
        <v>28</v>
      </c>
      <c r="F304" s="1">
        <v>3401.09</v>
      </c>
      <c r="G304" s="1" t="s">
        <v>113</v>
      </c>
      <c r="H304" s="2">
        <v>25579</v>
      </c>
      <c r="I304" s="2">
        <v>44348</v>
      </c>
      <c r="J304" s="1">
        <v>29.35</v>
      </c>
      <c r="K304" s="4">
        <f t="shared" si="14"/>
        <v>998.21991500000013</v>
      </c>
      <c r="L304" s="4">
        <f t="shared" si="15"/>
        <v>2402.870085</v>
      </c>
    </row>
    <row r="305" spans="1:12" x14ac:dyDescent="0.3">
      <c r="A305" s="1">
        <v>1303</v>
      </c>
      <c r="B305" s="2">
        <v>44677</v>
      </c>
      <c r="C305" s="1" t="s">
        <v>26</v>
      </c>
      <c r="D305" s="1" t="s">
        <v>61</v>
      </c>
      <c r="E305" s="1" t="s">
        <v>19</v>
      </c>
      <c r="F305" s="1">
        <v>3673.8</v>
      </c>
      <c r="G305" s="1" t="s">
        <v>25</v>
      </c>
      <c r="H305" s="2">
        <v>33386</v>
      </c>
      <c r="I305" s="2">
        <v>44688</v>
      </c>
      <c r="J305" s="1">
        <v>22.63</v>
      </c>
      <c r="K305" s="4">
        <f t="shared" si="14"/>
        <v>831.38094000000001</v>
      </c>
      <c r="L305" s="4">
        <f t="shared" si="15"/>
        <v>2842.4190600000002</v>
      </c>
    </row>
    <row r="306" spans="1:12" x14ac:dyDescent="0.3">
      <c r="A306" s="1">
        <v>1304</v>
      </c>
      <c r="B306" s="2">
        <v>44833</v>
      </c>
      <c r="C306" s="1" t="s">
        <v>21</v>
      </c>
      <c r="D306" s="1" t="s">
        <v>61</v>
      </c>
      <c r="E306" s="1" t="s">
        <v>19</v>
      </c>
      <c r="F306" s="1">
        <v>3544.31</v>
      </c>
      <c r="G306" s="1" t="s">
        <v>206</v>
      </c>
      <c r="H306" s="2">
        <v>34011</v>
      </c>
      <c r="I306" s="2">
        <v>44844</v>
      </c>
      <c r="J306" s="1">
        <v>26.92</v>
      </c>
      <c r="K306" s="4">
        <f t="shared" si="14"/>
        <v>954.12825199999997</v>
      </c>
      <c r="L306" s="4">
        <f t="shared" si="15"/>
        <v>2590.181748</v>
      </c>
    </row>
    <row r="307" spans="1:12" x14ac:dyDescent="0.3">
      <c r="A307" s="1">
        <v>1305</v>
      </c>
      <c r="B307" s="2">
        <v>45432</v>
      </c>
      <c r="C307" s="1" t="s">
        <v>35</v>
      </c>
      <c r="D307" s="1" t="s">
        <v>58</v>
      </c>
      <c r="E307" s="1" t="s">
        <v>31</v>
      </c>
      <c r="F307" s="1">
        <v>4720.71</v>
      </c>
      <c r="G307" s="1" t="s">
        <v>216</v>
      </c>
      <c r="H307" s="2">
        <v>31419</v>
      </c>
      <c r="I307" s="2">
        <v>45440</v>
      </c>
      <c r="J307" s="1">
        <v>45.5</v>
      </c>
      <c r="K307" s="4">
        <f t="shared" si="14"/>
        <v>2147.9230499999999</v>
      </c>
      <c r="L307" s="4">
        <f t="shared" si="15"/>
        <v>2572.7869500000002</v>
      </c>
    </row>
    <row r="308" spans="1:12" x14ac:dyDescent="0.3">
      <c r="A308" s="1">
        <v>1306</v>
      </c>
      <c r="B308" s="2">
        <v>45432</v>
      </c>
      <c r="C308" s="1" t="s">
        <v>26</v>
      </c>
      <c r="D308" s="1" t="s">
        <v>44</v>
      </c>
      <c r="E308" s="1" t="s">
        <v>16</v>
      </c>
      <c r="F308" s="1">
        <v>680.18</v>
      </c>
      <c r="G308" s="1" t="s">
        <v>124</v>
      </c>
      <c r="H308" s="2">
        <v>30786</v>
      </c>
      <c r="I308" s="2">
        <v>45446</v>
      </c>
      <c r="J308" s="1">
        <v>22.04</v>
      </c>
      <c r="K308" s="4">
        <f t="shared" si="14"/>
        <v>149.91167199999998</v>
      </c>
      <c r="L308" s="4">
        <f t="shared" si="15"/>
        <v>530.268328</v>
      </c>
    </row>
    <row r="309" spans="1:12" x14ac:dyDescent="0.3">
      <c r="A309" s="1">
        <v>1307</v>
      </c>
      <c r="B309" s="2">
        <v>45377</v>
      </c>
      <c r="C309" s="1" t="s">
        <v>26</v>
      </c>
      <c r="D309" s="1" t="s">
        <v>24</v>
      </c>
      <c r="E309" s="1" t="s">
        <v>19</v>
      </c>
      <c r="F309" s="1">
        <v>2670.72</v>
      </c>
      <c r="G309" s="1" t="s">
        <v>234</v>
      </c>
      <c r="H309" s="2">
        <v>24368</v>
      </c>
      <c r="I309" s="2">
        <v>45379</v>
      </c>
      <c r="J309" s="1">
        <v>34.68</v>
      </c>
      <c r="K309" s="4">
        <f t="shared" si="14"/>
        <v>926.20569599999988</v>
      </c>
      <c r="L309" s="4">
        <f t="shared" si="15"/>
        <v>1744.5143039999998</v>
      </c>
    </row>
    <row r="310" spans="1:12" x14ac:dyDescent="0.3">
      <c r="A310" s="1">
        <v>1308</v>
      </c>
      <c r="B310" s="2">
        <v>45111</v>
      </c>
      <c r="C310" s="1" t="s">
        <v>21</v>
      </c>
      <c r="D310" s="1" t="s">
        <v>30</v>
      </c>
      <c r="E310" s="1" t="s">
        <v>31</v>
      </c>
      <c r="F310" s="1">
        <v>4912.82</v>
      </c>
      <c r="G310" s="1" t="s">
        <v>158</v>
      </c>
      <c r="H310" s="2">
        <v>34871</v>
      </c>
      <c r="I310" s="2">
        <v>45123</v>
      </c>
      <c r="J310" s="1">
        <v>43.1</v>
      </c>
      <c r="K310" s="4">
        <f t="shared" si="14"/>
        <v>2117.42542</v>
      </c>
      <c r="L310" s="4">
        <f t="shared" si="15"/>
        <v>2795.3945799999997</v>
      </c>
    </row>
    <row r="311" spans="1:12" x14ac:dyDescent="0.3">
      <c r="A311" s="1">
        <v>1309</v>
      </c>
      <c r="B311" s="2">
        <v>44701</v>
      </c>
      <c r="C311" s="1" t="s">
        <v>10</v>
      </c>
      <c r="D311" s="1" t="s">
        <v>61</v>
      </c>
      <c r="E311" s="1" t="s">
        <v>19</v>
      </c>
      <c r="F311" s="1">
        <v>2214.5700000000002</v>
      </c>
      <c r="G311" s="1" t="s">
        <v>237</v>
      </c>
      <c r="H311" s="2">
        <v>27455</v>
      </c>
      <c r="I311" s="2">
        <v>44713</v>
      </c>
      <c r="J311" s="1">
        <v>13.3</v>
      </c>
      <c r="K311" s="4">
        <f t="shared" si="14"/>
        <v>294.53781000000004</v>
      </c>
      <c r="L311" s="4">
        <f t="shared" si="15"/>
        <v>1920.0321900000001</v>
      </c>
    </row>
    <row r="312" spans="1:12" x14ac:dyDescent="0.3">
      <c r="A312" s="1">
        <v>1310</v>
      </c>
      <c r="B312" s="2">
        <v>44991</v>
      </c>
      <c r="C312" s="1" t="s">
        <v>21</v>
      </c>
      <c r="D312" s="1" t="s">
        <v>88</v>
      </c>
      <c r="E312" s="1" t="s">
        <v>16</v>
      </c>
      <c r="F312" s="1">
        <v>2682.47</v>
      </c>
      <c r="G312" s="1" t="s">
        <v>233</v>
      </c>
      <c r="H312" s="2">
        <v>38826</v>
      </c>
      <c r="I312" s="2">
        <v>45003</v>
      </c>
      <c r="J312" s="1">
        <v>26.43</v>
      </c>
      <c r="K312" s="4">
        <f t="shared" si="14"/>
        <v>708.97682099999986</v>
      </c>
      <c r="L312" s="4">
        <f t="shared" si="15"/>
        <v>1973.4931790000001</v>
      </c>
    </row>
    <row r="313" spans="1:12" x14ac:dyDescent="0.3">
      <c r="A313" s="1">
        <v>1311</v>
      </c>
      <c r="B313" s="2">
        <v>45832</v>
      </c>
      <c r="C313" s="1" t="s">
        <v>10</v>
      </c>
      <c r="D313" s="1" t="s">
        <v>36</v>
      </c>
      <c r="E313" s="1" t="s">
        <v>28</v>
      </c>
      <c r="F313" s="1">
        <v>1078.81</v>
      </c>
      <c r="G313" s="1" t="s">
        <v>238</v>
      </c>
      <c r="H313" s="2">
        <v>31880</v>
      </c>
      <c r="I313" s="2">
        <v>45840</v>
      </c>
      <c r="J313" s="1">
        <v>28.29</v>
      </c>
      <c r="K313" s="4">
        <f t="shared" si="14"/>
        <v>305.19534899999996</v>
      </c>
      <c r="L313" s="4">
        <f t="shared" si="15"/>
        <v>773.61465099999998</v>
      </c>
    </row>
    <row r="314" spans="1:12" x14ac:dyDescent="0.3">
      <c r="A314" s="1">
        <v>1312</v>
      </c>
      <c r="B314" s="2">
        <v>45641</v>
      </c>
      <c r="C314" s="1" t="s">
        <v>21</v>
      </c>
      <c r="D314" s="1" t="s">
        <v>61</v>
      </c>
      <c r="E314" s="1" t="s">
        <v>19</v>
      </c>
      <c r="F314" s="1">
        <v>764.47</v>
      </c>
      <c r="G314" s="1" t="s">
        <v>239</v>
      </c>
      <c r="H314" s="2">
        <v>38442</v>
      </c>
      <c r="I314" s="2">
        <v>45643</v>
      </c>
      <c r="J314" s="1">
        <v>30.02</v>
      </c>
      <c r="K314" s="4">
        <f t="shared" si="14"/>
        <v>229.49389400000001</v>
      </c>
      <c r="L314" s="4">
        <f t="shared" si="15"/>
        <v>534.97610600000007</v>
      </c>
    </row>
    <row r="315" spans="1:12" x14ac:dyDescent="0.3">
      <c r="A315" s="1">
        <v>1313</v>
      </c>
      <c r="B315" s="2">
        <v>45745</v>
      </c>
      <c r="C315" s="1" t="s">
        <v>14</v>
      </c>
      <c r="D315" s="1" t="s">
        <v>15</v>
      </c>
      <c r="E315" s="1" t="s">
        <v>16</v>
      </c>
      <c r="F315" s="1">
        <v>725.6</v>
      </c>
      <c r="G315" s="1" t="s">
        <v>240</v>
      </c>
      <c r="H315" s="2">
        <v>38478</v>
      </c>
      <c r="I315" s="2">
        <v>45758</v>
      </c>
      <c r="J315" s="1">
        <v>6.26</v>
      </c>
      <c r="K315" s="4">
        <f t="shared" si="14"/>
        <v>45.422560000000004</v>
      </c>
      <c r="L315" s="4">
        <f t="shared" si="15"/>
        <v>680.17744000000005</v>
      </c>
    </row>
    <row r="316" spans="1:12" x14ac:dyDescent="0.3">
      <c r="A316" s="1">
        <v>1314</v>
      </c>
      <c r="B316" s="2">
        <v>44171</v>
      </c>
      <c r="C316" s="1" t="s">
        <v>26</v>
      </c>
      <c r="D316" s="1" t="s">
        <v>30</v>
      </c>
      <c r="E316" s="1" t="s">
        <v>31</v>
      </c>
      <c r="F316" s="1">
        <v>333.41</v>
      </c>
      <c r="G316" s="1" t="s">
        <v>241</v>
      </c>
      <c r="H316" s="2">
        <v>31880</v>
      </c>
      <c r="I316" s="2">
        <v>44182</v>
      </c>
      <c r="J316" s="1">
        <v>46.12</v>
      </c>
      <c r="K316" s="4">
        <f t="shared" si="14"/>
        <v>153.76869200000002</v>
      </c>
      <c r="L316" s="4">
        <f t="shared" si="15"/>
        <v>179.64130800000001</v>
      </c>
    </row>
    <row r="317" spans="1:12" x14ac:dyDescent="0.3">
      <c r="A317" s="1">
        <v>1315</v>
      </c>
      <c r="B317" s="2">
        <v>44342</v>
      </c>
      <c r="C317" s="1" t="s">
        <v>35</v>
      </c>
      <c r="D317" s="1" t="s">
        <v>49</v>
      </c>
      <c r="E317" s="1" t="s">
        <v>12</v>
      </c>
      <c r="F317" s="1">
        <v>3736.44</v>
      </c>
      <c r="G317" s="1" t="s">
        <v>210</v>
      </c>
      <c r="H317" s="2">
        <v>27550</v>
      </c>
      <c r="I317" s="2">
        <v>44356</v>
      </c>
      <c r="J317" s="1">
        <v>46.46</v>
      </c>
      <c r="K317" s="4">
        <f t="shared" si="14"/>
        <v>1735.950024</v>
      </c>
      <c r="L317" s="4">
        <f t="shared" si="15"/>
        <v>2000.4899760000001</v>
      </c>
    </row>
    <row r="318" spans="1:12" x14ac:dyDescent="0.3">
      <c r="A318" s="1">
        <v>1316</v>
      </c>
      <c r="B318" s="2">
        <v>44804</v>
      </c>
      <c r="C318" s="1" t="s">
        <v>10</v>
      </c>
      <c r="D318" s="1" t="s">
        <v>88</v>
      </c>
      <c r="E318" s="1" t="s">
        <v>16</v>
      </c>
      <c r="F318" s="1">
        <v>130.38</v>
      </c>
      <c r="G318" s="1" t="s">
        <v>215</v>
      </c>
      <c r="H318" s="2">
        <v>31386</v>
      </c>
      <c r="I318" s="2">
        <v>44814</v>
      </c>
      <c r="J318" s="1">
        <v>23.3</v>
      </c>
      <c r="K318" s="4">
        <f t="shared" si="14"/>
        <v>30.378540000000001</v>
      </c>
      <c r="L318" s="4">
        <f t="shared" si="15"/>
        <v>100.00145999999999</v>
      </c>
    </row>
    <row r="319" spans="1:12" x14ac:dyDescent="0.3">
      <c r="A319" s="1">
        <v>1317</v>
      </c>
      <c r="B319" s="2">
        <v>44407</v>
      </c>
      <c r="C319" s="1" t="s">
        <v>26</v>
      </c>
      <c r="D319" s="1" t="s">
        <v>15</v>
      </c>
      <c r="E319" s="1" t="s">
        <v>16</v>
      </c>
      <c r="F319" s="1">
        <v>4105.88</v>
      </c>
      <c r="G319" s="1" t="s">
        <v>118</v>
      </c>
      <c r="H319" s="2">
        <v>22599</v>
      </c>
      <c r="I319" s="2">
        <v>44414</v>
      </c>
      <c r="J319" s="1">
        <v>36.520000000000003</v>
      </c>
      <c r="K319" s="4">
        <f t="shared" si="14"/>
        <v>1499.4673760000001</v>
      </c>
      <c r="L319" s="4">
        <f t="shared" si="15"/>
        <v>2606.4126240000001</v>
      </c>
    </row>
    <row r="320" spans="1:12" x14ac:dyDescent="0.3">
      <c r="A320" s="1">
        <v>1318</v>
      </c>
      <c r="B320" s="2">
        <v>44888</v>
      </c>
      <c r="C320" s="1" t="s">
        <v>10</v>
      </c>
      <c r="D320" s="1" t="s">
        <v>69</v>
      </c>
      <c r="E320" s="1" t="s">
        <v>12</v>
      </c>
      <c r="F320" s="1">
        <v>1085.3800000000001</v>
      </c>
      <c r="G320" s="1" t="s">
        <v>242</v>
      </c>
      <c r="H320" s="2">
        <v>21785</v>
      </c>
      <c r="I320" s="2">
        <v>44891</v>
      </c>
      <c r="J320" s="1">
        <v>47.43</v>
      </c>
      <c r="K320" s="4">
        <f t="shared" si="14"/>
        <v>514.79573400000004</v>
      </c>
      <c r="L320" s="4">
        <f t="shared" si="15"/>
        <v>570.58426600000007</v>
      </c>
    </row>
    <row r="321" spans="1:12" x14ac:dyDescent="0.3">
      <c r="A321" s="1">
        <v>1319</v>
      </c>
      <c r="B321" s="2">
        <v>44922</v>
      </c>
      <c r="C321" s="1" t="s">
        <v>26</v>
      </c>
      <c r="D321" s="1" t="s">
        <v>24</v>
      </c>
      <c r="E321" s="1" t="s">
        <v>19</v>
      </c>
      <c r="F321" s="1">
        <v>3444.87</v>
      </c>
      <c r="G321" s="1" t="s">
        <v>243</v>
      </c>
      <c r="H321" s="2">
        <v>29103</v>
      </c>
      <c r="I321" s="2">
        <v>44930</v>
      </c>
      <c r="J321" s="1">
        <v>19.559999999999999</v>
      </c>
      <c r="K321" s="4">
        <f t="shared" si="14"/>
        <v>673.81657199999995</v>
      </c>
      <c r="L321" s="4">
        <f t="shared" si="15"/>
        <v>2771.0534280000002</v>
      </c>
    </row>
    <row r="322" spans="1:12" x14ac:dyDescent="0.3">
      <c r="A322" s="1">
        <v>1320</v>
      </c>
      <c r="B322" s="2">
        <v>44290</v>
      </c>
      <c r="C322" s="1" t="s">
        <v>21</v>
      </c>
      <c r="D322" s="1" t="s">
        <v>47</v>
      </c>
      <c r="E322" s="1" t="s">
        <v>12</v>
      </c>
      <c r="F322" s="1">
        <v>2972.21</v>
      </c>
      <c r="G322" s="1" t="s">
        <v>23</v>
      </c>
      <c r="H322" s="2">
        <v>38378</v>
      </c>
      <c r="I322" s="2">
        <v>44304</v>
      </c>
      <c r="J322" s="1">
        <v>22.8</v>
      </c>
      <c r="K322" s="4">
        <f t="shared" si="14"/>
        <v>677.66388000000006</v>
      </c>
      <c r="L322" s="4">
        <f t="shared" si="15"/>
        <v>2294.54612</v>
      </c>
    </row>
    <row r="323" spans="1:12" x14ac:dyDescent="0.3">
      <c r="A323" s="1">
        <v>1321</v>
      </c>
      <c r="B323" s="2">
        <v>44915</v>
      </c>
      <c r="C323" s="1" t="s">
        <v>21</v>
      </c>
      <c r="D323" s="1" t="s">
        <v>53</v>
      </c>
      <c r="E323" s="1" t="s">
        <v>28</v>
      </c>
      <c r="F323" s="1">
        <v>4855.2</v>
      </c>
      <c r="G323" s="1" t="s">
        <v>37</v>
      </c>
      <c r="H323" s="2">
        <v>27534</v>
      </c>
      <c r="I323" s="2">
        <v>44921</v>
      </c>
      <c r="J323" s="1">
        <v>48.03</v>
      </c>
      <c r="K323" s="4">
        <f t="shared" ref="K323:K386" si="16">F323*J323%</f>
        <v>2331.9525599999997</v>
      </c>
      <c r="L323" s="4">
        <f t="shared" ref="L323:L386" si="17">F323-K323</f>
        <v>2523.2474400000001</v>
      </c>
    </row>
    <row r="324" spans="1:12" x14ac:dyDescent="0.3">
      <c r="A324" s="1">
        <v>1322</v>
      </c>
      <c r="B324" s="2">
        <v>44138</v>
      </c>
      <c r="C324" s="1" t="s">
        <v>35</v>
      </c>
      <c r="D324" s="1" t="s">
        <v>53</v>
      </c>
      <c r="E324" s="1" t="s">
        <v>28</v>
      </c>
      <c r="F324" s="1">
        <v>4450.13</v>
      </c>
      <c r="G324" s="1" t="s">
        <v>198</v>
      </c>
      <c r="H324" s="2">
        <v>31598</v>
      </c>
      <c r="I324" s="2">
        <v>44151</v>
      </c>
      <c r="J324" s="1">
        <v>5.77</v>
      </c>
      <c r="K324" s="4">
        <f t="shared" si="16"/>
        <v>256.77250099999998</v>
      </c>
      <c r="L324" s="4">
        <f t="shared" si="17"/>
        <v>4193.3574989999997</v>
      </c>
    </row>
    <row r="325" spans="1:12" x14ac:dyDescent="0.3">
      <c r="A325" s="1">
        <v>1323</v>
      </c>
      <c r="B325" s="2">
        <v>45155</v>
      </c>
      <c r="C325" s="1" t="s">
        <v>14</v>
      </c>
      <c r="D325" s="1" t="s">
        <v>69</v>
      </c>
      <c r="E325" s="1" t="s">
        <v>31</v>
      </c>
      <c r="F325" s="1">
        <v>4766.46</v>
      </c>
      <c r="G325" s="1" t="s">
        <v>225</v>
      </c>
      <c r="H325" s="2">
        <v>27641</v>
      </c>
      <c r="I325" s="2">
        <v>45160</v>
      </c>
      <c r="J325" s="1">
        <v>45.05</v>
      </c>
      <c r="K325" s="4">
        <f t="shared" si="16"/>
        <v>2147.2902299999996</v>
      </c>
      <c r="L325" s="4">
        <f t="shared" si="17"/>
        <v>2619.1697700000004</v>
      </c>
    </row>
    <row r="326" spans="1:12" x14ac:dyDescent="0.3">
      <c r="A326" s="1">
        <v>1324</v>
      </c>
      <c r="B326" s="2">
        <v>45150</v>
      </c>
      <c r="C326" s="1" t="s">
        <v>21</v>
      </c>
      <c r="D326" s="1" t="s">
        <v>38</v>
      </c>
      <c r="E326" s="1" t="s">
        <v>28</v>
      </c>
      <c r="F326" s="1">
        <v>4884.1400000000003</v>
      </c>
      <c r="G326" s="1" t="s">
        <v>23</v>
      </c>
      <c r="H326" s="2">
        <v>38378</v>
      </c>
      <c r="I326" s="2">
        <v>45152</v>
      </c>
      <c r="J326" s="1">
        <v>28.02</v>
      </c>
      <c r="K326" s="4">
        <f t="shared" si="16"/>
        <v>1368.5360280000002</v>
      </c>
      <c r="L326" s="4">
        <f t="shared" si="17"/>
        <v>3515.6039719999999</v>
      </c>
    </row>
    <row r="327" spans="1:12" x14ac:dyDescent="0.3">
      <c r="A327" s="1">
        <v>1325</v>
      </c>
      <c r="B327" s="2">
        <v>44396</v>
      </c>
      <c r="C327" s="1" t="s">
        <v>10</v>
      </c>
      <c r="D327" s="1" t="s">
        <v>53</v>
      </c>
      <c r="E327" s="1" t="s">
        <v>28</v>
      </c>
      <c r="F327" s="1">
        <v>3607.16</v>
      </c>
      <c r="G327" s="1" t="s">
        <v>244</v>
      </c>
      <c r="H327" s="2">
        <v>30356</v>
      </c>
      <c r="I327" s="2">
        <v>44405</v>
      </c>
      <c r="J327" s="1">
        <v>3.14</v>
      </c>
      <c r="K327" s="4">
        <f t="shared" si="16"/>
        <v>113.264824</v>
      </c>
      <c r="L327" s="4">
        <f t="shared" si="17"/>
        <v>3493.895176</v>
      </c>
    </row>
    <row r="328" spans="1:12" x14ac:dyDescent="0.3">
      <c r="A328" s="1">
        <v>1326</v>
      </c>
      <c r="B328" s="2">
        <v>45277</v>
      </c>
      <c r="C328" s="1" t="s">
        <v>26</v>
      </c>
      <c r="D328" s="1" t="s">
        <v>65</v>
      </c>
      <c r="E328" s="1" t="s">
        <v>19</v>
      </c>
      <c r="F328" s="1">
        <v>3914.34</v>
      </c>
      <c r="G328" s="1" t="s">
        <v>119</v>
      </c>
      <c r="H328" s="2">
        <v>34954</v>
      </c>
      <c r="I328" s="2">
        <v>45289</v>
      </c>
      <c r="J328" s="1">
        <v>8.6999999999999993</v>
      </c>
      <c r="K328" s="4">
        <f t="shared" si="16"/>
        <v>340.54757999999998</v>
      </c>
      <c r="L328" s="4">
        <f t="shared" si="17"/>
        <v>3573.7924200000002</v>
      </c>
    </row>
    <row r="329" spans="1:12" x14ac:dyDescent="0.3">
      <c r="A329" s="1">
        <v>1327</v>
      </c>
      <c r="B329" s="2">
        <v>45274</v>
      </c>
      <c r="C329" s="1" t="s">
        <v>35</v>
      </c>
      <c r="D329" s="1" t="s">
        <v>38</v>
      </c>
      <c r="E329" s="1" t="s">
        <v>28</v>
      </c>
      <c r="F329" s="1">
        <v>407.98</v>
      </c>
      <c r="G329" s="1" t="s">
        <v>129</v>
      </c>
      <c r="H329" s="2">
        <v>25933</v>
      </c>
      <c r="I329" s="2">
        <v>45279</v>
      </c>
      <c r="J329" s="1">
        <v>31.88</v>
      </c>
      <c r="K329" s="4">
        <f t="shared" si="16"/>
        <v>130.06402399999999</v>
      </c>
      <c r="L329" s="4">
        <f t="shared" si="17"/>
        <v>277.915976</v>
      </c>
    </row>
    <row r="330" spans="1:12" x14ac:dyDescent="0.3">
      <c r="A330" s="1">
        <v>1328</v>
      </c>
      <c r="B330" s="2">
        <v>44336</v>
      </c>
      <c r="C330" s="1" t="s">
        <v>26</v>
      </c>
      <c r="D330" s="1" t="s">
        <v>53</v>
      </c>
      <c r="E330" s="1" t="s">
        <v>28</v>
      </c>
      <c r="F330" s="1">
        <v>2855.49</v>
      </c>
      <c r="G330" s="1" t="s">
        <v>52</v>
      </c>
      <c r="H330" s="2">
        <v>30154</v>
      </c>
      <c r="I330" s="2">
        <v>44344</v>
      </c>
      <c r="J330" s="1">
        <v>38.840000000000003</v>
      </c>
      <c r="K330" s="4">
        <f t="shared" si="16"/>
        <v>1109.072316</v>
      </c>
      <c r="L330" s="4">
        <f t="shared" si="17"/>
        <v>1746.4176839999998</v>
      </c>
    </row>
    <row r="331" spans="1:12" x14ac:dyDescent="0.3">
      <c r="A331" s="1">
        <v>1329</v>
      </c>
      <c r="B331" s="2">
        <v>44234</v>
      </c>
      <c r="C331" s="1" t="s">
        <v>14</v>
      </c>
      <c r="D331" s="1" t="s">
        <v>69</v>
      </c>
      <c r="E331" s="1" t="s">
        <v>12</v>
      </c>
      <c r="F331" s="1">
        <v>2244.02</v>
      </c>
      <c r="G331" s="1" t="s">
        <v>105</v>
      </c>
      <c r="H331" s="2">
        <v>35889</v>
      </c>
      <c r="I331" s="2">
        <v>44237</v>
      </c>
      <c r="J331" s="1">
        <v>47.16</v>
      </c>
      <c r="K331" s="4">
        <f t="shared" si="16"/>
        <v>1058.2798319999999</v>
      </c>
      <c r="L331" s="4">
        <f t="shared" si="17"/>
        <v>1185.740168</v>
      </c>
    </row>
    <row r="332" spans="1:12" x14ac:dyDescent="0.3">
      <c r="A332" s="1">
        <v>1330</v>
      </c>
      <c r="B332" s="2">
        <v>45550</v>
      </c>
      <c r="C332" s="1" t="s">
        <v>26</v>
      </c>
      <c r="D332" s="1" t="s">
        <v>49</v>
      </c>
      <c r="E332" s="1" t="s">
        <v>12</v>
      </c>
      <c r="F332" s="1">
        <v>729.8</v>
      </c>
      <c r="G332" s="1" t="s">
        <v>242</v>
      </c>
      <c r="H332" s="2">
        <v>21785</v>
      </c>
      <c r="I332" s="2">
        <v>45564</v>
      </c>
      <c r="J332" s="1">
        <v>29.73</v>
      </c>
      <c r="K332" s="4">
        <f t="shared" si="16"/>
        <v>216.96953999999999</v>
      </c>
      <c r="L332" s="4">
        <f t="shared" si="17"/>
        <v>512.8304599999999</v>
      </c>
    </row>
    <row r="333" spans="1:12" x14ac:dyDescent="0.3">
      <c r="A333" s="1">
        <v>1331</v>
      </c>
      <c r="B333" s="2">
        <v>44685</v>
      </c>
      <c r="C333" s="1" t="s">
        <v>35</v>
      </c>
      <c r="D333" s="1" t="s">
        <v>73</v>
      </c>
      <c r="E333" s="1" t="s">
        <v>28</v>
      </c>
      <c r="F333" s="1">
        <v>942.65</v>
      </c>
      <c r="G333" s="1" t="s">
        <v>217</v>
      </c>
      <c r="H333" s="2">
        <v>36951</v>
      </c>
      <c r="I333" s="2">
        <v>44699</v>
      </c>
      <c r="J333" s="1">
        <v>6.77</v>
      </c>
      <c r="K333" s="4">
        <f t="shared" si="16"/>
        <v>63.817404999999994</v>
      </c>
      <c r="L333" s="4">
        <f t="shared" si="17"/>
        <v>878.83259499999997</v>
      </c>
    </row>
    <row r="334" spans="1:12" x14ac:dyDescent="0.3">
      <c r="A334" s="1">
        <v>1332</v>
      </c>
      <c r="B334" s="2">
        <v>44895</v>
      </c>
      <c r="C334" s="1" t="s">
        <v>35</v>
      </c>
      <c r="D334" s="1" t="s">
        <v>44</v>
      </c>
      <c r="E334" s="1" t="s">
        <v>16</v>
      </c>
      <c r="F334" s="1">
        <v>424.02</v>
      </c>
      <c r="G334" s="1" t="s">
        <v>231</v>
      </c>
      <c r="H334" s="2">
        <v>32047</v>
      </c>
      <c r="I334" s="2">
        <v>44899</v>
      </c>
      <c r="J334" s="1">
        <v>9.5</v>
      </c>
      <c r="K334" s="4">
        <f t="shared" si="16"/>
        <v>40.2819</v>
      </c>
      <c r="L334" s="4">
        <f t="shared" si="17"/>
        <v>383.73809999999997</v>
      </c>
    </row>
    <row r="335" spans="1:12" x14ac:dyDescent="0.3">
      <c r="A335" s="1">
        <v>1333</v>
      </c>
      <c r="B335" s="2">
        <v>44309</v>
      </c>
      <c r="C335" s="1" t="s">
        <v>10</v>
      </c>
      <c r="D335" s="1" t="s">
        <v>18</v>
      </c>
      <c r="E335" s="1" t="s">
        <v>19</v>
      </c>
      <c r="F335" s="1">
        <v>244.84</v>
      </c>
      <c r="G335" s="1" t="s">
        <v>220</v>
      </c>
      <c r="H335" s="2">
        <v>30755</v>
      </c>
      <c r="I335" s="2">
        <v>44316</v>
      </c>
      <c r="J335" s="1">
        <v>1.56</v>
      </c>
      <c r="K335" s="4">
        <f t="shared" si="16"/>
        <v>3.8195040000000002</v>
      </c>
      <c r="L335" s="4">
        <f t="shared" si="17"/>
        <v>241.02049600000001</v>
      </c>
    </row>
    <row r="336" spans="1:12" x14ac:dyDescent="0.3">
      <c r="A336" s="1">
        <v>1334</v>
      </c>
      <c r="B336" s="2">
        <v>45592</v>
      </c>
      <c r="C336" s="1" t="s">
        <v>35</v>
      </c>
      <c r="D336" s="1" t="s">
        <v>47</v>
      </c>
      <c r="E336" s="1" t="s">
        <v>12</v>
      </c>
      <c r="F336" s="1">
        <v>3700.28</v>
      </c>
      <c r="G336" s="1" t="s">
        <v>34</v>
      </c>
      <c r="H336" s="2">
        <v>25232</v>
      </c>
      <c r="I336" s="2">
        <v>45595</v>
      </c>
      <c r="J336" s="1">
        <v>26.68</v>
      </c>
      <c r="K336" s="4">
        <f t="shared" si="16"/>
        <v>987.23470399999997</v>
      </c>
      <c r="L336" s="4">
        <f t="shared" si="17"/>
        <v>2713.0452960000002</v>
      </c>
    </row>
    <row r="337" spans="1:12" x14ac:dyDescent="0.3">
      <c r="A337" s="1">
        <v>1335</v>
      </c>
      <c r="B337" s="2">
        <v>44847</v>
      </c>
      <c r="C337" s="1" t="s">
        <v>14</v>
      </c>
      <c r="D337" s="1" t="s">
        <v>38</v>
      </c>
      <c r="E337" s="1" t="s">
        <v>28</v>
      </c>
      <c r="F337" s="1">
        <v>1052.02</v>
      </c>
      <c r="G337" s="1" t="s">
        <v>138</v>
      </c>
      <c r="H337" s="2">
        <v>25948</v>
      </c>
      <c r="I337" s="2">
        <v>44853</v>
      </c>
      <c r="J337" s="1">
        <v>14.14</v>
      </c>
      <c r="K337" s="4">
        <f t="shared" si="16"/>
        <v>148.755628</v>
      </c>
      <c r="L337" s="4">
        <f t="shared" si="17"/>
        <v>903.26437199999998</v>
      </c>
    </row>
    <row r="338" spans="1:12" x14ac:dyDescent="0.3">
      <c r="A338" s="1">
        <v>1336</v>
      </c>
      <c r="B338" s="2">
        <v>44315</v>
      </c>
      <c r="C338" s="1" t="s">
        <v>26</v>
      </c>
      <c r="D338" s="1" t="s">
        <v>36</v>
      </c>
      <c r="E338" s="1" t="s">
        <v>28</v>
      </c>
      <c r="F338" s="1">
        <v>1662.88</v>
      </c>
      <c r="G338" s="1" t="s">
        <v>209</v>
      </c>
      <c r="H338" s="2">
        <v>28522</v>
      </c>
      <c r="I338" s="2">
        <v>44317</v>
      </c>
      <c r="J338" s="1">
        <v>21.09</v>
      </c>
      <c r="K338" s="4">
        <f t="shared" si="16"/>
        <v>350.70139200000006</v>
      </c>
      <c r="L338" s="4">
        <f t="shared" si="17"/>
        <v>1312.1786080000002</v>
      </c>
    </row>
    <row r="339" spans="1:12" x14ac:dyDescent="0.3">
      <c r="A339" s="1">
        <v>1337</v>
      </c>
      <c r="B339" s="2">
        <v>44275</v>
      </c>
      <c r="C339" s="1" t="s">
        <v>21</v>
      </c>
      <c r="D339" s="1" t="s">
        <v>49</v>
      </c>
      <c r="E339" s="1" t="s">
        <v>12</v>
      </c>
      <c r="F339" s="1">
        <v>1024.96</v>
      </c>
      <c r="G339" s="1" t="s">
        <v>105</v>
      </c>
      <c r="H339" s="2">
        <v>35889</v>
      </c>
      <c r="I339" s="2">
        <v>44288</v>
      </c>
      <c r="J339" s="1">
        <v>49.68</v>
      </c>
      <c r="K339" s="4">
        <f t="shared" si="16"/>
        <v>509.20012800000006</v>
      </c>
      <c r="L339" s="4">
        <f t="shared" si="17"/>
        <v>515.75987199999997</v>
      </c>
    </row>
    <row r="340" spans="1:12" x14ac:dyDescent="0.3">
      <c r="A340" s="1">
        <v>1338</v>
      </c>
      <c r="B340" s="2">
        <v>45729</v>
      </c>
      <c r="C340" s="1" t="s">
        <v>10</v>
      </c>
      <c r="D340" s="1" t="s">
        <v>22</v>
      </c>
      <c r="E340" s="1" t="s">
        <v>19</v>
      </c>
      <c r="F340" s="1">
        <v>2900.29</v>
      </c>
      <c r="G340" s="1" t="s">
        <v>234</v>
      </c>
      <c r="H340" s="2">
        <v>24368</v>
      </c>
      <c r="I340" s="2">
        <v>45739</v>
      </c>
      <c r="J340" s="1">
        <v>39.72</v>
      </c>
      <c r="K340" s="4">
        <f t="shared" si="16"/>
        <v>1151.9951879999999</v>
      </c>
      <c r="L340" s="4">
        <f t="shared" si="17"/>
        <v>1748.2948120000001</v>
      </c>
    </row>
    <row r="341" spans="1:12" x14ac:dyDescent="0.3">
      <c r="A341" s="1">
        <v>1339</v>
      </c>
      <c r="B341" s="2">
        <v>45567</v>
      </c>
      <c r="C341" s="1" t="s">
        <v>10</v>
      </c>
      <c r="D341" s="1" t="s">
        <v>73</v>
      </c>
      <c r="E341" s="1" t="s">
        <v>28</v>
      </c>
      <c r="F341" s="1">
        <v>3000.01</v>
      </c>
      <c r="G341" s="1" t="s">
        <v>244</v>
      </c>
      <c r="H341" s="2">
        <v>30356</v>
      </c>
      <c r="I341" s="2">
        <v>45578</v>
      </c>
      <c r="J341" s="1">
        <v>41.02</v>
      </c>
      <c r="K341" s="4">
        <f t="shared" si="16"/>
        <v>1230.604102</v>
      </c>
      <c r="L341" s="4">
        <f t="shared" si="17"/>
        <v>1769.4058980000002</v>
      </c>
    </row>
    <row r="342" spans="1:12" x14ac:dyDescent="0.3">
      <c r="A342" s="1">
        <v>1340</v>
      </c>
      <c r="B342" s="2">
        <v>44612</v>
      </c>
      <c r="C342" s="1" t="s">
        <v>14</v>
      </c>
      <c r="D342" s="1" t="s">
        <v>33</v>
      </c>
      <c r="E342" s="1" t="s">
        <v>16</v>
      </c>
      <c r="F342" s="1">
        <v>3840.17</v>
      </c>
      <c r="G342" s="1" t="s">
        <v>245</v>
      </c>
      <c r="H342" s="2">
        <v>32205</v>
      </c>
      <c r="I342" s="2">
        <v>44622</v>
      </c>
      <c r="J342" s="1">
        <v>29.9</v>
      </c>
      <c r="K342" s="4">
        <f t="shared" si="16"/>
        <v>1148.21083</v>
      </c>
      <c r="L342" s="4">
        <f t="shared" si="17"/>
        <v>2691.9591700000001</v>
      </c>
    </row>
    <row r="343" spans="1:12" x14ac:dyDescent="0.3">
      <c r="A343" s="1">
        <v>1341</v>
      </c>
      <c r="B343" s="2">
        <v>45522</v>
      </c>
      <c r="C343" s="1" t="s">
        <v>26</v>
      </c>
      <c r="D343" s="1" t="s">
        <v>38</v>
      </c>
      <c r="E343" s="1" t="s">
        <v>28</v>
      </c>
      <c r="F343" s="1">
        <v>1977.54</v>
      </c>
      <c r="G343" s="1" t="s">
        <v>111</v>
      </c>
      <c r="H343" s="2">
        <v>34704</v>
      </c>
      <c r="I343" s="2">
        <v>45535</v>
      </c>
      <c r="J343" s="1">
        <v>36.68</v>
      </c>
      <c r="K343" s="4">
        <f t="shared" si="16"/>
        <v>725.361672</v>
      </c>
      <c r="L343" s="4">
        <f t="shared" si="17"/>
        <v>1252.178328</v>
      </c>
    </row>
    <row r="344" spans="1:12" x14ac:dyDescent="0.3">
      <c r="A344" s="1">
        <v>1342</v>
      </c>
      <c r="B344" s="2">
        <v>45804</v>
      </c>
      <c r="C344" s="1" t="s">
        <v>35</v>
      </c>
      <c r="D344" s="1" t="s">
        <v>58</v>
      </c>
      <c r="E344" s="1" t="s">
        <v>31</v>
      </c>
      <c r="F344" s="1">
        <v>1543.72</v>
      </c>
      <c r="G344" s="1" t="s">
        <v>246</v>
      </c>
      <c r="H344" s="2">
        <v>25815</v>
      </c>
      <c r="I344" s="2">
        <v>45812</v>
      </c>
      <c r="J344" s="1">
        <v>38.58</v>
      </c>
      <c r="K344" s="4">
        <f t="shared" si="16"/>
        <v>595.56717600000002</v>
      </c>
      <c r="L344" s="4">
        <f t="shared" si="17"/>
        <v>948.15282400000001</v>
      </c>
    </row>
    <row r="345" spans="1:12" x14ac:dyDescent="0.3">
      <c r="A345" s="1">
        <v>1343</v>
      </c>
      <c r="B345" s="2">
        <v>44168</v>
      </c>
      <c r="C345" s="1" t="s">
        <v>14</v>
      </c>
      <c r="D345" s="1" t="s">
        <v>65</v>
      </c>
      <c r="E345" s="1" t="s">
        <v>19</v>
      </c>
      <c r="F345" s="1">
        <v>252.14</v>
      </c>
      <c r="G345" s="1" t="s">
        <v>199</v>
      </c>
      <c r="H345" s="2">
        <v>25341</v>
      </c>
      <c r="I345" s="2">
        <v>44173</v>
      </c>
      <c r="J345" s="1">
        <v>27.23</v>
      </c>
      <c r="K345" s="4">
        <f t="shared" si="16"/>
        <v>68.657721999999993</v>
      </c>
      <c r="L345" s="4">
        <f t="shared" si="17"/>
        <v>183.48227800000001</v>
      </c>
    </row>
    <row r="346" spans="1:12" x14ac:dyDescent="0.3">
      <c r="A346" s="1">
        <v>1344</v>
      </c>
      <c r="B346" s="2">
        <v>44979</v>
      </c>
      <c r="C346" s="1" t="s">
        <v>26</v>
      </c>
      <c r="D346" s="1" t="s">
        <v>73</v>
      </c>
      <c r="E346" s="1" t="s">
        <v>28</v>
      </c>
      <c r="F346" s="1">
        <v>628.79</v>
      </c>
      <c r="G346" s="1" t="s">
        <v>75</v>
      </c>
      <c r="H346" s="2">
        <v>25853</v>
      </c>
      <c r="I346" s="2">
        <v>44985</v>
      </c>
      <c r="J346" s="1">
        <v>0.26</v>
      </c>
      <c r="K346" s="4">
        <f t="shared" si="16"/>
        <v>1.6348539999999998</v>
      </c>
      <c r="L346" s="4">
        <f t="shared" si="17"/>
        <v>627.15514599999995</v>
      </c>
    </row>
    <row r="347" spans="1:12" x14ac:dyDescent="0.3">
      <c r="A347" s="1">
        <v>1345</v>
      </c>
      <c r="B347" s="2">
        <v>44608</v>
      </c>
      <c r="C347" s="1" t="s">
        <v>21</v>
      </c>
      <c r="D347" s="1" t="s">
        <v>102</v>
      </c>
      <c r="E347" s="1" t="s">
        <v>12</v>
      </c>
      <c r="F347" s="1">
        <v>3013.18</v>
      </c>
      <c r="G347" s="1" t="s">
        <v>170</v>
      </c>
      <c r="H347" s="2">
        <v>34205</v>
      </c>
      <c r="I347" s="2">
        <v>44616</v>
      </c>
      <c r="J347" s="1">
        <v>30.1</v>
      </c>
      <c r="K347" s="4">
        <f t="shared" si="16"/>
        <v>906.96717999999987</v>
      </c>
      <c r="L347" s="4">
        <f t="shared" si="17"/>
        <v>2106.2128199999997</v>
      </c>
    </row>
    <row r="348" spans="1:12" x14ac:dyDescent="0.3">
      <c r="A348" s="1">
        <v>1346</v>
      </c>
      <c r="B348" s="2">
        <v>44107</v>
      </c>
      <c r="C348" s="1" t="s">
        <v>26</v>
      </c>
      <c r="D348" s="1" t="s">
        <v>47</v>
      </c>
      <c r="E348" s="1" t="s">
        <v>12</v>
      </c>
      <c r="F348" s="1">
        <v>2617.19</v>
      </c>
      <c r="G348" s="1" t="s">
        <v>94</v>
      </c>
      <c r="H348" s="2">
        <v>25516</v>
      </c>
      <c r="I348" s="2">
        <v>44110</v>
      </c>
      <c r="J348" s="1">
        <v>16.489999999999998</v>
      </c>
      <c r="K348" s="4">
        <f t="shared" si="16"/>
        <v>431.57463100000001</v>
      </c>
      <c r="L348" s="4">
        <f t="shared" si="17"/>
        <v>2185.6153690000001</v>
      </c>
    </row>
    <row r="349" spans="1:12" x14ac:dyDescent="0.3">
      <c r="A349" s="1">
        <v>1347</v>
      </c>
      <c r="B349" s="2">
        <v>45525</v>
      </c>
      <c r="C349" s="1" t="s">
        <v>26</v>
      </c>
      <c r="D349" s="1" t="s">
        <v>24</v>
      </c>
      <c r="E349" s="1" t="s">
        <v>19</v>
      </c>
      <c r="F349" s="1">
        <v>4991.8599999999997</v>
      </c>
      <c r="G349" s="1" t="s">
        <v>153</v>
      </c>
      <c r="H349" s="2">
        <v>36216</v>
      </c>
      <c r="I349" s="2">
        <v>45527</v>
      </c>
      <c r="J349" s="1">
        <v>21.77</v>
      </c>
      <c r="K349" s="4">
        <f t="shared" si="16"/>
        <v>1086.727922</v>
      </c>
      <c r="L349" s="4">
        <f t="shared" si="17"/>
        <v>3905.1320779999996</v>
      </c>
    </row>
    <row r="350" spans="1:12" x14ac:dyDescent="0.3">
      <c r="A350" s="1">
        <v>1348</v>
      </c>
      <c r="B350" s="2">
        <v>45264</v>
      </c>
      <c r="C350" s="1" t="s">
        <v>10</v>
      </c>
      <c r="D350" s="1" t="s">
        <v>55</v>
      </c>
      <c r="E350" s="1" t="s">
        <v>31</v>
      </c>
      <c r="F350" s="1">
        <v>2795.27</v>
      </c>
      <c r="G350" s="1" t="s">
        <v>238</v>
      </c>
      <c r="H350" s="2">
        <v>31880</v>
      </c>
      <c r="I350" s="2">
        <v>45278</v>
      </c>
      <c r="J350" s="1">
        <v>43.19</v>
      </c>
      <c r="K350" s="4">
        <f t="shared" si="16"/>
        <v>1207.2771129999999</v>
      </c>
      <c r="L350" s="4">
        <f t="shared" si="17"/>
        <v>1587.9928870000001</v>
      </c>
    </row>
    <row r="351" spans="1:12" x14ac:dyDescent="0.3">
      <c r="A351" s="1">
        <v>1349</v>
      </c>
      <c r="B351" s="2">
        <v>44754</v>
      </c>
      <c r="C351" s="1" t="s">
        <v>21</v>
      </c>
      <c r="D351" s="1" t="s">
        <v>49</v>
      </c>
      <c r="E351" s="1" t="s">
        <v>12</v>
      </c>
      <c r="F351" s="1">
        <v>488.93</v>
      </c>
      <c r="G351" s="1" t="s">
        <v>56</v>
      </c>
      <c r="H351" s="2">
        <v>25712</v>
      </c>
      <c r="I351" s="2">
        <v>44764</v>
      </c>
      <c r="J351" s="1">
        <v>42.37</v>
      </c>
      <c r="K351" s="4">
        <f t="shared" si="16"/>
        <v>207.15964099999999</v>
      </c>
      <c r="L351" s="4">
        <f t="shared" si="17"/>
        <v>281.77035899999998</v>
      </c>
    </row>
    <row r="352" spans="1:12" x14ac:dyDescent="0.3">
      <c r="A352" s="1">
        <v>1350</v>
      </c>
      <c r="B352" s="2">
        <v>45834</v>
      </c>
      <c r="C352" s="1" t="s">
        <v>14</v>
      </c>
      <c r="D352" s="1" t="s">
        <v>69</v>
      </c>
      <c r="E352" s="1" t="s">
        <v>12</v>
      </c>
      <c r="F352" s="1">
        <v>1668.13</v>
      </c>
      <c r="G352" s="1" t="s">
        <v>234</v>
      </c>
      <c r="H352" s="2">
        <v>24368</v>
      </c>
      <c r="I352" s="2">
        <v>45845</v>
      </c>
      <c r="J352" s="1">
        <v>2.87</v>
      </c>
      <c r="K352" s="4">
        <f t="shared" si="16"/>
        <v>47.875331000000003</v>
      </c>
      <c r="L352" s="4">
        <f t="shared" si="17"/>
        <v>1620.2546690000001</v>
      </c>
    </row>
    <row r="353" spans="1:12" x14ac:dyDescent="0.3">
      <c r="A353" s="1">
        <v>1351</v>
      </c>
      <c r="B353" s="2">
        <v>45729</v>
      </c>
      <c r="C353" s="1" t="s">
        <v>14</v>
      </c>
      <c r="D353" s="1" t="s">
        <v>33</v>
      </c>
      <c r="E353" s="1" t="s">
        <v>16</v>
      </c>
      <c r="F353" s="1">
        <v>4136.7</v>
      </c>
      <c r="G353" s="1" t="s">
        <v>247</v>
      </c>
      <c r="H353" s="2">
        <v>23735</v>
      </c>
      <c r="I353" s="2">
        <v>45732</v>
      </c>
      <c r="J353" s="1">
        <v>23.42</v>
      </c>
      <c r="K353" s="4">
        <f t="shared" si="16"/>
        <v>968.81514000000004</v>
      </c>
      <c r="L353" s="4">
        <f t="shared" si="17"/>
        <v>3167.8848599999997</v>
      </c>
    </row>
    <row r="354" spans="1:12" x14ac:dyDescent="0.3">
      <c r="A354" s="1">
        <v>1352</v>
      </c>
      <c r="B354" s="2">
        <v>45140</v>
      </c>
      <c r="C354" s="1" t="s">
        <v>10</v>
      </c>
      <c r="D354" s="1" t="s">
        <v>58</v>
      </c>
      <c r="E354" s="1" t="s">
        <v>31</v>
      </c>
      <c r="F354" s="1">
        <v>4005.07</v>
      </c>
      <c r="G354" s="1" t="s">
        <v>248</v>
      </c>
      <c r="H354" s="2">
        <v>32685</v>
      </c>
      <c r="I354" s="2">
        <v>45143</v>
      </c>
      <c r="J354" s="1">
        <v>41.83</v>
      </c>
      <c r="K354" s="4">
        <f t="shared" si="16"/>
        <v>1675.3207810000001</v>
      </c>
      <c r="L354" s="4">
        <f t="shared" si="17"/>
        <v>2329.7492190000003</v>
      </c>
    </row>
    <row r="355" spans="1:12" x14ac:dyDescent="0.3">
      <c r="A355" s="1">
        <v>1353</v>
      </c>
      <c r="B355" s="2">
        <v>44589</v>
      </c>
      <c r="C355" s="1" t="s">
        <v>21</v>
      </c>
      <c r="D355" s="1" t="s">
        <v>30</v>
      </c>
      <c r="E355" s="1" t="s">
        <v>31</v>
      </c>
      <c r="F355" s="1">
        <v>350.39</v>
      </c>
      <c r="G355" s="1" t="s">
        <v>37</v>
      </c>
      <c r="H355" s="2">
        <v>27534</v>
      </c>
      <c r="I355" s="2">
        <v>44591</v>
      </c>
      <c r="J355" s="1">
        <v>33.08</v>
      </c>
      <c r="K355" s="4">
        <f t="shared" si="16"/>
        <v>115.90901199999999</v>
      </c>
      <c r="L355" s="4">
        <f t="shared" si="17"/>
        <v>234.480988</v>
      </c>
    </row>
    <row r="356" spans="1:12" x14ac:dyDescent="0.3">
      <c r="A356" s="1">
        <v>1354</v>
      </c>
      <c r="B356" s="2">
        <v>44391</v>
      </c>
      <c r="C356" s="1" t="s">
        <v>14</v>
      </c>
      <c r="D356" s="1" t="s">
        <v>55</v>
      </c>
      <c r="E356" s="1" t="s">
        <v>31</v>
      </c>
      <c r="F356" s="1">
        <v>4025.33</v>
      </c>
      <c r="G356" s="1" t="s">
        <v>161</v>
      </c>
      <c r="H356" s="2">
        <v>29386</v>
      </c>
      <c r="I356" s="2">
        <v>44403</v>
      </c>
      <c r="J356" s="1">
        <v>18.64</v>
      </c>
      <c r="K356" s="4">
        <f t="shared" si="16"/>
        <v>750.32151199999998</v>
      </c>
      <c r="L356" s="4">
        <f t="shared" si="17"/>
        <v>3275.0084879999999</v>
      </c>
    </row>
    <row r="357" spans="1:12" x14ac:dyDescent="0.3">
      <c r="A357" s="1">
        <v>1355</v>
      </c>
      <c r="B357" s="2">
        <v>44701</v>
      </c>
      <c r="C357" s="1" t="s">
        <v>26</v>
      </c>
      <c r="D357" s="1" t="s">
        <v>49</v>
      </c>
      <c r="E357" s="1" t="s">
        <v>12</v>
      </c>
      <c r="F357" s="1">
        <v>1665.27</v>
      </c>
      <c r="G357" s="1" t="s">
        <v>229</v>
      </c>
      <c r="H357" s="2">
        <v>37783</v>
      </c>
      <c r="I357" s="2">
        <v>44713</v>
      </c>
      <c r="J357" s="1">
        <v>34.700000000000003</v>
      </c>
      <c r="K357" s="4">
        <f t="shared" si="16"/>
        <v>577.84869000000003</v>
      </c>
      <c r="L357" s="4">
        <f t="shared" si="17"/>
        <v>1087.4213099999999</v>
      </c>
    </row>
    <row r="358" spans="1:12" x14ac:dyDescent="0.3">
      <c r="A358" s="1">
        <v>1356</v>
      </c>
      <c r="B358" s="2">
        <v>44231</v>
      </c>
      <c r="C358" s="1" t="s">
        <v>14</v>
      </c>
      <c r="D358" s="1" t="s">
        <v>15</v>
      </c>
      <c r="E358" s="1" t="s">
        <v>16</v>
      </c>
      <c r="F358" s="1">
        <v>3294.52</v>
      </c>
      <c r="G358" s="1" t="s">
        <v>249</v>
      </c>
      <c r="H358" s="2">
        <v>28555</v>
      </c>
      <c r="I358" s="2">
        <v>44243</v>
      </c>
      <c r="J358" s="1">
        <v>5.31</v>
      </c>
      <c r="K358" s="4">
        <f t="shared" si="16"/>
        <v>174.93901199999999</v>
      </c>
      <c r="L358" s="4">
        <f t="shared" si="17"/>
        <v>3119.5809880000002</v>
      </c>
    </row>
    <row r="359" spans="1:12" x14ac:dyDescent="0.3">
      <c r="A359" s="1">
        <v>1357</v>
      </c>
      <c r="B359" s="2">
        <v>44525</v>
      </c>
      <c r="C359" s="1" t="s">
        <v>10</v>
      </c>
      <c r="D359" s="1" t="s">
        <v>15</v>
      </c>
      <c r="E359" s="1" t="s">
        <v>16</v>
      </c>
      <c r="F359" s="1">
        <v>3300.32</v>
      </c>
      <c r="G359" s="1" t="s">
        <v>54</v>
      </c>
      <c r="H359" s="2">
        <v>31082</v>
      </c>
      <c r="I359" s="2">
        <v>44534</v>
      </c>
      <c r="J359" s="1">
        <v>29.45</v>
      </c>
      <c r="K359" s="4">
        <f t="shared" si="16"/>
        <v>971.94424000000004</v>
      </c>
      <c r="L359" s="4">
        <f t="shared" si="17"/>
        <v>2328.3757599999999</v>
      </c>
    </row>
    <row r="360" spans="1:12" x14ac:dyDescent="0.3">
      <c r="A360" s="1">
        <v>1358</v>
      </c>
      <c r="B360" s="2">
        <v>44747</v>
      </c>
      <c r="C360" s="1" t="s">
        <v>21</v>
      </c>
      <c r="D360" s="1" t="s">
        <v>44</v>
      </c>
      <c r="E360" s="1" t="s">
        <v>16</v>
      </c>
      <c r="F360" s="1">
        <v>958.82</v>
      </c>
      <c r="G360" s="1" t="s">
        <v>92</v>
      </c>
      <c r="H360" s="2">
        <v>24544</v>
      </c>
      <c r="I360" s="2">
        <v>44754</v>
      </c>
      <c r="J360" s="1">
        <v>17.29</v>
      </c>
      <c r="K360" s="4">
        <f t="shared" si="16"/>
        <v>165.779978</v>
      </c>
      <c r="L360" s="4">
        <f t="shared" si="17"/>
        <v>793.04002200000002</v>
      </c>
    </row>
    <row r="361" spans="1:12" x14ac:dyDescent="0.3">
      <c r="A361" s="1">
        <v>1359</v>
      </c>
      <c r="B361" s="2">
        <v>45276</v>
      </c>
      <c r="C361" s="1" t="s">
        <v>35</v>
      </c>
      <c r="D361" s="1" t="s">
        <v>58</v>
      </c>
      <c r="E361" s="1" t="s">
        <v>31</v>
      </c>
      <c r="F361" s="1">
        <v>3637.29</v>
      </c>
      <c r="G361" s="1" t="s">
        <v>250</v>
      </c>
      <c r="H361" s="2">
        <v>33892</v>
      </c>
      <c r="I361" s="2">
        <v>45282</v>
      </c>
      <c r="J361" s="1">
        <v>41.8</v>
      </c>
      <c r="K361" s="4">
        <f t="shared" si="16"/>
        <v>1520.3872199999998</v>
      </c>
      <c r="L361" s="4">
        <f t="shared" si="17"/>
        <v>2116.9027800000003</v>
      </c>
    </row>
    <row r="362" spans="1:12" x14ac:dyDescent="0.3">
      <c r="A362" s="1">
        <v>1360</v>
      </c>
      <c r="B362" s="2">
        <v>44443</v>
      </c>
      <c r="C362" s="1" t="s">
        <v>21</v>
      </c>
      <c r="D362" s="1" t="s">
        <v>22</v>
      </c>
      <c r="E362" s="1" t="s">
        <v>19</v>
      </c>
      <c r="F362" s="1">
        <v>3902.12</v>
      </c>
      <c r="G362" s="1" t="s">
        <v>45</v>
      </c>
      <c r="H362" s="2">
        <v>34367</v>
      </c>
      <c r="I362" s="2">
        <v>44455</v>
      </c>
      <c r="J362" s="1">
        <v>24.06</v>
      </c>
      <c r="K362" s="4">
        <f t="shared" si="16"/>
        <v>938.85007199999995</v>
      </c>
      <c r="L362" s="4">
        <f t="shared" si="17"/>
        <v>2963.2699279999997</v>
      </c>
    </row>
    <row r="363" spans="1:12" x14ac:dyDescent="0.3">
      <c r="A363" s="1">
        <v>1361</v>
      </c>
      <c r="B363" s="2">
        <v>44141</v>
      </c>
      <c r="C363" s="1" t="s">
        <v>21</v>
      </c>
      <c r="D363" s="1" t="s">
        <v>30</v>
      </c>
      <c r="E363" s="1" t="s">
        <v>31</v>
      </c>
      <c r="F363" s="1">
        <v>140.26</v>
      </c>
      <c r="G363" s="1" t="s">
        <v>145</v>
      </c>
      <c r="H363" s="2">
        <v>23470</v>
      </c>
      <c r="I363" s="2">
        <v>44149</v>
      </c>
      <c r="J363" s="1">
        <v>41.53</v>
      </c>
      <c r="K363" s="4">
        <f t="shared" si="16"/>
        <v>58.249977999999999</v>
      </c>
      <c r="L363" s="4">
        <f t="shared" si="17"/>
        <v>82.010021999999992</v>
      </c>
    </row>
    <row r="364" spans="1:12" x14ac:dyDescent="0.3">
      <c r="A364" s="1">
        <v>1362</v>
      </c>
      <c r="B364" s="2">
        <v>44105</v>
      </c>
      <c r="C364" s="1" t="s">
        <v>35</v>
      </c>
      <c r="D364" s="1" t="s">
        <v>65</v>
      </c>
      <c r="E364" s="1" t="s">
        <v>19</v>
      </c>
      <c r="F364" s="1">
        <v>3442.22</v>
      </c>
      <c r="G364" s="1" t="s">
        <v>206</v>
      </c>
      <c r="H364" s="2">
        <v>34011</v>
      </c>
      <c r="I364" s="2">
        <v>44107</v>
      </c>
      <c r="J364" s="1">
        <v>18.84</v>
      </c>
      <c r="K364" s="4">
        <f t="shared" si="16"/>
        <v>648.51424799999995</v>
      </c>
      <c r="L364" s="4">
        <f t="shared" si="17"/>
        <v>2793.7057519999998</v>
      </c>
    </row>
    <row r="365" spans="1:12" x14ac:dyDescent="0.3">
      <c r="A365" s="1">
        <v>1363</v>
      </c>
      <c r="B365" s="2">
        <v>45148</v>
      </c>
      <c r="C365" s="1" t="s">
        <v>21</v>
      </c>
      <c r="D365" s="1" t="s">
        <v>102</v>
      </c>
      <c r="E365" s="1" t="s">
        <v>12</v>
      </c>
      <c r="F365" s="1">
        <v>688.58</v>
      </c>
      <c r="G365" s="1" t="s">
        <v>117</v>
      </c>
      <c r="H365" s="2">
        <v>23513</v>
      </c>
      <c r="I365" s="2">
        <v>45159</v>
      </c>
      <c r="J365" s="1">
        <v>24.61</v>
      </c>
      <c r="K365" s="4">
        <f t="shared" si="16"/>
        <v>169.45953800000001</v>
      </c>
      <c r="L365" s="4">
        <f t="shared" si="17"/>
        <v>519.12046200000009</v>
      </c>
    </row>
    <row r="366" spans="1:12" x14ac:dyDescent="0.3">
      <c r="A366" s="1">
        <v>1364</v>
      </c>
      <c r="B366" s="2">
        <v>45666</v>
      </c>
      <c r="C366" s="1" t="s">
        <v>26</v>
      </c>
      <c r="D366" s="1" t="s">
        <v>27</v>
      </c>
      <c r="E366" s="1" t="s">
        <v>28</v>
      </c>
      <c r="F366" s="1">
        <v>178.24</v>
      </c>
      <c r="G366" s="1" t="s">
        <v>32</v>
      </c>
      <c r="H366" s="2">
        <v>27166</v>
      </c>
      <c r="I366" s="2">
        <v>45676</v>
      </c>
      <c r="J366" s="1">
        <v>40.270000000000003</v>
      </c>
      <c r="K366" s="4">
        <f t="shared" si="16"/>
        <v>71.777248000000014</v>
      </c>
      <c r="L366" s="4">
        <f t="shared" si="17"/>
        <v>106.46275199999999</v>
      </c>
    </row>
    <row r="367" spans="1:12" x14ac:dyDescent="0.3">
      <c r="A367" s="1">
        <v>1365</v>
      </c>
      <c r="B367" s="2">
        <v>44557</v>
      </c>
      <c r="C367" s="1" t="s">
        <v>14</v>
      </c>
      <c r="D367" s="1" t="s">
        <v>30</v>
      </c>
      <c r="E367" s="1" t="s">
        <v>31</v>
      </c>
      <c r="F367" s="1">
        <v>3989.42</v>
      </c>
      <c r="G367" s="1" t="s">
        <v>56</v>
      </c>
      <c r="H367" s="2">
        <v>25712</v>
      </c>
      <c r="I367" s="2">
        <v>44563</v>
      </c>
      <c r="J367" s="1">
        <v>4.76</v>
      </c>
      <c r="K367" s="4">
        <f t="shared" si="16"/>
        <v>189.89639199999999</v>
      </c>
      <c r="L367" s="4">
        <f t="shared" si="17"/>
        <v>3799.523608</v>
      </c>
    </row>
    <row r="368" spans="1:12" x14ac:dyDescent="0.3">
      <c r="A368" s="1">
        <v>1366</v>
      </c>
      <c r="B368" s="2">
        <v>44384</v>
      </c>
      <c r="C368" s="1" t="s">
        <v>10</v>
      </c>
      <c r="D368" s="1" t="s">
        <v>38</v>
      </c>
      <c r="E368" s="1" t="s">
        <v>28</v>
      </c>
      <c r="F368" s="1">
        <v>3857.76</v>
      </c>
      <c r="G368" s="1" t="s">
        <v>243</v>
      </c>
      <c r="H368" s="2">
        <v>29103</v>
      </c>
      <c r="I368" s="2">
        <v>44392</v>
      </c>
      <c r="J368" s="1">
        <v>14.13</v>
      </c>
      <c r="K368" s="4">
        <f t="shared" si="16"/>
        <v>545.10148800000002</v>
      </c>
      <c r="L368" s="4">
        <f t="shared" si="17"/>
        <v>3312.658512</v>
      </c>
    </row>
    <row r="369" spans="1:12" x14ac:dyDescent="0.3">
      <c r="A369" s="1">
        <v>1367</v>
      </c>
      <c r="B369" s="2">
        <v>44141</v>
      </c>
      <c r="C369" s="1" t="s">
        <v>14</v>
      </c>
      <c r="D369" s="1" t="s">
        <v>24</v>
      </c>
      <c r="E369" s="1" t="s">
        <v>19</v>
      </c>
      <c r="F369" s="1">
        <v>1160.47</v>
      </c>
      <c r="G369" s="1" t="s">
        <v>82</v>
      </c>
      <c r="H369" s="2">
        <v>38879</v>
      </c>
      <c r="I369" s="2">
        <v>44142</v>
      </c>
      <c r="J369" s="1">
        <v>31.35</v>
      </c>
      <c r="K369" s="4">
        <f t="shared" si="16"/>
        <v>363.807345</v>
      </c>
      <c r="L369" s="4">
        <f t="shared" si="17"/>
        <v>796.66265500000009</v>
      </c>
    </row>
    <row r="370" spans="1:12" x14ac:dyDescent="0.3">
      <c r="A370" s="1">
        <v>1368</v>
      </c>
      <c r="B370" s="2">
        <v>44920</v>
      </c>
      <c r="C370" s="1" t="s">
        <v>14</v>
      </c>
      <c r="D370" s="1" t="s">
        <v>18</v>
      </c>
      <c r="E370" s="1" t="s">
        <v>19</v>
      </c>
      <c r="F370" s="1">
        <v>631.92999999999995</v>
      </c>
      <c r="G370" s="1" t="s">
        <v>251</v>
      </c>
      <c r="H370" s="2">
        <v>25440</v>
      </c>
      <c r="I370" s="2">
        <v>44932</v>
      </c>
      <c r="J370" s="1">
        <v>11.71</v>
      </c>
      <c r="K370" s="4">
        <f t="shared" si="16"/>
        <v>73.999003000000002</v>
      </c>
      <c r="L370" s="4">
        <f t="shared" si="17"/>
        <v>557.93099699999993</v>
      </c>
    </row>
    <row r="371" spans="1:12" x14ac:dyDescent="0.3">
      <c r="A371" s="1">
        <v>1369</v>
      </c>
      <c r="B371" s="2">
        <v>45674</v>
      </c>
      <c r="C371" s="1" t="s">
        <v>10</v>
      </c>
      <c r="D371" s="1" t="s">
        <v>53</v>
      </c>
      <c r="E371" s="1" t="s">
        <v>28</v>
      </c>
      <c r="F371" s="1">
        <v>3121.09</v>
      </c>
      <c r="G371" s="1" t="s">
        <v>163</v>
      </c>
      <c r="H371" s="2">
        <v>30364</v>
      </c>
      <c r="I371" s="2">
        <v>45687</v>
      </c>
      <c r="J371" s="1">
        <v>38.82</v>
      </c>
      <c r="K371" s="4">
        <f t="shared" si="16"/>
        <v>1211.6071380000001</v>
      </c>
      <c r="L371" s="4">
        <f t="shared" si="17"/>
        <v>1909.4828620000001</v>
      </c>
    </row>
    <row r="372" spans="1:12" x14ac:dyDescent="0.3">
      <c r="A372" s="1">
        <v>1370</v>
      </c>
      <c r="B372" s="2">
        <v>45702</v>
      </c>
      <c r="C372" s="1" t="s">
        <v>10</v>
      </c>
      <c r="D372" s="1" t="s">
        <v>102</v>
      </c>
      <c r="E372" s="1" t="s">
        <v>12</v>
      </c>
      <c r="F372" s="1">
        <v>2623.27</v>
      </c>
      <c r="G372" s="1" t="s">
        <v>202</v>
      </c>
      <c r="H372" s="2">
        <v>24802</v>
      </c>
      <c r="I372" s="2">
        <v>45707</v>
      </c>
      <c r="J372" s="1">
        <v>29.54</v>
      </c>
      <c r="K372" s="4">
        <f t="shared" si="16"/>
        <v>774.91395799999998</v>
      </c>
      <c r="L372" s="4">
        <f t="shared" si="17"/>
        <v>1848.3560419999999</v>
      </c>
    </row>
    <row r="373" spans="1:12" x14ac:dyDescent="0.3">
      <c r="A373" s="1">
        <v>1371</v>
      </c>
      <c r="B373" s="2">
        <v>45028</v>
      </c>
      <c r="C373" s="1" t="s">
        <v>26</v>
      </c>
      <c r="D373" s="1" t="s">
        <v>55</v>
      </c>
      <c r="E373" s="1" t="s">
        <v>31</v>
      </c>
      <c r="F373" s="1">
        <v>3304.37</v>
      </c>
      <c r="G373" s="1" t="s">
        <v>240</v>
      </c>
      <c r="H373" s="2">
        <v>38478</v>
      </c>
      <c r="I373" s="2">
        <v>45034</v>
      </c>
      <c r="J373" s="1">
        <v>47.9</v>
      </c>
      <c r="K373" s="4">
        <f t="shared" si="16"/>
        <v>1582.79323</v>
      </c>
      <c r="L373" s="4">
        <f t="shared" si="17"/>
        <v>1721.5767699999999</v>
      </c>
    </row>
    <row r="374" spans="1:12" x14ac:dyDescent="0.3">
      <c r="A374" s="1">
        <v>1372</v>
      </c>
      <c r="B374" s="2">
        <v>44691</v>
      </c>
      <c r="C374" s="1" t="s">
        <v>26</v>
      </c>
      <c r="D374" s="1" t="s">
        <v>33</v>
      </c>
      <c r="E374" s="1" t="s">
        <v>16</v>
      </c>
      <c r="F374" s="1">
        <v>4505.3599999999997</v>
      </c>
      <c r="G374" s="1" t="s">
        <v>252</v>
      </c>
      <c r="H374" s="2">
        <v>34209</v>
      </c>
      <c r="I374" s="2">
        <v>44700</v>
      </c>
      <c r="J374" s="1">
        <v>34.29</v>
      </c>
      <c r="K374" s="4">
        <f t="shared" si="16"/>
        <v>1544.8879439999998</v>
      </c>
      <c r="L374" s="4">
        <f t="shared" si="17"/>
        <v>2960.4720559999996</v>
      </c>
    </row>
    <row r="375" spans="1:12" x14ac:dyDescent="0.3">
      <c r="A375" s="1">
        <v>1373</v>
      </c>
      <c r="B375" s="2">
        <v>45007</v>
      </c>
      <c r="C375" s="1" t="s">
        <v>26</v>
      </c>
      <c r="D375" s="1" t="s">
        <v>61</v>
      </c>
      <c r="E375" s="1" t="s">
        <v>19</v>
      </c>
      <c r="F375" s="1">
        <v>3528.12</v>
      </c>
      <c r="G375" s="1" t="s">
        <v>146</v>
      </c>
      <c r="H375" s="2">
        <v>24961</v>
      </c>
      <c r="I375" s="2">
        <v>45008</v>
      </c>
      <c r="J375" s="1">
        <v>5.15</v>
      </c>
      <c r="K375" s="4">
        <f t="shared" si="16"/>
        <v>181.69818000000001</v>
      </c>
      <c r="L375" s="4">
        <f t="shared" si="17"/>
        <v>3346.42182</v>
      </c>
    </row>
    <row r="376" spans="1:12" x14ac:dyDescent="0.3">
      <c r="A376" s="1">
        <v>1374</v>
      </c>
      <c r="B376" s="2">
        <v>45791</v>
      </c>
      <c r="C376" s="1" t="s">
        <v>35</v>
      </c>
      <c r="D376" s="1" t="s">
        <v>55</v>
      </c>
      <c r="E376" s="1" t="s">
        <v>31</v>
      </c>
      <c r="F376" s="1">
        <v>3418.14</v>
      </c>
      <c r="G376" s="1" t="s">
        <v>253</v>
      </c>
      <c r="H376" s="2">
        <v>27131</v>
      </c>
      <c r="I376" s="2">
        <v>45795</v>
      </c>
      <c r="J376" s="1">
        <v>14.35</v>
      </c>
      <c r="K376" s="4">
        <f t="shared" si="16"/>
        <v>490.50308999999993</v>
      </c>
      <c r="L376" s="4">
        <f t="shared" si="17"/>
        <v>2927.6369100000002</v>
      </c>
    </row>
    <row r="377" spans="1:12" x14ac:dyDescent="0.3">
      <c r="A377" s="1">
        <v>1375</v>
      </c>
      <c r="B377" s="2">
        <v>44394</v>
      </c>
      <c r="C377" s="1" t="s">
        <v>35</v>
      </c>
      <c r="D377" s="1" t="s">
        <v>44</v>
      </c>
      <c r="E377" s="1" t="s">
        <v>16</v>
      </c>
      <c r="F377" s="1">
        <v>4990.92</v>
      </c>
      <c r="G377" s="1" t="s">
        <v>179</v>
      </c>
      <c r="H377" s="2">
        <v>30356</v>
      </c>
      <c r="I377" s="2">
        <v>44395</v>
      </c>
      <c r="J377" s="1">
        <v>38.31</v>
      </c>
      <c r="K377" s="4">
        <f t="shared" si="16"/>
        <v>1912.021452</v>
      </c>
      <c r="L377" s="4">
        <f t="shared" si="17"/>
        <v>3078.8985480000001</v>
      </c>
    </row>
    <row r="378" spans="1:12" x14ac:dyDescent="0.3">
      <c r="A378" s="1">
        <v>1376</v>
      </c>
      <c r="B378" s="2">
        <v>45705</v>
      </c>
      <c r="C378" s="1" t="s">
        <v>10</v>
      </c>
      <c r="D378" s="1" t="s">
        <v>30</v>
      </c>
      <c r="E378" s="1" t="s">
        <v>31</v>
      </c>
      <c r="F378" s="1">
        <v>102.8</v>
      </c>
      <c r="G378" s="1" t="s">
        <v>99</v>
      </c>
      <c r="H378" s="2">
        <v>26397</v>
      </c>
      <c r="I378" s="2">
        <v>45716</v>
      </c>
      <c r="J378" s="1">
        <v>43.1</v>
      </c>
      <c r="K378" s="4">
        <f t="shared" si="16"/>
        <v>44.306799999999996</v>
      </c>
      <c r="L378" s="4">
        <f t="shared" si="17"/>
        <v>58.493200000000002</v>
      </c>
    </row>
    <row r="379" spans="1:12" x14ac:dyDescent="0.3">
      <c r="A379" s="1">
        <v>1377</v>
      </c>
      <c r="B379" s="2">
        <v>44797</v>
      </c>
      <c r="C379" s="1" t="s">
        <v>21</v>
      </c>
      <c r="D379" s="1" t="s">
        <v>71</v>
      </c>
      <c r="E379" s="1" t="s">
        <v>31</v>
      </c>
      <c r="F379" s="1">
        <v>791.47</v>
      </c>
      <c r="G379" s="1" t="s">
        <v>220</v>
      </c>
      <c r="H379" s="2">
        <v>30755</v>
      </c>
      <c r="I379" s="2">
        <v>44800</v>
      </c>
      <c r="J379" s="1">
        <v>32.590000000000003</v>
      </c>
      <c r="K379" s="4">
        <f t="shared" si="16"/>
        <v>257.94007300000004</v>
      </c>
      <c r="L379" s="4">
        <f t="shared" si="17"/>
        <v>533.52992700000004</v>
      </c>
    </row>
    <row r="380" spans="1:12" x14ac:dyDescent="0.3">
      <c r="A380" s="1">
        <v>1378</v>
      </c>
      <c r="B380" s="2">
        <v>44166</v>
      </c>
      <c r="C380" s="1" t="s">
        <v>26</v>
      </c>
      <c r="D380" s="1" t="s">
        <v>47</v>
      </c>
      <c r="E380" s="1" t="s">
        <v>12</v>
      </c>
      <c r="F380" s="1">
        <v>2713.64</v>
      </c>
      <c r="G380" s="1" t="s">
        <v>254</v>
      </c>
      <c r="H380" s="2">
        <v>29366</v>
      </c>
      <c r="I380" s="2">
        <v>44179</v>
      </c>
      <c r="J380" s="1">
        <v>30.32</v>
      </c>
      <c r="K380" s="4">
        <f t="shared" si="16"/>
        <v>822.77564800000005</v>
      </c>
      <c r="L380" s="4">
        <f t="shared" si="17"/>
        <v>1890.8643519999998</v>
      </c>
    </row>
    <row r="381" spans="1:12" x14ac:dyDescent="0.3">
      <c r="A381" s="1">
        <v>1379</v>
      </c>
      <c r="B381" s="2">
        <v>44358</v>
      </c>
      <c r="C381" s="1" t="s">
        <v>26</v>
      </c>
      <c r="D381" s="1" t="s">
        <v>69</v>
      </c>
      <c r="E381" s="1" t="s">
        <v>31</v>
      </c>
      <c r="F381" s="1">
        <v>3215.09</v>
      </c>
      <c r="G381" s="1" t="s">
        <v>255</v>
      </c>
      <c r="H381" s="2">
        <v>22646</v>
      </c>
      <c r="I381" s="2">
        <v>44368</v>
      </c>
      <c r="J381" s="1">
        <v>1.58</v>
      </c>
      <c r="K381" s="4">
        <f t="shared" si="16"/>
        <v>50.798422000000009</v>
      </c>
      <c r="L381" s="4">
        <f t="shared" si="17"/>
        <v>3164.2915780000003</v>
      </c>
    </row>
    <row r="382" spans="1:12" x14ac:dyDescent="0.3">
      <c r="A382" s="1">
        <v>1380</v>
      </c>
      <c r="B382" s="2">
        <v>44767</v>
      </c>
      <c r="C382" s="1" t="s">
        <v>26</v>
      </c>
      <c r="D382" s="1" t="s">
        <v>65</v>
      </c>
      <c r="E382" s="1" t="s">
        <v>19</v>
      </c>
      <c r="F382" s="1">
        <v>2690.03</v>
      </c>
      <c r="G382" s="1" t="s">
        <v>199</v>
      </c>
      <c r="H382" s="2">
        <v>25341</v>
      </c>
      <c r="I382" s="2">
        <v>44776</v>
      </c>
      <c r="J382" s="1">
        <v>33.44</v>
      </c>
      <c r="K382" s="4">
        <f t="shared" si="16"/>
        <v>899.54603199999997</v>
      </c>
      <c r="L382" s="4">
        <f t="shared" si="17"/>
        <v>1790.4839680000002</v>
      </c>
    </row>
    <row r="383" spans="1:12" x14ac:dyDescent="0.3">
      <c r="A383" s="1">
        <v>1381</v>
      </c>
      <c r="B383" s="2">
        <v>45262</v>
      </c>
      <c r="C383" s="1" t="s">
        <v>21</v>
      </c>
      <c r="D383" s="1" t="s">
        <v>44</v>
      </c>
      <c r="E383" s="1" t="s">
        <v>16</v>
      </c>
      <c r="F383" s="1">
        <v>673.16</v>
      </c>
      <c r="G383" s="1" t="s">
        <v>159</v>
      </c>
      <c r="H383" s="2">
        <v>38194</v>
      </c>
      <c r="I383" s="2">
        <v>45268</v>
      </c>
      <c r="J383" s="1">
        <v>42.27</v>
      </c>
      <c r="K383" s="4">
        <f t="shared" si="16"/>
        <v>284.54473200000001</v>
      </c>
      <c r="L383" s="4">
        <f t="shared" si="17"/>
        <v>388.61526799999996</v>
      </c>
    </row>
    <row r="384" spans="1:12" x14ac:dyDescent="0.3">
      <c r="A384" s="1">
        <v>1382</v>
      </c>
      <c r="B384" s="2">
        <v>45737</v>
      </c>
      <c r="C384" s="1" t="s">
        <v>35</v>
      </c>
      <c r="D384" s="1" t="s">
        <v>58</v>
      </c>
      <c r="E384" s="1" t="s">
        <v>31</v>
      </c>
      <c r="F384" s="1">
        <v>889.97</v>
      </c>
      <c r="G384" s="1" t="s">
        <v>245</v>
      </c>
      <c r="H384" s="2">
        <v>32205</v>
      </c>
      <c r="I384" s="2">
        <v>45749</v>
      </c>
      <c r="J384" s="1">
        <v>3.54</v>
      </c>
      <c r="K384" s="4">
        <f t="shared" si="16"/>
        <v>31.504938000000003</v>
      </c>
      <c r="L384" s="4">
        <f t="shared" si="17"/>
        <v>858.46506199999999</v>
      </c>
    </row>
    <row r="385" spans="1:12" x14ac:dyDescent="0.3">
      <c r="A385" s="1">
        <v>1383</v>
      </c>
      <c r="B385" s="2">
        <v>44672</v>
      </c>
      <c r="C385" s="1" t="s">
        <v>21</v>
      </c>
      <c r="D385" s="1" t="s">
        <v>65</v>
      </c>
      <c r="E385" s="1" t="s">
        <v>19</v>
      </c>
      <c r="F385" s="1">
        <v>1416.62</v>
      </c>
      <c r="G385" s="1" t="s">
        <v>56</v>
      </c>
      <c r="H385" s="2">
        <v>25712</v>
      </c>
      <c r="I385" s="2">
        <v>44673</v>
      </c>
      <c r="J385" s="1">
        <v>33.68</v>
      </c>
      <c r="K385" s="4">
        <f t="shared" si="16"/>
        <v>477.11761599999994</v>
      </c>
      <c r="L385" s="4">
        <f t="shared" si="17"/>
        <v>939.50238399999989</v>
      </c>
    </row>
    <row r="386" spans="1:12" x14ac:dyDescent="0.3">
      <c r="A386" s="1">
        <v>1384</v>
      </c>
      <c r="B386" s="2">
        <v>45185</v>
      </c>
      <c r="C386" s="1" t="s">
        <v>35</v>
      </c>
      <c r="D386" s="1" t="s">
        <v>38</v>
      </c>
      <c r="E386" s="1" t="s">
        <v>28</v>
      </c>
      <c r="F386" s="1">
        <v>699.51</v>
      </c>
      <c r="G386" s="1" t="s">
        <v>74</v>
      </c>
      <c r="H386" s="2">
        <v>31224</v>
      </c>
      <c r="I386" s="2">
        <v>45198</v>
      </c>
      <c r="J386" s="1">
        <v>6.44</v>
      </c>
      <c r="K386" s="4">
        <f t="shared" si="16"/>
        <v>45.048443999999996</v>
      </c>
      <c r="L386" s="4">
        <f t="shared" si="17"/>
        <v>654.46155599999997</v>
      </c>
    </row>
    <row r="387" spans="1:12" x14ac:dyDescent="0.3">
      <c r="A387" s="1">
        <v>1385</v>
      </c>
      <c r="B387" s="2">
        <v>44680</v>
      </c>
      <c r="C387" s="1" t="s">
        <v>26</v>
      </c>
      <c r="D387" s="1" t="s">
        <v>22</v>
      </c>
      <c r="E387" s="1" t="s">
        <v>19</v>
      </c>
      <c r="F387" s="1">
        <v>720.99</v>
      </c>
      <c r="G387" s="1" t="s">
        <v>96</v>
      </c>
      <c r="H387" s="2">
        <v>36236</v>
      </c>
      <c r="I387" s="2">
        <v>44694</v>
      </c>
      <c r="J387" s="1">
        <v>24</v>
      </c>
      <c r="K387" s="4">
        <f t="shared" ref="K387:K450" si="18">F387*J387%</f>
        <v>173.0376</v>
      </c>
      <c r="L387" s="4">
        <f t="shared" ref="L387:L450" si="19">F387-K387</f>
        <v>547.95240000000001</v>
      </c>
    </row>
    <row r="388" spans="1:12" x14ac:dyDescent="0.3">
      <c r="A388" s="1">
        <v>1386</v>
      </c>
      <c r="B388" s="2">
        <v>44786</v>
      </c>
      <c r="C388" s="1" t="s">
        <v>21</v>
      </c>
      <c r="D388" s="1" t="s">
        <v>61</v>
      </c>
      <c r="E388" s="1" t="s">
        <v>19</v>
      </c>
      <c r="F388" s="1">
        <v>1559.47</v>
      </c>
      <c r="G388" s="1" t="s">
        <v>32</v>
      </c>
      <c r="H388" s="2">
        <v>27166</v>
      </c>
      <c r="I388" s="2">
        <v>44787</v>
      </c>
      <c r="J388" s="1">
        <v>21.2</v>
      </c>
      <c r="K388" s="4">
        <f t="shared" si="18"/>
        <v>330.60764</v>
      </c>
      <c r="L388" s="4">
        <f t="shared" si="19"/>
        <v>1228.8623600000001</v>
      </c>
    </row>
    <row r="389" spans="1:12" x14ac:dyDescent="0.3">
      <c r="A389" s="1">
        <v>1387</v>
      </c>
      <c r="B389" s="2">
        <v>45862</v>
      </c>
      <c r="C389" s="1" t="s">
        <v>35</v>
      </c>
      <c r="D389" s="1" t="s">
        <v>22</v>
      </c>
      <c r="E389" s="1" t="s">
        <v>19</v>
      </c>
      <c r="F389" s="1">
        <v>3501.39</v>
      </c>
      <c r="G389" s="1" t="s">
        <v>70</v>
      </c>
      <c r="H389" s="2">
        <v>30887</v>
      </c>
      <c r="I389" s="2">
        <v>45867</v>
      </c>
      <c r="J389" s="1">
        <v>45.42</v>
      </c>
      <c r="K389" s="4">
        <f t="shared" si="18"/>
        <v>1590.331338</v>
      </c>
      <c r="L389" s="4">
        <f t="shared" si="19"/>
        <v>1911.0586619999999</v>
      </c>
    </row>
    <row r="390" spans="1:12" x14ac:dyDescent="0.3">
      <c r="A390" s="1">
        <v>1388</v>
      </c>
      <c r="B390" s="2">
        <v>45395</v>
      </c>
      <c r="C390" s="1" t="s">
        <v>21</v>
      </c>
      <c r="D390" s="1" t="s">
        <v>27</v>
      </c>
      <c r="E390" s="1" t="s">
        <v>28</v>
      </c>
      <c r="F390" s="1">
        <v>3118.17</v>
      </c>
      <c r="G390" s="1" t="s">
        <v>130</v>
      </c>
      <c r="H390" s="2">
        <v>38750</v>
      </c>
      <c r="I390" s="2">
        <v>45404</v>
      </c>
      <c r="J390" s="1">
        <v>8.19</v>
      </c>
      <c r="K390" s="4">
        <f t="shared" si="18"/>
        <v>255.37812300000002</v>
      </c>
      <c r="L390" s="4">
        <f t="shared" si="19"/>
        <v>2862.7918770000001</v>
      </c>
    </row>
    <row r="391" spans="1:12" x14ac:dyDescent="0.3">
      <c r="A391" s="1">
        <v>1389</v>
      </c>
      <c r="B391" s="2">
        <v>45137</v>
      </c>
      <c r="C391" s="1" t="s">
        <v>10</v>
      </c>
      <c r="D391" s="1" t="s">
        <v>73</v>
      </c>
      <c r="E391" s="1" t="s">
        <v>28</v>
      </c>
      <c r="F391" s="1">
        <v>2753.34</v>
      </c>
      <c r="G391" s="1" t="s">
        <v>234</v>
      </c>
      <c r="H391" s="2">
        <v>24368</v>
      </c>
      <c r="I391" s="2">
        <v>45151</v>
      </c>
      <c r="J391" s="1">
        <v>11.08</v>
      </c>
      <c r="K391" s="4">
        <f t="shared" si="18"/>
        <v>305.07007199999998</v>
      </c>
      <c r="L391" s="4">
        <f t="shared" si="19"/>
        <v>2448.2699280000002</v>
      </c>
    </row>
    <row r="392" spans="1:12" x14ac:dyDescent="0.3">
      <c r="A392" s="1">
        <v>1390</v>
      </c>
      <c r="B392" s="2">
        <v>44750</v>
      </c>
      <c r="C392" s="1" t="s">
        <v>14</v>
      </c>
      <c r="D392" s="1" t="s">
        <v>44</v>
      </c>
      <c r="E392" s="1" t="s">
        <v>16</v>
      </c>
      <c r="F392" s="1">
        <v>3871.08</v>
      </c>
      <c r="G392" s="1" t="s">
        <v>119</v>
      </c>
      <c r="H392" s="2">
        <v>34954</v>
      </c>
      <c r="I392" s="2">
        <v>44755</v>
      </c>
      <c r="J392" s="1">
        <v>24.54</v>
      </c>
      <c r="K392" s="4">
        <f t="shared" si="18"/>
        <v>949.96303199999988</v>
      </c>
      <c r="L392" s="4">
        <f t="shared" si="19"/>
        <v>2921.1169680000003</v>
      </c>
    </row>
    <row r="393" spans="1:12" x14ac:dyDescent="0.3">
      <c r="A393" s="1">
        <v>1391</v>
      </c>
      <c r="B393" s="2">
        <v>45826</v>
      </c>
      <c r="C393" s="1" t="s">
        <v>21</v>
      </c>
      <c r="D393" s="1" t="s">
        <v>24</v>
      </c>
      <c r="E393" s="1" t="s">
        <v>19</v>
      </c>
      <c r="F393" s="1">
        <v>2487.0300000000002</v>
      </c>
      <c r="G393" s="1" t="s">
        <v>77</v>
      </c>
      <c r="H393" s="2">
        <v>38696</v>
      </c>
      <c r="I393" s="2">
        <v>45830</v>
      </c>
      <c r="J393" s="1">
        <v>16.79</v>
      </c>
      <c r="K393" s="4">
        <f t="shared" si="18"/>
        <v>417.572337</v>
      </c>
      <c r="L393" s="4">
        <f t="shared" si="19"/>
        <v>2069.4576630000001</v>
      </c>
    </row>
    <row r="394" spans="1:12" x14ac:dyDescent="0.3">
      <c r="A394" s="1">
        <v>1392</v>
      </c>
      <c r="B394" s="2">
        <v>44843</v>
      </c>
      <c r="C394" s="1" t="s">
        <v>21</v>
      </c>
      <c r="D394" s="1" t="s">
        <v>27</v>
      </c>
      <c r="E394" s="1" t="s">
        <v>28</v>
      </c>
      <c r="F394" s="1">
        <v>1105.26</v>
      </c>
      <c r="G394" s="1" t="s">
        <v>148</v>
      </c>
      <c r="H394" s="2">
        <v>22007</v>
      </c>
      <c r="I394" s="2">
        <v>44849</v>
      </c>
      <c r="J394" s="1">
        <v>43.12</v>
      </c>
      <c r="K394" s="4">
        <f t="shared" si="18"/>
        <v>476.58811199999997</v>
      </c>
      <c r="L394" s="4">
        <f t="shared" si="19"/>
        <v>628.67188800000008</v>
      </c>
    </row>
    <row r="395" spans="1:12" x14ac:dyDescent="0.3">
      <c r="A395" s="1">
        <v>1393</v>
      </c>
      <c r="B395" s="2">
        <v>45564</v>
      </c>
      <c r="C395" s="1" t="s">
        <v>14</v>
      </c>
      <c r="D395" s="1" t="s">
        <v>30</v>
      </c>
      <c r="E395" s="1" t="s">
        <v>31</v>
      </c>
      <c r="F395" s="1">
        <v>4793.3599999999997</v>
      </c>
      <c r="G395" s="1" t="s">
        <v>85</v>
      </c>
      <c r="H395" s="2">
        <v>37236</v>
      </c>
      <c r="I395" s="2">
        <v>45573</v>
      </c>
      <c r="J395" s="1">
        <v>12.75</v>
      </c>
      <c r="K395" s="4">
        <f t="shared" si="18"/>
        <v>611.15339999999992</v>
      </c>
      <c r="L395" s="4">
        <f t="shared" si="19"/>
        <v>4182.2065999999995</v>
      </c>
    </row>
    <row r="396" spans="1:12" x14ac:dyDescent="0.3">
      <c r="A396" s="1">
        <v>1394</v>
      </c>
      <c r="B396" s="2">
        <v>45042</v>
      </c>
      <c r="C396" s="1" t="s">
        <v>35</v>
      </c>
      <c r="D396" s="1" t="s">
        <v>49</v>
      </c>
      <c r="E396" s="1" t="s">
        <v>12</v>
      </c>
      <c r="F396" s="1">
        <v>356.79</v>
      </c>
      <c r="G396" s="1" t="s">
        <v>107</v>
      </c>
      <c r="H396" s="2">
        <v>26671</v>
      </c>
      <c r="I396" s="2">
        <v>45055</v>
      </c>
      <c r="J396" s="1">
        <v>14.06</v>
      </c>
      <c r="K396" s="4">
        <f t="shared" si="18"/>
        <v>50.164674000000005</v>
      </c>
      <c r="L396" s="4">
        <f t="shared" si="19"/>
        <v>306.62532600000003</v>
      </c>
    </row>
    <row r="397" spans="1:12" x14ac:dyDescent="0.3">
      <c r="A397" s="1">
        <v>1395</v>
      </c>
      <c r="B397" s="2">
        <v>45651</v>
      </c>
      <c r="C397" s="1" t="s">
        <v>26</v>
      </c>
      <c r="D397" s="1" t="s">
        <v>69</v>
      </c>
      <c r="E397" s="1" t="s">
        <v>31</v>
      </c>
      <c r="F397" s="1">
        <v>2324.31</v>
      </c>
      <c r="G397" s="1" t="s">
        <v>256</v>
      </c>
      <c r="H397" s="2">
        <v>34537</v>
      </c>
      <c r="I397" s="2">
        <v>45660</v>
      </c>
      <c r="J397" s="1">
        <v>49.72</v>
      </c>
      <c r="K397" s="4">
        <f t="shared" si="18"/>
        <v>1155.6469319999999</v>
      </c>
      <c r="L397" s="4">
        <f t="shared" si="19"/>
        <v>1168.6630680000001</v>
      </c>
    </row>
    <row r="398" spans="1:12" x14ac:dyDescent="0.3">
      <c r="A398" s="1">
        <v>1396</v>
      </c>
      <c r="B398" s="2">
        <v>44563</v>
      </c>
      <c r="C398" s="1" t="s">
        <v>21</v>
      </c>
      <c r="D398" s="1" t="s">
        <v>24</v>
      </c>
      <c r="E398" s="1" t="s">
        <v>19</v>
      </c>
      <c r="F398" s="1">
        <v>290.12</v>
      </c>
      <c r="G398" s="1" t="s">
        <v>162</v>
      </c>
      <c r="H398" s="2">
        <v>32712</v>
      </c>
      <c r="I398" s="2">
        <v>44567</v>
      </c>
      <c r="J398" s="1">
        <v>29.2</v>
      </c>
      <c r="K398" s="4">
        <f t="shared" si="18"/>
        <v>84.715040000000002</v>
      </c>
      <c r="L398" s="4">
        <f t="shared" si="19"/>
        <v>205.40496000000002</v>
      </c>
    </row>
    <row r="399" spans="1:12" x14ac:dyDescent="0.3">
      <c r="A399" s="1">
        <v>1397</v>
      </c>
      <c r="B399" s="2">
        <v>45467</v>
      </c>
      <c r="C399" s="1" t="s">
        <v>21</v>
      </c>
      <c r="D399" s="1" t="s">
        <v>33</v>
      </c>
      <c r="E399" s="1" t="s">
        <v>16</v>
      </c>
      <c r="F399" s="1">
        <v>2922.55</v>
      </c>
      <c r="G399" s="1" t="s">
        <v>170</v>
      </c>
      <c r="H399" s="2">
        <v>34205</v>
      </c>
      <c r="I399" s="2">
        <v>45481</v>
      </c>
      <c r="J399" s="1">
        <v>25.17</v>
      </c>
      <c r="K399" s="4">
        <f t="shared" si="18"/>
        <v>735.60583500000018</v>
      </c>
      <c r="L399" s="4">
        <f t="shared" si="19"/>
        <v>2186.9441649999999</v>
      </c>
    </row>
    <row r="400" spans="1:12" x14ac:dyDescent="0.3">
      <c r="A400" s="1">
        <v>1398</v>
      </c>
      <c r="B400" s="2">
        <v>44212</v>
      </c>
      <c r="C400" s="1" t="s">
        <v>35</v>
      </c>
      <c r="D400" s="1" t="s">
        <v>88</v>
      </c>
      <c r="E400" s="1" t="s">
        <v>16</v>
      </c>
      <c r="F400" s="1">
        <v>3671.09</v>
      </c>
      <c r="G400" s="1" t="s">
        <v>112</v>
      </c>
      <c r="H400" s="2">
        <v>38171</v>
      </c>
      <c r="I400" s="2">
        <v>44225</v>
      </c>
      <c r="J400" s="1">
        <v>45.75</v>
      </c>
      <c r="K400" s="4">
        <f t="shared" si="18"/>
        <v>1679.5236750000001</v>
      </c>
      <c r="L400" s="4">
        <f t="shared" si="19"/>
        <v>1991.566325</v>
      </c>
    </row>
    <row r="401" spans="1:12" x14ac:dyDescent="0.3">
      <c r="A401" s="1">
        <v>1399</v>
      </c>
      <c r="B401" s="2">
        <v>44519</v>
      </c>
      <c r="C401" s="1" t="s">
        <v>21</v>
      </c>
      <c r="D401" s="1" t="s">
        <v>73</v>
      </c>
      <c r="E401" s="1" t="s">
        <v>28</v>
      </c>
      <c r="F401" s="1">
        <v>2050.44</v>
      </c>
      <c r="G401" s="1" t="s">
        <v>257</v>
      </c>
      <c r="H401" s="2">
        <v>31685</v>
      </c>
      <c r="I401" s="2">
        <v>44524</v>
      </c>
      <c r="J401" s="1">
        <v>25.46</v>
      </c>
      <c r="K401" s="4">
        <f t="shared" si="18"/>
        <v>522.04202399999997</v>
      </c>
      <c r="L401" s="4">
        <f t="shared" si="19"/>
        <v>1528.3979760000002</v>
      </c>
    </row>
    <row r="402" spans="1:12" x14ac:dyDescent="0.3">
      <c r="A402" s="1">
        <v>1400</v>
      </c>
      <c r="B402" s="2">
        <v>44865</v>
      </c>
      <c r="C402" s="1" t="s">
        <v>10</v>
      </c>
      <c r="D402" s="1" t="s">
        <v>88</v>
      </c>
      <c r="E402" s="1" t="s">
        <v>16</v>
      </c>
      <c r="F402" s="1">
        <v>3393.17</v>
      </c>
      <c r="G402" s="1" t="s">
        <v>258</v>
      </c>
      <c r="H402" s="2">
        <v>37946</v>
      </c>
      <c r="I402" s="2">
        <v>44873</v>
      </c>
      <c r="J402" s="1">
        <v>49.78</v>
      </c>
      <c r="K402" s="4">
        <f t="shared" si="18"/>
        <v>1689.1200260000001</v>
      </c>
      <c r="L402" s="4">
        <f t="shared" si="19"/>
        <v>1704.049974</v>
      </c>
    </row>
    <row r="403" spans="1:12" x14ac:dyDescent="0.3">
      <c r="A403" s="1">
        <v>1401</v>
      </c>
      <c r="B403" s="2">
        <v>44345</v>
      </c>
      <c r="C403" s="1" t="s">
        <v>10</v>
      </c>
      <c r="D403" s="1" t="s">
        <v>38</v>
      </c>
      <c r="E403" s="1" t="s">
        <v>28</v>
      </c>
      <c r="F403" s="1">
        <v>3686.7</v>
      </c>
      <c r="G403" s="1" t="s">
        <v>140</v>
      </c>
      <c r="H403" s="2">
        <v>24579</v>
      </c>
      <c r="I403" s="2">
        <v>44355</v>
      </c>
      <c r="J403" s="1">
        <v>4.78</v>
      </c>
      <c r="K403" s="4">
        <f t="shared" si="18"/>
        <v>176.22425999999999</v>
      </c>
      <c r="L403" s="4">
        <f t="shared" si="19"/>
        <v>3510.4757399999999</v>
      </c>
    </row>
    <row r="404" spans="1:12" x14ac:dyDescent="0.3">
      <c r="A404" s="1">
        <v>1402</v>
      </c>
      <c r="B404" s="2">
        <v>45145</v>
      </c>
      <c r="C404" s="1" t="s">
        <v>10</v>
      </c>
      <c r="D404" s="1" t="s">
        <v>102</v>
      </c>
      <c r="E404" s="1" t="s">
        <v>12</v>
      </c>
      <c r="F404" s="1">
        <v>1537.76</v>
      </c>
      <c r="G404" s="1" t="s">
        <v>169</v>
      </c>
      <c r="H404" s="2">
        <v>37894</v>
      </c>
      <c r="I404" s="2">
        <v>45147</v>
      </c>
      <c r="J404" s="1">
        <v>32.08</v>
      </c>
      <c r="K404" s="4">
        <f t="shared" si="18"/>
        <v>493.31340799999998</v>
      </c>
      <c r="L404" s="4">
        <f t="shared" si="19"/>
        <v>1044.446592</v>
      </c>
    </row>
    <row r="405" spans="1:12" x14ac:dyDescent="0.3">
      <c r="A405" s="1">
        <v>1403</v>
      </c>
      <c r="B405" s="2">
        <v>44270</v>
      </c>
      <c r="C405" s="1" t="s">
        <v>26</v>
      </c>
      <c r="D405" s="1" t="s">
        <v>36</v>
      </c>
      <c r="E405" s="1" t="s">
        <v>28</v>
      </c>
      <c r="F405" s="1">
        <v>2977.52</v>
      </c>
      <c r="G405" s="1" t="s">
        <v>249</v>
      </c>
      <c r="H405" s="2">
        <v>28555</v>
      </c>
      <c r="I405" s="2">
        <v>44284</v>
      </c>
      <c r="J405" s="1">
        <v>44.42</v>
      </c>
      <c r="K405" s="4">
        <f t="shared" si="18"/>
        <v>1322.6143840000002</v>
      </c>
      <c r="L405" s="4">
        <f t="shared" si="19"/>
        <v>1654.9056159999998</v>
      </c>
    </row>
    <row r="406" spans="1:12" x14ac:dyDescent="0.3">
      <c r="A406" s="1">
        <v>1404</v>
      </c>
      <c r="B406" s="2">
        <v>44971</v>
      </c>
      <c r="C406" s="1" t="s">
        <v>10</v>
      </c>
      <c r="D406" s="1" t="s">
        <v>11</v>
      </c>
      <c r="E406" s="1" t="s">
        <v>12</v>
      </c>
      <c r="F406" s="1">
        <v>4251.04</v>
      </c>
      <c r="G406" s="1" t="s">
        <v>122</v>
      </c>
      <c r="H406" s="2">
        <v>29720</v>
      </c>
      <c r="I406" s="2">
        <v>44977</v>
      </c>
      <c r="J406" s="1">
        <v>32.68</v>
      </c>
      <c r="K406" s="4">
        <f t="shared" si="18"/>
        <v>1389.2398719999999</v>
      </c>
      <c r="L406" s="4">
        <f t="shared" si="19"/>
        <v>2861.8001279999999</v>
      </c>
    </row>
    <row r="407" spans="1:12" x14ac:dyDescent="0.3">
      <c r="A407" s="1">
        <v>1405</v>
      </c>
      <c r="B407" s="2">
        <v>45710</v>
      </c>
      <c r="C407" s="1" t="s">
        <v>21</v>
      </c>
      <c r="D407" s="1" t="s">
        <v>55</v>
      </c>
      <c r="E407" s="1" t="s">
        <v>31</v>
      </c>
      <c r="F407" s="1">
        <v>2107.34</v>
      </c>
      <c r="G407" s="1" t="s">
        <v>254</v>
      </c>
      <c r="H407" s="2">
        <v>29366</v>
      </c>
      <c r="I407" s="2">
        <v>45720</v>
      </c>
      <c r="J407" s="1">
        <v>49.22</v>
      </c>
      <c r="K407" s="4">
        <f t="shared" si="18"/>
        <v>1037.2327479999999</v>
      </c>
      <c r="L407" s="4">
        <f t="shared" si="19"/>
        <v>1070.1072520000002</v>
      </c>
    </row>
    <row r="408" spans="1:12" x14ac:dyDescent="0.3">
      <c r="A408" s="1">
        <v>1406</v>
      </c>
      <c r="B408" s="2">
        <v>45428</v>
      </c>
      <c r="C408" s="1" t="s">
        <v>21</v>
      </c>
      <c r="D408" s="1" t="s">
        <v>69</v>
      </c>
      <c r="E408" s="1" t="s">
        <v>31</v>
      </c>
      <c r="F408" s="1">
        <v>644.87</v>
      </c>
      <c r="G408" s="1" t="s">
        <v>259</v>
      </c>
      <c r="H408" s="2">
        <v>29938</v>
      </c>
      <c r="I408" s="2">
        <v>45437</v>
      </c>
      <c r="J408" s="1">
        <v>43.54</v>
      </c>
      <c r="K408" s="4">
        <f t="shared" si="18"/>
        <v>280.77639800000003</v>
      </c>
      <c r="L408" s="4">
        <f t="shared" si="19"/>
        <v>364.09360199999998</v>
      </c>
    </row>
    <row r="409" spans="1:12" x14ac:dyDescent="0.3">
      <c r="A409" s="1">
        <v>1407</v>
      </c>
      <c r="B409" s="2">
        <v>45775</v>
      </c>
      <c r="C409" s="1" t="s">
        <v>10</v>
      </c>
      <c r="D409" s="1" t="s">
        <v>44</v>
      </c>
      <c r="E409" s="1" t="s">
        <v>16</v>
      </c>
      <c r="F409" s="1">
        <v>4875.7700000000004</v>
      </c>
      <c r="G409" s="1" t="s">
        <v>25</v>
      </c>
      <c r="H409" s="2">
        <v>33386</v>
      </c>
      <c r="I409" s="2">
        <v>45786</v>
      </c>
      <c r="J409" s="1">
        <v>7.58</v>
      </c>
      <c r="K409" s="4">
        <f t="shared" si="18"/>
        <v>369.58336600000007</v>
      </c>
      <c r="L409" s="4">
        <f t="shared" si="19"/>
        <v>4506.1866340000006</v>
      </c>
    </row>
    <row r="410" spans="1:12" x14ac:dyDescent="0.3">
      <c r="A410" s="1">
        <v>1408</v>
      </c>
      <c r="B410" s="2">
        <v>44816</v>
      </c>
      <c r="C410" s="1" t="s">
        <v>21</v>
      </c>
      <c r="D410" s="1" t="s">
        <v>38</v>
      </c>
      <c r="E410" s="1" t="s">
        <v>28</v>
      </c>
      <c r="F410" s="1">
        <v>571.20000000000005</v>
      </c>
      <c r="G410" s="1" t="s">
        <v>231</v>
      </c>
      <c r="H410" s="2">
        <v>32047</v>
      </c>
      <c r="I410" s="2">
        <v>44825</v>
      </c>
      <c r="J410" s="1">
        <v>37.200000000000003</v>
      </c>
      <c r="K410" s="4">
        <f t="shared" si="18"/>
        <v>212.48640000000006</v>
      </c>
      <c r="L410" s="4">
        <f t="shared" si="19"/>
        <v>358.71359999999999</v>
      </c>
    </row>
    <row r="411" spans="1:12" x14ac:dyDescent="0.3">
      <c r="A411" s="1">
        <v>1409</v>
      </c>
      <c r="B411" s="2">
        <v>45235</v>
      </c>
      <c r="C411" s="1" t="s">
        <v>21</v>
      </c>
      <c r="D411" s="1" t="s">
        <v>61</v>
      </c>
      <c r="E411" s="1" t="s">
        <v>19</v>
      </c>
      <c r="F411" s="1">
        <v>2000.28</v>
      </c>
      <c r="G411" s="1" t="s">
        <v>260</v>
      </c>
      <c r="H411" s="2">
        <v>38628</v>
      </c>
      <c r="I411" s="2">
        <v>45237</v>
      </c>
      <c r="J411" s="1">
        <v>37.200000000000003</v>
      </c>
      <c r="K411" s="4">
        <f t="shared" si="18"/>
        <v>744.10416000000009</v>
      </c>
      <c r="L411" s="4">
        <f t="shared" si="19"/>
        <v>1256.1758399999999</v>
      </c>
    </row>
    <row r="412" spans="1:12" x14ac:dyDescent="0.3">
      <c r="A412" s="1">
        <v>1410</v>
      </c>
      <c r="B412" s="2">
        <v>44170</v>
      </c>
      <c r="C412" s="1" t="s">
        <v>26</v>
      </c>
      <c r="D412" s="1" t="s">
        <v>102</v>
      </c>
      <c r="E412" s="1" t="s">
        <v>12</v>
      </c>
      <c r="F412" s="1">
        <v>3107.81</v>
      </c>
      <c r="G412" s="1" t="s">
        <v>108</v>
      </c>
      <c r="H412" s="2">
        <v>33413</v>
      </c>
      <c r="I412" s="2">
        <v>44184</v>
      </c>
      <c r="J412" s="1">
        <v>27.37</v>
      </c>
      <c r="K412" s="4">
        <f t="shared" si="18"/>
        <v>850.60759699999994</v>
      </c>
      <c r="L412" s="4">
        <f t="shared" si="19"/>
        <v>2257.2024030000002</v>
      </c>
    </row>
    <row r="413" spans="1:12" x14ac:dyDescent="0.3">
      <c r="A413" s="1">
        <v>1411</v>
      </c>
      <c r="B413" s="2">
        <v>45077</v>
      </c>
      <c r="C413" s="1" t="s">
        <v>21</v>
      </c>
      <c r="D413" s="1" t="s">
        <v>69</v>
      </c>
      <c r="E413" s="1" t="s">
        <v>12</v>
      </c>
      <c r="F413" s="1">
        <v>3792.39</v>
      </c>
      <c r="G413" s="1" t="s">
        <v>194</v>
      </c>
      <c r="H413" s="2">
        <v>22210</v>
      </c>
      <c r="I413" s="2">
        <v>45080</v>
      </c>
      <c r="J413" s="1">
        <v>10.57</v>
      </c>
      <c r="K413" s="4">
        <f t="shared" si="18"/>
        <v>400.85562299999998</v>
      </c>
      <c r="L413" s="4">
        <f t="shared" si="19"/>
        <v>3391.5343769999999</v>
      </c>
    </row>
    <row r="414" spans="1:12" x14ac:dyDescent="0.3">
      <c r="A414" s="1">
        <v>1412</v>
      </c>
      <c r="B414" s="2">
        <v>45075</v>
      </c>
      <c r="C414" s="1" t="s">
        <v>21</v>
      </c>
      <c r="D414" s="1" t="s">
        <v>88</v>
      </c>
      <c r="E414" s="1" t="s">
        <v>16</v>
      </c>
      <c r="F414" s="1">
        <v>4759.97</v>
      </c>
      <c r="G414" s="1" t="s">
        <v>261</v>
      </c>
      <c r="H414" s="2">
        <v>23920</v>
      </c>
      <c r="I414" s="2">
        <v>45084</v>
      </c>
      <c r="J414" s="1">
        <v>15.69</v>
      </c>
      <c r="K414" s="4">
        <f t="shared" si="18"/>
        <v>746.839293</v>
      </c>
      <c r="L414" s="4">
        <f t="shared" si="19"/>
        <v>4013.1307070000003</v>
      </c>
    </row>
    <row r="415" spans="1:12" x14ac:dyDescent="0.3">
      <c r="A415" s="1">
        <v>1413</v>
      </c>
      <c r="B415" s="2">
        <v>45701</v>
      </c>
      <c r="C415" s="1" t="s">
        <v>14</v>
      </c>
      <c r="D415" s="1" t="s">
        <v>102</v>
      </c>
      <c r="E415" s="1" t="s">
        <v>12</v>
      </c>
      <c r="F415" s="1">
        <v>981.46</v>
      </c>
      <c r="G415" s="1" t="s">
        <v>42</v>
      </c>
      <c r="H415" s="2">
        <v>26027</v>
      </c>
      <c r="I415" s="2">
        <v>45707</v>
      </c>
      <c r="J415" s="1">
        <v>36.18</v>
      </c>
      <c r="K415" s="4">
        <f t="shared" si="18"/>
        <v>355.09222800000003</v>
      </c>
      <c r="L415" s="4">
        <f t="shared" si="19"/>
        <v>626.36777200000006</v>
      </c>
    </row>
    <row r="416" spans="1:12" x14ac:dyDescent="0.3">
      <c r="A416" s="1">
        <v>1414</v>
      </c>
      <c r="B416" s="2">
        <v>44253</v>
      </c>
      <c r="C416" s="1" t="s">
        <v>14</v>
      </c>
      <c r="D416" s="1" t="s">
        <v>27</v>
      </c>
      <c r="E416" s="1" t="s">
        <v>28</v>
      </c>
      <c r="F416" s="1">
        <v>2570.37</v>
      </c>
      <c r="G416" s="1" t="s">
        <v>262</v>
      </c>
      <c r="H416" s="2">
        <v>36590</v>
      </c>
      <c r="I416" s="2">
        <v>44256</v>
      </c>
      <c r="J416" s="1">
        <v>12.84</v>
      </c>
      <c r="K416" s="4">
        <f t="shared" si="18"/>
        <v>330.03550799999994</v>
      </c>
      <c r="L416" s="4">
        <f t="shared" si="19"/>
        <v>2240.334492</v>
      </c>
    </row>
    <row r="417" spans="1:12" x14ac:dyDescent="0.3">
      <c r="A417" s="1">
        <v>1415</v>
      </c>
      <c r="B417" s="2">
        <v>44729</v>
      </c>
      <c r="C417" s="1" t="s">
        <v>10</v>
      </c>
      <c r="D417" s="1" t="s">
        <v>11</v>
      </c>
      <c r="E417" s="1" t="s">
        <v>12</v>
      </c>
      <c r="F417" s="1">
        <v>2414.83</v>
      </c>
      <c r="G417" s="1" t="s">
        <v>142</v>
      </c>
      <c r="H417" s="2">
        <v>29541</v>
      </c>
      <c r="I417" s="2">
        <v>44736</v>
      </c>
      <c r="J417" s="1">
        <v>5</v>
      </c>
      <c r="K417" s="4">
        <f t="shared" si="18"/>
        <v>120.7415</v>
      </c>
      <c r="L417" s="4">
        <f t="shared" si="19"/>
        <v>2294.0884999999998</v>
      </c>
    </row>
    <row r="418" spans="1:12" x14ac:dyDescent="0.3">
      <c r="A418" s="1">
        <v>1416</v>
      </c>
      <c r="B418" s="2">
        <v>44685</v>
      </c>
      <c r="C418" s="1" t="s">
        <v>10</v>
      </c>
      <c r="D418" s="1" t="s">
        <v>33</v>
      </c>
      <c r="E418" s="1" t="s">
        <v>16</v>
      </c>
      <c r="F418" s="1">
        <v>1422.31</v>
      </c>
      <c r="G418" s="1" t="s">
        <v>74</v>
      </c>
      <c r="H418" s="2">
        <v>31224</v>
      </c>
      <c r="I418" s="2">
        <v>44694</v>
      </c>
      <c r="J418" s="1">
        <v>24.91</v>
      </c>
      <c r="K418" s="4">
        <f t="shared" si="18"/>
        <v>354.29742099999999</v>
      </c>
      <c r="L418" s="4">
        <f t="shared" si="19"/>
        <v>1068.012579</v>
      </c>
    </row>
    <row r="419" spans="1:12" x14ac:dyDescent="0.3">
      <c r="A419" s="1">
        <v>1417</v>
      </c>
      <c r="B419" s="2">
        <v>45723</v>
      </c>
      <c r="C419" s="1" t="s">
        <v>26</v>
      </c>
      <c r="D419" s="1" t="s">
        <v>71</v>
      </c>
      <c r="E419" s="1" t="s">
        <v>31</v>
      </c>
      <c r="F419" s="1">
        <v>4028.63</v>
      </c>
      <c r="G419" s="1" t="s">
        <v>257</v>
      </c>
      <c r="H419" s="2">
        <v>31685</v>
      </c>
      <c r="I419" s="2">
        <v>45728</v>
      </c>
      <c r="J419" s="1">
        <v>12.49</v>
      </c>
      <c r="K419" s="4">
        <f t="shared" si="18"/>
        <v>503.17588699999999</v>
      </c>
      <c r="L419" s="4">
        <f t="shared" si="19"/>
        <v>3525.4541130000002</v>
      </c>
    </row>
    <row r="420" spans="1:12" x14ac:dyDescent="0.3">
      <c r="A420" s="1">
        <v>1418</v>
      </c>
      <c r="B420" s="2">
        <v>44703</v>
      </c>
      <c r="C420" s="1" t="s">
        <v>26</v>
      </c>
      <c r="D420" s="1" t="s">
        <v>38</v>
      </c>
      <c r="E420" s="1" t="s">
        <v>28</v>
      </c>
      <c r="F420" s="1">
        <v>2352.2399999999998</v>
      </c>
      <c r="G420" s="1" t="s">
        <v>149</v>
      </c>
      <c r="H420" s="2">
        <v>26155</v>
      </c>
      <c r="I420" s="2">
        <v>44712</v>
      </c>
      <c r="J420" s="1">
        <v>34.43</v>
      </c>
      <c r="K420" s="4">
        <f t="shared" si="18"/>
        <v>809.87623199999996</v>
      </c>
      <c r="L420" s="4">
        <f t="shared" si="19"/>
        <v>1542.3637679999997</v>
      </c>
    </row>
    <row r="421" spans="1:12" x14ac:dyDescent="0.3">
      <c r="A421" s="1">
        <v>1419</v>
      </c>
      <c r="B421" s="2">
        <v>44665</v>
      </c>
      <c r="C421" s="1" t="s">
        <v>10</v>
      </c>
      <c r="D421" s="1" t="s">
        <v>102</v>
      </c>
      <c r="E421" s="1" t="s">
        <v>12</v>
      </c>
      <c r="F421" s="1">
        <v>3084.03</v>
      </c>
      <c r="G421" s="1" t="s">
        <v>56</v>
      </c>
      <c r="H421" s="2">
        <v>25712</v>
      </c>
      <c r="I421" s="2">
        <v>44678</v>
      </c>
      <c r="J421" s="1">
        <v>21.74</v>
      </c>
      <c r="K421" s="4">
        <f t="shared" si="18"/>
        <v>670.46812199999999</v>
      </c>
      <c r="L421" s="4">
        <f t="shared" si="19"/>
        <v>2413.5618780000004</v>
      </c>
    </row>
    <row r="422" spans="1:12" x14ac:dyDescent="0.3">
      <c r="A422" s="1">
        <v>1420</v>
      </c>
      <c r="B422" s="2">
        <v>44202</v>
      </c>
      <c r="C422" s="1" t="s">
        <v>26</v>
      </c>
      <c r="D422" s="1" t="s">
        <v>71</v>
      </c>
      <c r="E422" s="1" t="s">
        <v>31</v>
      </c>
      <c r="F422" s="1">
        <v>4802.88</v>
      </c>
      <c r="G422" s="1" t="s">
        <v>263</v>
      </c>
      <c r="H422" s="2">
        <v>35629</v>
      </c>
      <c r="I422" s="2">
        <v>44212</v>
      </c>
      <c r="J422" s="1">
        <v>16.18</v>
      </c>
      <c r="K422" s="4">
        <f t="shared" si="18"/>
        <v>777.10598400000003</v>
      </c>
      <c r="L422" s="4">
        <f t="shared" si="19"/>
        <v>4025.7740160000003</v>
      </c>
    </row>
    <row r="423" spans="1:12" x14ac:dyDescent="0.3">
      <c r="A423" s="1">
        <v>1421</v>
      </c>
      <c r="B423" s="2">
        <v>44184</v>
      </c>
      <c r="C423" s="1" t="s">
        <v>26</v>
      </c>
      <c r="D423" s="1" t="s">
        <v>58</v>
      </c>
      <c r="E423" s="1" t="s">
        <v>31</v>
      </c>
      <c r="F423" s="1">
        <v>301.72000000000003</v>
      </c>
      <c r="G423" s="1" t="s">
        <v>192</v>
      </c>
      <c r="H423" s="2">
        <v>33626</v>
      </c>
      <c r="I423" s="2">
        <v>44192</v>
      </c>
      <c r="J423" s="1">
        <v>35.22</v>
      </c>
      <c r="K423" s="4">
        <f t="shared" si="18"/>
        <v>106.26578400000001</v>
      </c>
      <c r="L423" s="4">
        <f t="shared" si="19"/>
        <v>195.45421600000003</v>
      </c>
    </row>
    <row r="424" spans="1:12" x14ac:dyDescent="0.3">
      <c r="A424" s="1">
        <v>1422</v>
      </c>
      <c r="B424" s="2">
        <v>45535</v>
      </c>
      <c r="C424" s="1" t="s">
        <v>35</v>
      </c>
      <c r="D424" s="1" t="s">
        <v>73</v>
      </c>
      <c r="E424" s="1" t="s">
        <v>28</v>
      </c>
      <c r="F424" s="1">
        <v>3938.25</v>
      </c>
      <c r="G424" s="1" t="s">
        <v>101</v>
      </c>
      <c r="H424" s="2">
        <v>31331</v>
      </c>
      <c r="I424" s="2">
        <v>45542</v>
      </c>
      <c r="J424" s="1">
        <v>13.5</v>
      </c>
      <c r="K424" s="4">
        <f t="shared" si="18"/>
        <v>531.66375000000005</v>
      </c>
      <c r="L424" s="4">
        <f t="shared" si="19"/>
        <v>3406.5862499999998</v>
      </c>
    </row>
    <row r="425" spans="1:12" x14ac:dyDescent="0.3">
      <c r="A425" s="1">
        <v>1423</v>
      </c>
      <c r="B425" s="2">
        <v>44794</v>
      </c>
      <c r="C425" s="1" t="s">
        <v>21</v>
      </c>
      <c r="D425" s="1" t="s">
        <v>11</v>
      </c>
      <c r="E425" s="1" t="s">
        <v>12</v>
      </c>
      <c r="F425" s="1">
        <v>3839.42</v>
      </c>
      <c r="G425" s="1" t="s">
        <v>264</v>
      </c>
      <c r="H425" s="2">
        <v>30232</v>
      </c>
      <c r="I425" s="2">
        <v>44795</v>
      </c>
      <c r="J425" s="1">
        <v>15.27</v>
      </c>
      <c r="K425" s="4">
        <f t="shared" si="18"/>
        <v>586.27943400000004</v>
      </c>
      <c r="L425" s="4">
        <f t="shared" si="19"/>
        <v>3253.140566</v>
      </c>
    </row>
    <row r="426" spans="1:12" x14ac:dyDescent="0.3">
      <c r="A426" s="1">
        <v>1424</v>
      </c>
      <c r="B426" s="2">
        <v>45879</v>
      </c>
      <c r="C426" s="1" t="s">
        <v>10</v>
      </c>
      <c r="D426" s="1" t="s">
        <v>22</v>
      </c>
      <c r="E426" s="1" t="s">
        <v>19</v>
      </c>
      <c r="F426" s="1">
        <v>1786.83</v>
      </c>
      <c r="G426" s="1" t="s">
        <v>237</v>
      </c>
      <c r="H426" s="2">
        <v>27455</v>
      </c>
      <c r="I426" s="2">
        <v>45891</v>
      </c>
      <c r="J426" s="1">
        <v>9.4</v>
      </c>
      <c r="K426" s="4">
        <f t="shared" si="18"/>
        <v>167.96202</v>
      </c>
      <c r="L426" s="4">
        <f t="shared" si="19"/>
        <v>1618.86798</v>
      </c>
    </row>
    <row r="427" spans="1:12" x14ac:dyDescent="0.3">
      <c r="A427" s="1">
        <v>1425</v>
      </c>
      <c r="B427" s="2">
        <v>45191</v>
      </c>
      <c r="C427" s="1" t="s">
        <v>14</v>
      </c>
      <c r="D427" s="1" t="s">
        <v>69</v>
      </c>
      <c r="E427" s="1" t="s">
        <v>12</v>
      </c>
      <c r="F427" s="1">
        <v>1466.2</v>
      </c>
      <c r="G427" s="1" t="s">
        <v>176</v>
      </c>
      <c r="H427" s="2">
        <v>33282</v>
      </c>
      <c r="I427" s="2">
        <v>45199</v>
      </c>
      <c r="J427" s="1">
        <v>47.85</v>
      </c>
      <c r="K427" s="4">
        <f t="shared" si="18"/>
        <v>701.57670000000007</v>
      </c>
      <c r="L427" s="4">
        <f t="shared" si="19"/>
        <v>764.62329999999997</v>
      </c>
    </row>
    <row r="428" spans="1:12" x14ac:dyDescent="0.3">
      <c r="A428" s="1">
        <v>1426</v>
      </c>
      <c r="B428" s="2">
        <v>45399</v>
      </c>
      <c r="C428" s="1" t="s">
        <v>10</v>
      </c>
      <c r="D428" s="1" t="s">
        <v>38</v>
      </c>
      <c r="E428" s="1" t="s">
        <v>28</v>
      </c>
      <c r="F428" s="1">
        <v>4168.8999999999996</v>
      </c>
      <c r="G428" s="1" t="s">
        <v>265</v>
      </c>
      <c r="H428" s="2">
        <v>38899</v>
      </c>
      <c r="I428" s="2">
        <v>45402</v>
      </c>
      <c r="J428" s="1">
        <v>10.38</v>
      </c>
      <c r="K428" s="4">
        <f t="shared" si="18"/>
        <v>432.73181999999997</v>
      </c>
      <c r="L428" s="4">
        <f t="shared" si="19"/>
        <v>3736.1681799999997</v>
      </c>
    </row>
    <row r="429" spans="1:12" x14ac:dyDescent="0.3">
      <c r="A429" s="1">
        <v>1427</v>
      </c>
      <c r="B429" s="2">
        <v>45010</v>
      </c>
      <c r="C429" s="1" t="s">
        <v>21</v>
      </c>
      <c r="D429" s="1" t="s">
        <v>15</v>
      </c>
      <c r="E429" s="1" t="s">
        <v>16</v>
      </c>
      <c r="F429" s="1">
        <v>4059.43</v>
      </c>
      <c r="G429" s="1" t="s">
        <v>233</v>
      </c>
      <c r="H429" s="2">
        <v>38826</v>
      </c>
      <c r="I429" s="2">
        <v>45014</v>
      </c>
      <c r="J429" s="1">
        <v>30.89</v>
      </c>
      <c r="K429" s="4">
        <f t="shared" si="18"/>
        <v>1253.9579269999999</v>
      </c>
      <c r="L429" s="4">
        <f t="shared" si="19"/>
        <v>2805.4720729999999</v>
      </c>
    </row>
    <row r="430" spans="1:12" x14ac:dyDescent="0.3">
      <c r="A430" s="1">
        <v>1428</v>
      </c>
      <c r="B430" s="2">
        <v>44404</v>
      </c>
      <c r="C430" s="1" t="s">
        <v>21</v>
      </c>
      <c r="D430" s="1" t="s">
        <v>38</v>
      </c>
      <c r="E430" s="1" t="s">
        <v>28</v>
      </c>
      <c r="F430" s="1">
        <v>463.95</v>
      </c>
      <c r="G430" s="1" t="s">
        <v>242</v>
      </c>
      <c r="H430" s="2">
        <v>21785</v>
      </c>
      <c r="I430" s="2">
        <v>44413</v>
      </c>
      <c r="J430" s="1">
        <v>49.28</v>
      </c>
      <c r="K430" s="4">
        <f t="shared" si="18"/>
        <v>228.63455999999999</v>
      </c>
      <c r="L430" s="4">
        <f t="shared" si="19"/>
        <v>235.31544</v>
      </c>
    </row>
    <row r="431" spans="1:12" x14ac:dyDescent="0.3">
      <c r="A431" s="1">
        <v>1429</v>
      </c>
      <c r="B431" s="2">
        <v>44536</v>
      </c>
      <c r="C431" s="1" t="s">
        <v>10</v>
      </c>
      <c r="D431" s="1" t="s">
        <v>24</v>
      </c>
      <c r="E431" s="1" t="s">
        <v>19</v>
      </c>
      <c r="F431" s="1">
        <v>4025.44</v>
      </c>
      <c r="G431" s="1" t="s">
        <v>266</v>
      </c>
      <c r="H431" s="2">
        <v>32604</v>
      </c>
      <c r="I431" s="2">
        <v>44543</v>
      </c>
      <c r="J431" s="1">
        <v>4.45</v>
      </c>
      <c r="K431" s="4">
        <f t="shared" si="18"/>
        <v>179.13208000000003</v>
      </c>
      <c r="L431" s="4">
        <f t="shared" si="19"/>
        <v>3846.3079200000002</v>
      </c>
    </row>
    <row r="432" spans="1:12" x14ac:dyDescent="0.3">
      <c r="A432" s="1">
        <v>1430</v>
      </c>
      <c r="B432" s="2">
        <v>44099</v>
      </c>
      <c r="C432" s="1" t="s">
        <v>26</v>
      </c>
      <c r="D432" s="1" t="s">
        <v>30</v>
      </c>
      <c r="E432" s="1" t="s">
        <v>31</v>
      </c>
      <c r="F432" s="1">
        <v>2610.56</v>
      </c>
      <c r="G432" s="1" t="s">
        <v>112</v>
      </c>
      <c r="H432" s="2">
        <v>38171</v>
      </c>
      <c r="I432" s="2">
        <v>44113</v>
      </c>
      <c r="J432" s="1">
        <v>40.700000000000003</v>
      </c>
      <c r="K432" s="4">
        <f t="shared" si="18"/>
        <v>1062.49792</v>
      </c>
      <c r="L432" s="4">
        <f t="shared" si="19"/>
        <v>1548.0620799999999</v>
      </c>
    </row>
    <row r="433" spans="1:12" x14ac:dyDescent="0.3">
      <c r="A433" s="1">
        <v>1431</v>
      </c>
      <c r="B433" s="2">
        <v>44784</v>
      </c>
      <c r="C433" s="1" t="s">
        <v>10</v>
      </c>
      <c r="D433" s="1" t="s">
        <v>33</v>
      </c>
      <c r="E433" s="1" t="s">
        <v>16</v>
      </c>
      <c r="F433" s="1">
        <v>1991.8</v>
      </c>
      <c r="G433" s="1" t="s">
        <v>80</v>
      </c>
      <c r="H433" s="2">
        <v>31578</v>
      </c>
      <c r="I433" s="2">
        <v>44787</v>
      </c>
      <c r="J433" s="1">
        <v>41.42</v>
      </c>
      <c r="K433" s="4">
        <f t="shared" si="18"/>
        <v>825.00355999999999</v>
      </c>
      <c r="L433" s="4">
        <f t="shared" si="19"/>
        <v>1166.7964400000001</v>
      </c>
    </row>
    <row r="434" spans="1:12" x14ac:dyDescent="0.3">
      <c r="A434" s="1">
        <v>1432</v>
      </c>
      <c r="B434" s="2">
        <v>45165</v>
      </c>
      <c r="C434" s="1" t="s">
        <v>21</v>
      </c>
      <c r="D434" s="1" t="s">
        <v>44</v>
      </c>
      <c r="E434" s="1" t="s">
        <v>16</v>
      </c>
      <c r="F434" s="1">
        <v>2141.4499999999998</v>
      </c>
      <c r="G434" s="1" t="s">
        <v>180</v>
      </c>
      <c r="H434" s="2">
        <v>25163</v>
      </c>
      <c r="I434" s="2">
        <v>45172</v>
      </c>
      <c r="J434" s="1">
        <v>24.38</v>
      </c>
      <c r="K434" s="4">
        <f t="shared" si="18"/>
        <v>522.08550999999989</v>
      </c>
      <c r="L434" s="4">
        <f t="shared" si="19"/>
        <v>1619.3644899999999</v>
      </c>
    </row>
    <row r="435" spans="1:12" x14ac:dyDescent="0.3">
      <c r="A435" s="1">
        <v>1433</v>
      </c>
      <c r="B435" s="2">
        <v>45420</v>
      </c>
      <c r="C435" s="1" t="s">
        <v>10</v>
      </c>
      <c r="D435" s="1" t="s">
        <v>102</v>
      </c>
      <c r="E435" s="1" t="s">
        <v>12</v>
      </c>
      <c r="F435" s="1">
        <v>4125.3100000000004</v>
      </c>
      <c r="G435" s="1" t="s">
        <v>23</v>
      </c>
      <c r="H435" s="2">
        <v>38378</v>
      </c>
      <c r="I435" s="2">
        <v>45427</v>
      </c>
      <c r="J435" s="1">
        <v>30.7</v>
      </c>
      <c r="K435" s="4">
        <f t="shared" si="18"/>
        <v>1266.4701700000001</v>
      </c>
      <c r="L435" s="4">
        <f t="shared" si="19"/>
        <v>2858.8398300000003</v>
      </c>
    </row>
    <row r="436" spans="1:12" x14ac:dyDescent="0.3">
      <c r="A436" s="1">
        <v>1434</v>
      </c>
      <c r="B436" s="2">
        <v>44065</v>
      </c>
      <c r="C436" s="1" t="s">
        <v>14</v>
      </c>
      <c r="D436" s="1" t="s">
        <v>18</v>
      </c>
      <c r="E436" s="1" t="s">
        <v>19</v>
      </c>
      <c r="F436" s="1">
        <v>3630.47</v>
      </c>
      <c r="G436" s="1" t="s">
        <v>229</v>
      </c>
      <c r="H436" s="2">
        <v>37783</v>
      </c>
      <c r="I436" s="2">
        <v>44074</v>
      </c>
      <c r="J436" s="1">
        <v>46.55</v>
      </c>
      <c r="K436" s="4">
        <f t="shared" si="18"/>
        <v>1689.9837849999999</v>
      </c>
      <c r="L436" s="4">
        <f t="shared" si="19"/>
        <v>1940.4862149999999</v>
      </c>
    </row>
    <row r="437" spans="1:12" x14ac:dyDescent="0.3">
      <c r="A437" s="1">
        <v>1435</v>
      </c>
      <c r="B437" s="2">
        <v>45366</v>
      </c>
      <c r="C437" s="1" t="s">
        <v>10</v>
      </c>
      <c r="D437" s="1" t="s">
        <v>38</v>
      </c>
      <c r="E437" s="1" t="s">
        <v>28</v>
      </c>
      <c r="F437" s="1">
        <v>3093.12</v>
      </c>
      <c r="G437" s="1" t="s">
        <v>89</v>
      </c>
      <c r="H437" s="2">
        <v>37141</v>
      </c>
      <c r="I437" s="2">
        <v>45369</v>
      </c>
      <c r="J437" s="1">
        <v>20.13</v>
      </c>
      <c r="K437" s="4">
        <f t="shared" si="18"/>
        <v>622.64505599999995</v>
      </c>
      <c r="L437" s="4">
        <f t="shared" si="19"/>
        <v>2470.4749440000001</v>
      </c>
    </row>
    <row r="438" spans="1:12" x14ac:dyDescent="0.3">
      <c r="A438" s="1">
        <v>1436</v>
      </c>
      <c r="B438" s="2">
        <v>45341</v>
      </c>
      <c r="C438" s="1" t="s">
        <v>21</v>
      </c>
      <c r="D438" s="1" t="s">
        <v>11</v>
      </c>
      <c r="E438" s="1" t="s">
        <v>12</v>
      </c>
      <c r="F438" s="1">
        <v>2804.68</v>
      </c>
      <c r="G438" s="1" t="s">
        <v>231</v>
      </c>
      <c r="H438" s="2">
        <v>32047</v>
      </c>
      <c r="I438" s="2">
        <v>45353</v>
      </c>
      <c r="J438" s="1">
        <v>27.26</v>
      </c>
      <c r="K438" s="4">
        <f t="shared" si="18"/>
        <v>764.55576799999994</v>
      </c>
      <c r="L438" s="4">
        <f t="shared" si="19"/>
        <v>2040.1242319999999</v>
      </c>
    </row>
    <row r="439" spans="1:12" x14ac:dyDescent="0.3">
      <c r="A439" s="1">
        <v>1437</v>
      </c>
      <c r="B439" s="2">
        <v>44115</v>
      </c>
      <c r="C439" s="1" t="s">
        <v>10</v>
      </c>
      <c r="D439" s="1" t="s">
        <v>40</v>
      </c>
      <c r="E439" s="1" t="s">
        <v>16</v>
      </c>
      <c r="F439" s="1">
        <v>2362.4699999999998</v>
      </c>
      <c r="G439" s="1" t="s">
        <v>172</v>
      </c>
      <c r="H439" s="2">
        <v>36571</v>
      </c>
      <c r="I439" s="2">
        <v>44123</v>
      </c>
      <c r="J439" s="1">
        <v>47.44</v>
      </c>
      <c r="K439" s="4">
        <f t="shared" si="18"/>
        <v>1120.755768</v>
      </c>
      <c r="L439" s="4">
        <f t="shared" si="19"/>
        <v>1241.7142319999998</v>
      </c>
    </row>
    <row r="440" spans="1:12" x14ac:dyDescent="0.3">
      <c r="A440" s="1">
        <v>1438</v>
      </c>
      <c r="B440" s="2">
        <v>45469</v>
      </c>
      <c r="C440" s="1" t="s">
        <v>10</v>
      </c>
      <c r="D440" s="1" t="s">
        <v>24</v>
      </c>
      <c r="E440" s="1" t="s">
        <v>19</v>
      </c>
      <c r="F440" s="1">
        <v>278.02999999999997</v>
      </c>
      <c r="G440" s="1" t="s">
        <v>66</v>
      </c>
      <c r="H440" s="2">
        <v>33192</v>
      </c>
      <c r="I440" s="2">
        <v>45478</v>
      </c>
      <c r="J440" s="1">
        <v>26.87</v>
      </c>
      <c r="K440" s="4">
        <f t="shared" si="18"/>
        <v>74.706660999999997</v>
      </c>
      <c r="L440" s="4">
        <f t="shared" si="19"/>
        <v>203.32333899999998</v>
      </c>
    </row>
    <row r="441" spans="1:12" x14ac:dyDescent="0.3">
      <c r="A441" s="1">
        <v>1439</v>
      </c>
      <c r="B441" s="2">
        <v>45590</v>
      </c>
      <c r="C441" s="1" t="s">
        <v>26</v>
      </c>
      <c r="D441" s="1" t="s">
        <v>33</v>
      </c>
      <c r="E441" s="1" t="s">
        <v>16</v>
      </c>
      <c r="F441" s="1">
        <v>288.8</v>
      </c>
      <c r="G441" s="1" t="s">
        <v>221</v>
      </c>
      <c r="H441" s="2">
        <v>35658</v>
      </c>
      <c r="I441" s="2">
        <v>45593</v>
      </c>
      <c r="J441" s="1">
        <v>45.82</v>
      </c>
      <c r="K441" s="4">
        <f t="shared" si="18"/>
        <v>132.32816</v>
      </c>
      <c r="L441" s="4">
        <f t="shared" si="19"/>
        <v>156.47184000000001</v>
      </c>
    </row>
    <row r="442" spans="1:12" x14ac:dyDescent="0.3">
      <c r="A442" s="1">
        <v>1440</v>
      </c>
      <c r="B442" s="2">
        <v>44758</v>
      </c>
      <c r="C442" s="1" t="s">
        <v>21</v>
      </c>
      <c r="D442" s="1" t="s">
        <v>38</v>
      </c>
      <c r="E442" s="1" t="s">
        <v>28</v>
      </c>
      <c r="F442" s="1">
        <v>494.59</v>
      </c>
      <c r="G442" s="1" t="s">
        <v>128</v>
      </c>
      <c r="H442" s="2">
        <v>37961</v>
      </c>
      <c r="I442" s="2">
        <v>44772</v>
      </c>
      <c r="J442" s="1">
        <v>29.68</v>
      </c>
      <c r="K442" s="4">
        <f t="shared" si="18"/>
        <v>146.79431199999999</v>
      </c>
      <c r="L442" s="4">
        <f t="shared" si="19"/>
        <v>347.79568799999998</v>
      </c>
    </row>
    <row r="443" spans="1:12" x14ac:dyDescent="0.3">
      <c r="A443" s="1">
        <v>1441</v>
      </c>
      <c r="B443" s="2">
        <v>45796</v>
      </c>
      <c r="C443" s="1" t="s">
        <v>21</v>
      </c>
      <c r="D443" s="1" t="s">
        <v>69</v>
      </c>
      <c r="E443" s="1" t="s">
        <v>12</v>
      </c>
      <c r="F443" s="1">
        <v>2525.13</v>
      </c>
      <c r="G443" s="1" t="s">
        <v>227</v>
      </c>
      <c r="H443" s="2">
        <v>34932</v>
      </c>
      <c r="I443" s="2">
        <v>45798</v>
      </c>
      <c r="J443" s="1">
        <v>35.049999999999997</v>
      </c>
      <c r="K443" s="4">
        <f t="shared" si="18"/>
        <v>885.05806499999994</v>
      </c>
      <c r="L443" s="4">
        <f t="shared" si="19"/>
        <v>1640.0719350000002</v>
      </c>
    </row>
    <row r="444" spans="1:12" x14ac:dyDescent="0.3">
      <c r="A444" s="1">
        <v>1442</v>
      </c>
      <c r="B444" s="2">
        <v>45467</v>
      </c>
      <c r="C444" s="1" t="s">
        <v>35</v>
      </c>
      <c r="D444" s="1" t="s">
        <v>18</v>
      </c>
      <c r="E444" s="1" t="s">
        <v>19</v>
      </c>
      <c r="F444" s="1">
        <v>3350.42</v>
      </c>
      <c r="G444" s="1" t="s">
        <v>267</v>
      </c>
      <c r="H444" s="2">
        <v>38039</v>
      </c>
      <c r="I444" s="2">
        <v>45478</v>
      </c>
      <c r="J444" s="1">
        <v>31.35</v>
      </c>
      <c r="K444" s="4">
        <f t="shared" si="18"/>
        <v>1050.3566700000001</v>
      </c>
      <c r="L444" s="4">
        <f t="shared" si="19"/>
        <v>2300.06333</v>
      </c>
    </row>
    <row r="445" spans="1:12" x14ac:dyDescent="0.3">
      <c r="A445" s="1">
        <v>1443</v>
      </c>
      <c r="B445" s="2">
        <v>44400</v>
      </c>
      <c r="C445" s="1" t="s">
        <v>35</v>
      </c>
      <c r="D445" s="1" t="s">
        <v>11</v>
      </c>
      <c r="E445" s="1" t="s">
        <v>12</v>
      </c>
      <c r="F445" s="1">
        <v>3643.84</v>
      </c>
      <c r="G445" s="1" t="s">
        <v>238</v>
      </c>
      <c r="H445" s="2">
        <v>31880</v>
      </c>
      <c r="I445" s="2">
        <v>44401</v>
      </c>
      <c r="J445" s="1">
        <v>18.11</v>
      </c>
      <c r="K445" s="4">
        <f t="shared" si="18"/>
        <v>659.89942399999995</v>
      </c>
      <c r="L445" s="4">
        <f t="shared" si="19"/>
        <v>2983.940576</v>
      </c>
    </row>
    <row r="446" spans="1:12" x14ac:dyDescent="0.3">
      <c r="A446" s="1">
        <v>1444</v>
      </c>
      <c r="B446" s="2">
        <v>45724</v>
      </c>
      <c r="C446" s="1" t="s">
        <v>10</v>
      </c>
      <c r="D446" s="1" t="s">
        <v>38</v>
      </c>
      <c r="E446" s="1" t="s">
        <v>28</v>
      </c>
      <c r="F446" s="1">
        <v>1247.1500000000001</v>
      </c>
      <c r="G446" s="1" t="s">
        <v>268</v>
      </c>
      <c r="H446" s="2">
        <v>25103</v>
      </c>
      <c r="I446" s="2">
        <v>45727</v>
      </c>
      <c r="J446" s="1">
        <v>6.45</v>
      </c>
      <c r="K446" s="4">
        <f t="shared" si="18"/>
        <v>80.441175000000001</v>
      </c>
      <c r="L446" s="4">
        <f t="shared" si="19"/>
        <v>1166.7088250000002</v>
      </c>
    </row>
    <row r="447" spans="1:12" x14ac:dyDescent="0.3">
      <c r="A447" s="1">
        <v>1445</v>
      </c>
      <c r="B447" s="2">
        <v>45577</v>
      </c>
      <c r="C447" s="1" t="s">
        <v>35</v>
      </c>
      <c r="D447" s="1" t="s">
        <v>44</v>
      </c>
      <c r="E447" s="1" t="s">
        <v>16</v>
      </c>
      <c r="F447" s="1">
        <v>1813.32</v>
      </c>
      <c r="G447" s="1" t="s">
        <v>269</v>
      </c>
      <c r="H447" s="2">
        <v>30976</v>
      </c>
      <c r="I447" s="2">
        <v>45585</v>
      </c>
      <c r="J447" s="1">
        <v>22.45</v>
      </c>
      <c r="K447" s="4">
        <f t="shared" si="18"/>
        <v>407.09033999999997</v>
      </c>
      <c r="L447" s="4">
        <f t="shared" si="19"/>
        <v>1406.22966</v>
      </c>
    </row>
    <row r="448" spans="1:12" x14ac:dyDescent="0.3">
      <c r="A448" s="1">
        <v>1446</v>
      </c>
      <c r="B448" s="2">
        <v>45785</v>
      </c>
      <c r="C448" s="1" t="s">
        <v>14</v>
      </c>
      <c r="D448" s="1" t="s">
        <v>30</v>
      </c>
      <c r="E448" s="1" t="s">
        <v>31</v>
      </c>
      <c r="F448" s="1">
        <v>3713.98</v>
      </c>
      <c r="G448" s="1" t="s">
        <v>130</v>
      </c>
      <c r="H448" s="2">
        <v>38750</v>
      </c>
      <c r="I448" s="2">
        <v>45798</v>
      </c>
      <c r="J448" s="1">
        <v>43.09</v>
      </c>
      <c r="K448" s="4">
        <f t="shared" si="18"/>
        <v>1600.3539820000003</v>
      </c>
      <c r="L448" s="4">
        <f t="shared" si="19"/>
        <v>2113.6260179999999</v>
      </c>
    </row>
    <row r="449" spans="1:12" x14ac:dyDescent="0.3">
      <c r="A449" s="1">
        <v>1447</v>
      </c>
      <c r="B449" s="2">
        <v>45287</v>
      </c>
      <c r="C449" s="1" t="s">
        <v>35</v>
      </c>
      <c r="D449" s="1" t="s">
        <v>88</v>
      </c>
      <c r="E449" s="1" t="s">
        <v>16</v>
      </c>
      <c r="F449" s="1">
        <v>432.26</v>
      </c>
      <c r="G449" s="1" t="s">
        <v>270</v>
      </c>
      <c r="H449" s="2">
        <v>23245</v>
      </c>
      <c r="I449" s="2">
        <v>45288</v>
      </c>
      <c r="J449" s="1">
        <v>8.39</v>
      </c>
      <c r="K449" s="4">
        <f t="shared" si="18"/>
        <v>36.266613999999997</v>
      </c>
      <c r="L449" s="4">
        <f t="shared" si="19"/>
        <v>395.99338599999999</v>
      </c>
    </row>
    <row r="450" spans="1:12" x14ac:dyDescent="0.3">
      <c r="A450" s="1">
        <v>1448</v>
      </c>
      <c r="B450" s="2">
        <v>44839</v>
      </c>
      <c r="C450" s="1" t="s">
        <v>21</v>
      </c>
      <c r="D450" s="1" t="s">
        <v>53</v>
      </c>
      <c r="E450" s="1" t="s">
        <v>28</v>
      </c>
      <c r="F450" s="1">
        <v>1693.45</v>
      </c>
      <c r="G450" s="1" t="s">
        <v>205</v>
      </c>
      <c r="H450" s="2">
        <v>27526</v>
      </c>
      <c r="I450" s="2">
        <v>44844</v>
      </c>
      <c r="J450" s="1">
        <v>23.61</v>
      </c>
      <c r="K450" s="4">
        <f t="shared" si="18"/>
        <v>399.82354500000002</v>
      </c>
      <c r="L450" s="4">
        <f t="shared" si="19"/>
        <v>1293.6264550000001</v>
      </c>
    </row>
    <row r="451" spans="1:12" x14ac:dyDescent="0.3">
      <c r="A451" s="1">
        <v>1449</v>
      </c>
      <c r="B451" s="2">
        <v>44700</v>
      </c>
      <c r="C451" s="1" t="s">
        <v>21</v>
      </c>
      <c r="D451" s="1" t="s">
        <v>15</v>
      </c>
      <c r="E451" s="1" t="s">
        <v>16</v>
      </c>
      <c r="F451" s="1">
        <v>1889.02</v>
      </c>
      <c r="G451" s="1" t="s">
        <v>271</v>
      </c>
      <c r="H451" s="2">
        <v>22796</v>
      </c>
      <c r="I451" s="2">
        <v>44709</v>
      </c>
      <c r="J451" s="1">
        <v>2.15</v>
      </c>
      <c r="K451" s="4">
        <f t="shared" ref="K451:K514" si="20">F451*J451%</f>
        <v>40.613929999999996</v>
      </c>
      <c r="L451" s="4">
        <f t="shared" ref="L451:L514" si="21">F451-K451</f>
        <v>1848.40607</v>
      </c>
    </row>
    <row r="452" spans="1:12" x14ac:dyDescent="0.3">
      <c r="A452" s="1">
        <v>1450</v>
      </c>
      <c r="B452" s="2">
        <v>44831</v>
      </c>
      <c r="C452" s="1" t="s">
        <v>21</v>
      </c>
      <c r="D452" s="1" t="s">
        <v>71</v>
      </c>
      <c r="E452" s="1" t="s">
        <v>31</v>
      </c>
      <c r="F452" s="1">
        <v>2427.5100000000002</v>
      </c>
      <c r="G452" s="1" t="s">
        <v>101</v>
      </c>
      <c r="H452" s="2">
        <v>31331</v>
      </c>
      <c r="I452" s="2">
        <v>44842</v>
      </c>
      <c r="J452" s="1">
        <v>21.39</v>
      </c>
      <c r="K452" s="4">
        <f t="shared" si="20"/>
        <v>519.24438900000007</v>
      </c>
      <c r="L452" s="4">
        <f t="shared" si="21"/>
        <v>1908.2656110000003</v>
      </c>
    </row>
    <row r="453" spans="1:12" x14ac:dyDescent="0.3">
      <c r="A453" s="1">
        <v>1451</v>
      </c>
      <c r="B453" s="2">
        <v>44962</v>
      </c>
      <c r="C453" s="1" t="s">
        <v>26</v>
      </c>
      <c r="D453" s="1" t="s">
        <v>18</v>
      </c>
      <c r="E453" s="1" t="s">
        <v>19</v>
      </c>
      <c r="F453" s="1">
        <v>1645.22</v>
      </c>
      <c r="G453" s="1" t="s">
        <v>272</v>
      </c>
      <c r="H453" s="2">
        <v>27832</v>
      </c>
      <c r="I453" s="2">
        <v>44972</v>
      </c>
      <c r="J453" s="1">
        <v>7.75</v>
      </c>
      <c r="K453" s="4">
        <f t="shared" si="20"/>
        <v>127.50454999999999</v>
      </c>
      <c r="L453" s="4">
        <f t="shared" si="21"/>
        <v>1517.7154500000001</v>
      </c>
    </row>
    <row r="454" spans="1:12" x14ac:dyDescent="0.3">
      <c r="A454" s="1">
        <v>1452</v>
      </c>
      <c r="B454" s="2">
        <v>45342</v>
      </c>
      <c r="C454" s="1" t="s">
        <v>26</v>
      </c>
      <c r="D454" s="1" t="s">
        <v>61</v>
      </c>
      <c r="E454" s="1" t="s">
        <v>19</v>
      </c>
      <c r="F454" s="1">
        <v>2271.75</v>
      </c>
      <c r="G454" s="1" t="s">
        <v>96</v>
      </c>
      <c r="H454" s="2">
        <v>36236</v>
      </c>
      <c r="I454" s="2">
        <v>45348</v>
      </c>
      <c r="J454" s="1">
        <v>15.35</v>
      </c>
      <c r="K454" s="4">
        <f t="shared" si="20"/>
        <v>348.71362499999998</v>
      </c>
      <c r="L454" s="4">
        <f t="shared" si="21"/>
        <v>1923.0363750000001</v>
      </c>
    </row>
    <row r="455" spans="1:12" x14ac:dyDescent="0.3">
      <c r="A455" s="1">
        <v>1453</v>
      </c>
      <c r="B455" s="2">
        <v>45834</v>
      </c>
      <c r="C455" s="1" t="s">
        <v>35</v>
      </c>
      <c r="D455" s="1" t="s">
        <v>33</v>
      </c>
      <c r="E455" s="1" t="s">
        <v>16</v>
      </c>
      <c r="F455" s="1">
        <v>2430.6999999999998</v>
      </c>
      <c r="G455" s="1" t="s">
        <v>273</v>
      </c>
      <c r="H455" s="2">
        <v>30822</v>
      </c>
      <c r="I455" s="2">
        <v>45840</v>
      </c>
      <c r="J455" s="1">
        <v>45.83</v>
      </c>
      <c r="K455" s="4">
        <f t="shared" si="20"/>
        <v>1113.9898099999998</v>
      </c>
      <c r="L455" s="4">
        <f t="shared" si="21"/>
        <v>1316.71019</v>
      </c>
    </row>
    <row r="456" spans="1:12" x14ac:dyDescent="0.3">
      <c r="A456" s="1">
        <v>1454</v>
      </c>
      <c r="B456" s="2">
        <v>45380</v>
      </c>
      <c r="C456" s="1" t="s">
        <v>35</v>
      </c>
      <c r="D456" s="1" t="s">
        <v>18</v>
      </c>
      <c r="E456" s="1" t="s">
        <v>19</v>
      </c>
      <c r="F456" s="1">
        <v>4543.08</v>
      </c>
      <c r="G456" s="1" t="s">
        <v>166</v>
      </c>
      <c r="H456" s="2">
        <v>27879</v>
      </c>
      <c r="I456" s="2">
        <v>45381</v>
      </c>
      <c r="J456" s="1">
        <v>41.7</v>
      </c>
      <c r="K456" s="4">
        <f t="shared" si="20"/>
        <v>1894.4643600000002</v>
      </c>
      <c r="L456" s="4">
        <f t="shared" si="21"/>
        <v>2648.61564</v>
      </c>
    </row>
    <row r="457" spans="1:12" x14ac:dyDescent="0.3">
      <c r="A457" s="1">
        <v>1455</v>
      </c>
      <c r="B457" s="2">
        <v>45583</v>
      </c>
      <c r="C457" s="1" t="s">
        <v>35</v>
      </c>
      <c r="D457" s="1" t="s">
        <v>53</v>
      </c>
      <c r="E457" s="1" t="s">
        <v>28</v>
      </c>
      <c r="F457" s="1">
        <v>4094.7</v>
      </c>
      <c r="G457" s="1" t="s">
        <v>274</v>
      </c>
      <c r="H457" s="2">
        <v>34557</v>
      </c>
      <c r="I457" s="2">
        <v>45595</v>
      </c>
      <c r="J457" s="1">
        <v>11.99</v>
      </c>
      <c r="K457" s="4">
        <f t="shared" si="20"/>
        <v>490.95452999999998</v>
      </c>
      <c r="L457" s="4">
        <f t="shared" si="21"/>
        <v>3603.7454699999998</v>
      </c>
    </row>
    <row r="458" spans="1:12" x14ac:dyDescent="0.3">
      <c r="A458" s="1">
        <v>1456</v>
      </c>
      <c r="B458" s="2">
        <v>44685</v>
      </c>
      <c r="C458" s="1" t="s">
        <v>35</v>
      </c>
      <c r="D458" s="1" t="s">
        <v>44</v>
      </c>
      <c r="E458" s="1" t="s">
        <v>16</v>
      </c>
      <c r="F458" s="1">
        <v>598.49</v>
      </c>
      <c r="G458" s="1" t="s">
        <v>138</v>
      </c>
      <c r="H458" s="2">
        <v>25948</v>
      </c>
      <c r="I458" s="2">
        <v>44688</v>
      </c>
      <c r="J458" s="1">
        <v>39.99</v>
      </c>
      <c r="K458" s="4">
        <f t="shared" si="20"/>
        <v>239.33615100000003</v>
      </c>
      <c r="L458" s="4">
        <f t="shared" si="21"/>
        <v>359.15384899999998</v>
      </c>
    </row>
    <row r="459" spans="1:12" x14ac:dyDescent="0.3">
      <c r="A459" s="1">
        <v>1457</v>
      </c>
      <c r="B459" s="2">
        <v>44901</v>
      </c>
      <c r="C459" s="1" t="s">
        <v>14</v>
      </c>
      <c r="D459" s="1" t="s">
        <v>49</v>
      </c>
      <c r="E459" s="1" t="s">
        <v>12</v>
      </c>
      <c r="F459" s="1">
        <v>4913.41</v>
      </c>
      <c r="G459" s="1" t="s">
        <v>70</v>
      </c>
      <c r="H459" s="2">
        <v>30887</v>
      </c>
      <c r="I459" s="2">
        <v>44903</v>
      </c>
      <c r="J459" s="1">
        <v>20.73</v>
      </c>
      <c r="K459" s="4">
        <f t="shared" si="20"/>
        <v>1018.549893</v>
      </c>
      <c r="L459" s="4">
        <f t="shared" si="21"/>
        <v>3894.860107</v>
      </c>
    </row>
    <row r="460" spans="1:12" x14ac:dyDescent="0.3">
      <c r="A460" s="1">
        <v>1458</v>
      </c>
      <c r="B460" s="2">
        <v>45343</v>
      </c>
      <c r="C460" s="1" t="s">
        <v>14</v>
      </c>
      <c r="D460" s="1" t="s">
        <v>55</v>
      </c>
      <c r="E460" s="1" t="s">
        <v>31</v>
      </c>
      <c r="F460" s="1">
        <v>4584.32</v>
      </c>
      <c r="G460" s="1" t="s">
        <v>275</v>
      </c>
      <c r="H460" s="2">
        <v>38510</v>
      </c>
      <c r="I460" s="2">
        <v>45349</v>
      </c>
      <c r="J460" s="1">
        <v>4.4800000000000004</v>
      </c>
      <c r="K460" s="4">
        <f t="shared" si="20"/>
        <v>205.37753600000002</v>
      </c>
      <c r="L460" s="4">
        <f t="shared" si="21"/>
        <v>4378.9424639999997</v>
      </c>
    </row>
    <row r="461" spans="1:12" x14ac:dyDescent="0.3">
      <c r="A461" s="1">
        <v>1459</v>
      </c>
      <c r="B461" s="2">
        <v>45180</v>
      </c>
      <c r="C461" s="1" t="s">
        <v>10</v>
      </c>
      <c r="D461" s="1" t="s">
        <v>58</v>
      </c>
      <c r="E461" s="1" t="s">
        <v>31</v>
      </c>
      <c r="F461" s="1">
        <v>846.48</v>
      </c>
      <c r="G461" s="1" t="s">
        <v>276</v>
      </c>
      <c r="H461" s="2">
        <v>33394</v>
      </c>
      <c r="I461" s="2">
        <v>45184</v>
      </c>
      <c r="J461" s="1">
        <v>11.6</v>
      </c>
      <c r="K461" s="4">
        <f t="shared" si="20"/>
        <v>98.191679999999991</v>
      </c>
      <c r="L461" s="4">
        <f t="shared" si="21"/>
        <v>748.28832</v>
      </c>
    </row>
    <row r="462" spans="1:12" x14ac:dyDescent="0.3">
      <c r="A462" s="1">
        <v>1460</v>
      </c>
      <c r="B462" s="2">
        <v>45646</v>
      </c>
      <c r="C462" s="1" t="s">
        <v>21</v>
      </c>
      <c r="D462" s="1" t="s">
        <v>11</v>
      </c>
      <c r="E462" s="1" t="s">
        <v>12</v>
      </c>
      <c r="F462" s="1">
        <v>1781.6</v>
      </c>
      <c r="G462" s="1" t="s">
        <v>48</v>
      </c>
      <c r="H462" s="2">
        <v>22315</v>
      </c>
      <c r="I462" s="2">
        <v>45652</v>
      </c>
      <c r="J462" s="1">
        <v>25.14</v>
      </c>
      <c r="K462" s="4">
        <f t="shared" si="20"/>
        <v>447.89424000000002</v>
      </c>
      <c r="L462" s="4">
        <f t="shared" si="21"/>
        <v>1333.7057599999998</v>
      </c>
    </row>
    <row r="463" spans="1:12" x14ac:dyDescent="0.3">
      <c r="A463" s="1">
        <v>1461</v>
      </c>
      <c r="B463" s="2">
        <v>44214</v>
      </c>
      <c r="C463" s="1" t="s">
        <v>21</v>
      </c>
      <c r="D463" s="1" t="s">
        <v>33</v>
      </c>
      <c r="E463" s="1" t="s">
        <v>16</v>
      </c>
      <c r="F463" s="1">
        <v>2176.2399999999998</v>
      </c>
      <c r="G463" s="1" t="s">
        <v>86</v>
      </c>
      <c r="H463" s="2">
        <v>37858</v>
      </c>
      <c r="I463" s="2">
        <v>44215</v>
      </c>
      <c r="J463" s="1">
        <v>21.69</v>
      </c>
      <c r="K463" s="4">
        <f t="shared" si="20"/>
        <v>472.026456</v>
      </c>
      <c r="L463" s="4">
        <f t="shared" si="21"/>
        <v>1704.2135439999997</v>
      </c>
    </row>
    <row r="464" spans="1:12" x14ac:dyDescent="0.3">
      <c r="A464" s="1">
        <v>1462</v>
      </c>
      <c r="B464" s="2">
        <v>45270</v>
      </c>
      <c r="C464" s="1" t="s">
        <v>21</v>
      </c>
      <c r="D464" s="1" t="s">
        <v>40</v>
      </c>
      <c r="E464" s="1" t="s">
        <v>16</v>
      </c>
      <c r="F464" s="1">
        <v>2972.65</v>
      </c>
      <c r="G464" s="1" t="s">
        <v>120</v>
      </c>
      <c r="H464" s="2">
        <v>30820</v>
      </c>
      <c r="I464" s="2">
        <v>45283</v>
      </c>
      <c r="J464" s="1">
        <v>44.56</v>
      </c>
      <c r="K464" s="4">
        <f t="shared" si="20"/>
        <v>1324.61284</v>
      </c>
      <c r="L464" s="4">
        <f t="shared" si="21"/>
        <v>1648.0371600000001</v>
      </c>
    </row>
    <row r="465" spans="1:12" x14ac:dyDescent="0.3">
      <c r="A465" s="1">
        <v>1463</v>
      </c>
      <c r="B465" s="2">
        <v>45786</v>
      </c>
      <c r="C465" s="1" t="s">
        <v>35</v>
      </c>
      <c r="D465" s="1" t="s">
        <v>69</v>
      </c>
      <c r="E465" s="1" t="s">
        <v>31</v>
      </c>
      <c r="F465" s="1">
        <v>4085.17</v>
      </c>
      <c r="G465" s="1" t="s">
        <v>277</v>
      </c>
      <c r="H465" s="2">
        <v>35224</v>
      </c>
      <c r="I465" s="2">
        <v>45797</v>
      </c>
      <c r="J465" s="1">
        <v>9.56</v>
      </c>
      <c r="K465" s="4">
        <f t="shared" si="20"/>
        <v>390.54225200000002</v>
      </c>
      <c r="L465" s="4">
        <f t="shared" si="21"/>
        <v>3694.6277479999999</v>
      </c>
    </row>
    <row r="466" spans="1:12" x14ac:dyDescent="0.3">
      <c r="A466" s="1">
        <v>1464</v>
      </c>
      <c r="B466" s="2">
        <v>44365</v>
      </c>
      <c r="C466" s="1" t="s">
        <v>35</v>
      </c>
      <c r="D466" s="1" t="s">
        <v>102</v>
      </c>
      <c r="E466" s="1" t="s">
        <v>12</v>
      </c>
      <c r="F466" s="1">
        <v>189.34</v>
      </c>
      <c r="G466" s="1" t="s">
        <v>139</v>
      </c>
      <c r="H466" s="2">
        <v>29381</v>
      </c>
      <c r="I466" s="2">
        <v>44367</v>
      </c>
      <c r="J466" s="1">
        <v>36.89</v>
      </c>
      <c r="K466" s="4">
        <f t="shared" si="20"/>
        <v>69.847526000000002</v>
      </c>
      <c r="L466" s="4">
        <f t="shared" si="21"/>
        <v>119.492474</v>
      </c>
    </row>
    <row r="467" spans="1:12" x14ac:dyDescent="0.3">
      <c r="A467" s="1">
        <v>1465</v>
      </c>
      <c r="B467" s="2">
        <v>44609</v>
      </c>
      <c r="C467" s="1" t="s">
        <v>21</v>
      </c>
      <c r="D467" s="1" t="s">
        <v>102</v>
      </c>
      <c r="E467" s="1" t="s">
        <v>12</v>
      </c>
      <c r="F467" s="1">
        <v>2924.35</v>
      </c>
      <c r="G467" s="1" t="s">
        <v>156</v>
      </c>
      <c r="H467" s="2">
        <v>38693</v>
      </c>
      <c r="I467" s="2">
        <v>44610</v>
      </c>
      <c r="J467" s="1">
        <v>27.69</v>
      </c>
      <c r="K467" s="4">
        <f t="shared" si="20"/>
        <v>809.75251500000013</v>
      </c>
      <c r="L467" s="4">
        <f t="shared" si="21"/>
        <v>2114.5974849999998</v>
      </c>
    </row>
    <row r="468" spans="1:12" x14ac:dyDescent="0.3">
      <c r="A468" s="1">
        <v>1466</v>
      </c>
      <c r="B468" s="2">
        <v>45195</v>
      </c>
      <c r="C468" s="1" t="s">
        <v>21</v>
      </c>
      <c r="D468" s="1" t="s">
        <v>53</v>
      </c>
      <c r="E468" s="1" t="s">
        <v>28</v>
      </c>
      <c r="F468" s="1">
        <v>599.16</v>
      </c>
      <c r="G468" s="1" t="s">
        <v>278</v>
      </c>
      <c r="H468" s="2">
        <v>36036</v>
      </c>
      <c r="I468" s="2">
        <v>45209</v>
      </c>
      <c r="J468" s="1">
        <v>7.16</v>
      </c>
      <c r="K468" s="4">
        <f t="shared" si="20"/>
        <v>42.899855999999993</v>
      </c>
      <c r="L468" s="4">
        <f t="shared" si="21"/>
        <v>556.26014399999997</v>
      </c>
    </row>
    <row r="469" spans="1:12" x14ac:dyDescent="0.3">
      <c r="A469" s="1">
        <v>1467</v>
      </c>
      <c r="B469" s="2">
        <v>44414</v>
      </c>
      <c r="C469" s="1" t="s">
        <v>26</v>
      </c>
      <c r="D469" s="1" t="s">
        <v>55</v>
      </c>
      <c r="E469" s="1" t="s">
        <v>31</v>
      </c>
      <c r="F469" s="1">
        <v>3973.82</v>
      </c>
      <c r="G469" s="1" t="s">
        <v>107</v>
      </c>
      <c r="H469" s="2">
        <v>26671</v>
      </c>
      <c r="I469" s="2">
        <v>44423</v>
      </c>
      <c r="J469" s="1">
        <v>32.340000000000003</v>
      </c>
      <c r="K469" s="4">
        <f t="shared" si="20"/>
        <v>1285.1333880000002</v>
      </c>
      <c r="L469" s="4">
        <f t="shared" si="21"/>
        <v>2688.686612</v>
      </c>
    </row>
    <row r="470" spans="1:12" x14ac:dyDescent="0.3">
      <c r="A470" s="1">
        <v>1468</v>
      </c>
      <c r="B470" s="2">
        <v>45292</v>
      </c>
      <c r="C470" s="1" t="s">
        <v>10</v>
      </c>
      <c r="D470" s="1" t="s">
        <v>65</v>
      </c>
      <c r="E470" s="1" t="s">
        <v>19</v>
      </c>
      <c r="F470" s="1">
        <v>3282.15</v>
      </c>
      <c r="G470" s="1" t="s">
        <v>59</v>
      </c>
      <c r="H470" s="2">
        <v>25166</v>
      </c>
      <c r="I470" s="2">
        <v>45294</v>
      </c>
      <c r="J470" s="1">
        <v>46.01</v>
      </c>
      <c r="K470" s="4">
        <f t="shared" si="20"/>
        <v>1510.117215</v>
      </c>
      <c r="L470" s="4">
        <f t="shared" si="21"/>
        <v>1772.0327850000001</v>
      </c>
    </row>
    <row r="471" spans="1:12" x14ac:dyDescent="0.3">
      <c r="A471" s="1">
        <v>1469</v>
      </c>
      <c r="B471" s="2">
        <v>45516</v>
      </c>
      <c r="C471" s="1" t="s">
        <v>35</v>
      </c>
      <c r="D471" s="1" t="s">
        <v>44</v>
      </c>
      <c r="E471" s="1" t="s">
        <v>16</v>
      </c>
      <c r="F471" s="1">
        <v>542.1</v>
      </c>
      <c r="G471" s="1" t="s">
        <v>104</v>
      </c>
      <c r="H471" s="2">
        <v>24852</v>
      </c>
      <c r="I471" s="2">
        <v>45527</v>
      </c>
      <c r="J471" s="1">
        <v>0.99</v>
      </c>
      <c r="K471" s="4">
        <f t="shared" si="20"/>
        <v>5.3667899999999999</v>
      </c>
      <c r="L471" s="4">
        <f t="shared" si="21"/>
        <v>536.73320999999999</v>
      </c>
    </row>
    <row r="472" spans="1:12" x14ac:dyDescent="0.3">
      <c r="A472" s="1">
        <v>1470</v>
      </c>
      <c r="B472" s="2">
        <v>45209</v>
      </c>
      <c r="C472" s="1" t="s">
        <v>14</v>
      </c>
      <c r="D472" s="1" t="s">
        <v>36</v>
      </c>
      <c r="E472" s="1" t="s">
        <v>28</v>
      </c>
      <c r="F472" s="1">
        <v>1541</v>
      </c>
      <c r="G472" s="1" t="s">
        <v>111</v>
      </c>
      <c r="H472" s="2">
        <v>34704</v>
      </c>
      <c r="I472" s="2">
        <v>45222</v>
      </c>
      <c r="J472" s="1">
        <v>33.85</v>
      </c>
      <c r="K472" s="4">
        <f t="shared" si="20"/>
        <v>521.62850000000003</v>
      </c>
      <c r="L472" s="4">
        <f t="shared" si="21"/>
        <v>1019.3715</v>
      </c>
    </row>
    <row r="473" spans="1:12" x14ac:dyDescent="0.3">
      <c r="A473" s="1">
        <v>1471</v>
      </c>
      <c r="B473" s="2">
        <v>45744</v>
      </c>
      <c r="C473" s="1" t="s">
        <v>10</v>
      </c>
      <c r="D473" s="1" t="s">
        <v>22</v>
      </c>
      <c r="E473" s="1" t="s">
        <v>19</v>
      </c>
      <c r="F473" s="1">
        <v>2582.08</v>
      </c>
      <c r="G473" s="1" t="s">
        <v>150</v>
      </c>
      <c r="H473" s="2">
        <v>31231</v>
      </c>
      <c r="I473" s="2">
        <v>45752</v>
      </c>
      <c r="J473" s="1">
        <v>38.43</v>
      </c>
      <c r="K473" s="4">
        <f t="shared" si="20"/>
        <v>992.29334399999993</v>
      </c>
      <c r="L473" s="4">
        <f t="shared" si="21"/>
        <v>1589.786656</v>
      </c>
    </row>
    <row r="474" spans="1:12" x14ac:dyDescent="0.3">
      <c r="A474" s="1">
        <v>1472</v>
      </c>
      <c r="B474" s="2">
        <v>45397</v>
      </c>
      <c r="C474" s="1" t="s">
        <v>35</v>
      </c>
      <c r="D474" s="1" t="s">
        <v>11</v>
      </c>
      <c r="E474" s="1" t="s">
        <v>12</v>
      </c>
      <c r="F474" s="1">
        <v>4856.3100000000004</v>
      </c>
      <c r="G474" s="1" t="s">
        <v>279</v>
      </c>
      <c r="H474" s="2">
        <v>38934</v>
      </c>
      <c r="I474" s="2">
        <v>45405</v>
      </c>
      <c r="J474" s="1">
        <v>11.87</v>
      </c>
      <c r="K474" s="4">
        <f t="shared" si="20"/>
        <v>576.44399699999997</v>
      </c>
      <c r="L474" s="4">
        <f t="shared" si="21"/>
        <v>4279.8660030000001</v>
      </c>
    </row>
    <row r="475" spans="1:12" x14ac:dyDescent="0.3">
      <c r="A475" s="1">
        <v>1473</v>
      </c>
      <c r="B475" s="2">
        <v>44625</v>
      </c>
      <c r="C475" s="1" t="s">
        <v>26</v>
      </c>
      <c r="D475" s="1" t="s">
        <v>47</v>
      </c>
      <c r="E475" s="1" t="s">
        <v>12</v>
      </c>
      <c r="F475" s="1">
        <v>3734</v>
      </c>
      <c r="G475" s="1" t="s">
        <v>279</v>
      </c>
      <c r="H475" s="2">
        <v>38934</v>
      </c>
      <c r="I475" s="2">
        <v>44634</v>
      </c>
      <c r="J475" s="1">
        <v>37.909999999999997</v>
      </c>
      <c r="K475" s="4">
        <f t="shared" si="20"/>
        <v>1415.5593999999999</v>
      </c>
      <c r="L475" s="4">
        <f t="shared" si="21"/>
        <v>2318.4405999999999</v>
      </c>
    </row>
    <row r="476" spans="1:12" x14ac:dyDescent="0.3">
      <c r="A476" s="1">
        <v>1474</v>
      </c>
      <c r="B476" s="2">
        <v>45823</v>
      </c>
      <c r="C476" s="1" t="s">
        <v>10</v>
      </c>
      <c r="D476" s="1" t="s">
        <v>22</v>
      </c>
      <c r="E476" s="1" t="s">
        <v>19</v>
      </c>
      <c r="F476" s="1">
        <v>366.94</v>
      </c>
      <c r="G476" s="1" t="s">
        <v>191</v>
      </c>
      <c r="H476" s="2">
        <v>37495</v>
      </c>
      <c r="I476" s="2">
        <v>45829</v>
      </c>
      <c r="J476" s="1">
        <v>48.35</v>
      </c>
      <c r="K476" s="4">
        <f t="shared" si="20"/>
        <v>177.41549000000001</v>
      </c>
      <c r="L476" s="4">
        <f t="shared" si="21"/>
        <v>189.52450999999999</v>
      </c>
    </row>
    <row r="477" spans="1:12" x14ac:dyDescent="0.3">
      <c r="A477" s="1">
        <v>1475</v>
      </c>
      <c r="B477" s="2">
        <v>45168</v>
      </c>
      <c r="C477" s="1" t="s">
        <v>14</v>
      </c>
      <c r="D477" s="1" t="s">
        <v>33</v>
      </c>
      <c r="E477" s="1" t="s">
        <v>16</v>
      </c>
      <c r="F477" s="1">
        <v>4233.49</v>
      </c>
      <c r="G477" s="1" t="s">
        <v>190</v>
      </c>
      <c r="H477" s="2">
        <v>33354</v>
      </c>
      <c r="I477" s="2">
        <v>45172</v>
      </c>
      <c r="J477" s="1">
        <v>48.48</v>
      </c>
      <c r="K477" s="4">
        <f t="shared" si="20"/>
        <v>2052.3959519999999</v>
      </c>
      <c r="L477" s="4">
        <f t="shared" si="21"/>
        <v>2181.0940479999999</v>
      </c>
    </row>
    <row r="478" spans="1:12" x14ac:dyDescent="0.3">
      <c r="A478" s="1">
        <v>1476</v>
      </c>
      <c r="B478" s="2">
        <v>44568</v>
      </c>
      <c r="C478" s="1" t="s">
        <v>35</v>
      </c>
      <c r="D478" s="1" t="s">
        <v>69</v>
      </c>
      <c r="E478" s="1" t="s">
        <v>12</v>
      </c>
      <c r="F478" s="1">
        <v>644.57000000000005</v>
      </c>
      <c r="G478" s="1" t="s">
        <v>194</v>
      </c>
      <c r="H478" s="2">
        <v>22210</v>
      </c>
      <c r="I478" s="2">
        <v>44576</v>
      </c>
      <c r="J478" s="1">
        <v>26.36</v>
      </c>
      <c r="K478" s="4">
        <f t="shared" si="20"/>
        <v>169.90865200000002</v>
      </c>
      <c r="L478" s="4">
        <f t="shared" si="21"/>
        <v>474.66134800000003</v>
      </c>
    </row>
    <row r="479" spans="1:12" x14ac:dyDescent="0.3">
      <c r="A479" s="1">
        <v>1477</v>
      </c>
      <c r="B479" s="2">
        <v>44919</v>
      </c>
      <c r="C479" s="1" t="s">
        <v>35</v>
      </c>
      <c r="D479" s="1" t="s">
        <v>22</v>
      </c>
      <c r="E479" s="1" t="s">
        <v>19</v>
      </c>
      <c r="F479" s="1">
        <v>4592.13</v>
      </c>
      <c r="G479" s="1" t="s">
        <v>213</v>
      </c>
      <c r="H479" s="2">
        <v>34345</v>
      </c>
      <c r="I479" s="2">
        <v>44925</v>
      </c>
      <c r="J479" s="1">
        <v>11.9</v>
      </c>
      <c r="K479" s="4">
        <f t="shared" si="20"/>
        <v>546.46347000000003</v>
      </c>
      <c r="L479" s="4">
        <f t="shared" si="21"/>
        <v>4045.66653</v>
      </c>
    </row>
    <row r="480" spans="1:12" x14ac:dyDescent="0.3">
      <c r="A480" s="1">
        <v>1478</v>
      </c>
      <c r="B480" s="2">
        <v>44951</v>
      </c>
      <c r="C480" s="1" t="s">
        <v>35</v>
      </c>
      <c r="D480" s="1" t="s">
        <v>33</v>
      </c>
      <c r="E480" s="1" t="s">
        <v>16</v>
      </c>
      <c r="F480" s="1">
        <v>3161.42</v>
      </c>
      <c r="G480" s="1" t="s">
        <v>124</v>
      </c>
      <c r="H480" s="2">
        <v>30786</v>
      </c>
      <c r="I480" s="2">
        <v>44952</v>
      </c>
      <c r="J480" s="1">
        <v>47.23</v>
      </c>
      <c r="K480" s="4">
        <f t="shared" si="20"/>
        <v>1493.1386659999998</v>
      </c>
      <c r="L480" s="4">
        <f t="shared" si="21"/>
        <v>1668.2813340000002</v>
      </c>
    </row>
    <row r="481" spans="1:12" x14ac:dyDescent="0.3">
      <c r="A481" s="1">
        <v>1479</v>
      </c>
      <c r="B481" s="2">
        <v>45434</v>
      </c>
      <c r="C481" s="1" t="s">
        <v>14</v>
      </c>
      <c r="D481" s="1" t="s">
        <v>30</v>
      </c>
      <c r="E481" s="1" t="s">
        <v>31</v>
      </c>
      <c r="F481" s="1">
        <v>1196.3599999999999</v>
      </c>
      <c r="G481" s="1" t="s">
        <v>179</v>
      </c>
      <c r="H481" s="2">
        <v>30356</v>
      </c>
      <c r="I481" s="2">
        <v>45447</v>
      </c>
      <c r="J481" s="1">
        <v>23.7</v>
      </c>
      <c r="K481" s="4">
        <f t="shared" si="20"/>
        <v>283.53731999999997</v>
      </c>
      <c r="L481" s="4">
        <f t="shared" si="21"/>
        <v>912.82267999999999</v>
      </c>
    </row>
    <row r="482" spans="1:12" x14ac:dyDescent="0.3">
      <c r="A482" s="1">
        <v>1480</v>
      </c>
      <c r="B482" s="2">
        <v>45117</v>
      </c>
      <c r="C482" s="1" t="s">
        <v>14</v>
      </c>
      <c r="D482" s="1" t="s">
        <v>102</v>
      </c>
      <c r="E482" s="1" t="s">
        <v>12</v>
      </c>
      <c r="F482" s="1">
        <v>4459.7700000000004</v>
      </c>
      <c r="G482" s="1" t="s">
        <v>223</v>
      </c>
      <c r="H482" s="2">
        <v>35407</v>
      </c>
      <c r="I482" s="2">
        <v>45127</v>
      </c>
      <c r="J482" s="1">
        <v>48.71</v>
      </c>
      <c r="K482" s="4">
        <f t="shared" si="20"/>
        <v>2172.3539670000005</v>
      </c>
      <c r="L482" s="4">
        <f t="shared" si="21"/>
        <v>2287.416033</v>
      </c>
    </row>
    <row r="483" spans="1:12" x14ac:dyDescent="0.3">
      <c r="A483" s="1">
        <v>1481</v>
      </c>
      <c r="B483" s="2">
        <v>45763</v>
      </c>
      <c r="C483" s="1" t="s">
        <v>14</v>
      </c>
      <c r="D483" s="1" t="s">
        <v>15</v>
      </c>
      <c r="E483" s="1" t="s">
        <v>16</v>
      </c>
      <c r="F483" s="1">
        <v>4811.79</v>
      </c>
      <c r="G483" s="1" t="s">
        <v>94</v>
      </c>
      <c r="H483" s="2">
        <v>25516</v>
      </c>
      <c r="I483" s="2">
        <v>45774</v>
      </c>
      <c r="J483" s="1">
        <v>37.81</v>
      </c>
      <c r="K483" s="4">
        <f t="shared" si="20"/>
        <v>1819.3377990000001</v>
      </c>
      <c r="L483" s="4">
        <f t="shared" si="21"/>
        <v>2992.4522010000001</v>
      </c>
    </row>
    <row r="484" spans="1:12" x14ac:dyDescent="0.3">
      <c r="A484" s="1">
        <v>1482</v>
      </c>
      <c r="B484" s="2">
        <v>44567</v>
      </c>
      <c r="C484" s="1" t="s">
        <v>14</v>
      </c>
      <c r="D484" s="1" t="s">
        <v>58</v>
      </c>
      <c r="E484" s="1" t="s">
        <v>31</v>
      </c>
      <c r="F484" s="1">
        <v>4964.8</v>
      </c>
      <c r="G484" s="1" t="s">
        <v>216</v>
      </c>
      <c r="H484" s="2">
        <v>31419</v>
      </c>
      <c r="I484" s="2">
        <v>44577</v>
      </c>
      <c r="J484" s="1">
        <v>23.65</v>
      </c>
      <c r="K484" s="4">
        <f t="shared" si="20"/>
        <v>1174.1751999999999</v>
      </c>
      <c r="L484" s="4">
        <f t="shared" si="21"/>
        <v>3790.6248000000005</v>
      </c>
    </row>
    <row r="485" spans="1:12" x14ac:dyDescent="0.3">
      <c r="A485" s="1">
        <v>1483</v>
      </c>
      <c r="B485" s="2">
        <v>44525</v>
      </c>
      <c r="C485" s="1" t="s">
        <v>21</v>
      </c>
      <c r="D485" s="1" t="s">
        <v>73</v>
      </c>
      <c r="E485" s="1" t="s">
        <v>28</v>
      </c>
      <c r="F485" s="1">
        <v>4165.84</v>
      </c>
      <c r="G485" s="1" t="s">
        <v>75</v>
      </c>
      <c r="H485" s="2">
        <v>25853</v>
      </c>
      <c r="I485" s="2">
        <v>44538</v>
      </c>
      <c r="J485" s="1">
        <v>19.77</v>
      </c>
      <c r="K485" s="4">
        <f t="shared" si="20"/>
        <v>823.58656799999994</v>
      </c>
      <c r="L485" s="4">
        <f t="shared" si="21"/>
        <v>3342.2534320000004</v>
      </c>
    </row>
    <row r="486" spans="1:12" x14ac:dyDescent="0.3">
      <c r="A486" s="1">
        <v>1484</v>
      </c>
      <c r="B486" s="2">
        <v>45568</v>
      </c>
      <c r="C486" s="1" t="s">
        <v>35</v>
      </c>
      <c r="D486" s="1" t="s">
        <v>44</v>
      </c>
      <c r="E486" s="1" t="s">
        <v>16</v>
      </c>
      <c r="F486" s="1">
        <v>1868.61</v>
      </c>
      <c r="G486" s="1" t="s">
        <v>280</v>
      </c>
      <c r="H486" s="2">
        <v>29181</v>
      </c>
      <c r="I486" s="2">
        <v>45576</v>
      </c>
      <c r="J486" s="1">
        <v>41.34</v>
      </c>
      <c r="K486" s="4">
        <f t="shared" si="20"/>
        <v>772.48337400000003</v>
      </c>
      <c r="L486" s="4">
        <f t="shared" si="21"/>
        <v>1096.1266259999998</v>
      </c>
    </row>
    <row r="487" spans="1:12" x14ac:dyDescent="0.3">
      <c r="A487" s="1">
        <v>1485</v>
      </c>
      <c r="B487" s="2">
        <v>45096</v>
      </c>
      <c r="C487" s="1" t="s">
        <v>26</v>
      </c>
      <c r="D487" s="1" t="s">
        <v>88</v>
      </c>
      <c r="E487" s="1" t="s">
        <v>16</v>
      </c>
      <c r="F487" s="1">
        <v>960.82</v>
      </c>
      <c r="G487" s="1" t="s">
        <v>159</v>
      </c>
      <c r="H487" s="2">
        <v>38194</v>
      </c>
      <c r="I487" s="2">
        <v>45099</v>
      </c>
      <c r="J487" s="1">
        <v>40.98</v>
      </c>
      <c r="K487" s="4">
        <f t="shared" si="20"/>
        <v>393.74403599999994</v>
      </c>
      <c r="L487" s="4">
        <f t="shared" si="21"/>
        <v>567.07596400000011</v>
      </c>
    </row>
    <row r="488" spans="1:12" x14ac:dyDescent="0.3">
      <c r="A488" s="1">
        <v>1486</v>
      </c>
      <c r="B488" s="2">
        <v>45010</v>
      </c>
      <c r="C488" s="1" t="s">
        <v>26</v>
      </c>
      <c r="D488" s="1" t="s">
        <v>44</v>
      </c>
      <c r="E488" s="1" t="s">
        <v>16</v>
      </c>
      <c r="F488" s="1">
        <v>4628</v>
      </c>
      <c r="G488" s="1" t="s">
        <v>50</v>
      </c>
      <c r="H488" s="2">
        <v>22594</v>
      </c>
      <c r="I488" s="2">
        <v>45014</v>
      </c>
      <c r="J488" s="1">
        <v>44.68</v>
      </c>
      <c r="K488" s="4">
        <f t="shared" si="20"/>
        <v>2067.7903999999999</v>
      </c>
      <c r="L488" s="4">
        <f t="shared" si="21"/>
        <v>2560.2096000000001</v>
      </c>
    </row>
    <row r="489" spans="1:12" x14ac:dyDescent="0.3">
      <c r="A489" s="1">
        <v>1487</v>
      </c>
      <c r="B489" s="2">
        <v>45153</v>
      </c>
      <c r="C489" s="1" t="s">
        <v>35</v>
      </c>
      <c r="D489" s="1" t="s">
        <v>30</v>
      </c>
      <c r="E489" s="1" t="s">
        <v>31</v>
      </c>
      <c r="F489" s="1">
        <v>4033.32</v>
      </c>
      <c r="G489" s="1" t="s">
        <v>187</v>
      </c>
      <c r="H489" s="2">
        <v>30778</v>
      </c>
      <c r="I489" s="2">
        <v>45162</v>
      </c>
      <c r="J489" s="1">
        <v>36.51</v>
      </c>
      <c r="K489" s="4">
        <f t="shared" si="20"/>
        <v>1472.5651319999999</v>
      </c>
      <c r="L489" s="4">
        <f t="shared" si="21"/>
        <v>2560.754868</v>
      </c>
    </row>
    <row r="490" spans="1:12" x14ac:dyDescent="0.3">
      <c r="A490" s="1">
        <v>1488</v>
      </c>
      <c r="B490" s="2">
        <v>45427</v>
      </c>
      <c r="C490" s="1" t="s">
        <v>14</v>
      </c>
      <c r="D490" s="1" t="s">
        <v>49</v>
      </c>
      <c r="E490" s="1" t="s">
        <v>12</v>
      </c>
      <c r="F490" s="1">
        <v>2543.13</v>
      </c>
      <c r="G490" s="1" t="s">
        <v>63</v>
      </c>
      <c r="H490" s="2">
        <v>25430</v>
      </c>
      <c r="I490" s="2">
        <v>45441</v>
      </c>
      <c r="J490" s="1">
        <v>15.97</v>
      </c>
      <c r="K490" s="4">
        <f t="shared" si="20"/>
        <v>406.13786100000004</v>
      </c>
      <c r="L490" s="4">
        <f t="shared" si="21"/>
        <v>2136.992139</v>
      </c>
    </row>
    <row r="491" spans="1:12" x14ac:dyDescent="0.3">
      <c r="A491" s="1">
        <v>1489</v>
      </c>
      <c r="B491" s="2">
        <v>45218</v>
      </c>
      <c r="C491" s="1" t="s">
        <v>14</v>
      </c>
      <c r="D491" s="1" t="s">
        <v>65</v>
      </c>
      <c r="E491" s="1" t="s">
        <v>19</v>
      </c>
      <c r="F491" s="1">
        <v>640.26</v>
      </c>
      <c r="G491" s="1" t="s">
        <v>253</v>
      </c>
      <c r="H491" s="2">
        <v>27131</v>
      </c>
      <c r="I491" s="2">
        <v>45230</v>
      </c>
      <c r="J491" s="1">
        <v>21</v>
      </c>
      <c r="K491" s="4">
        <f t="shared" si="20"/>
        <v>134.4546</v>
      </c>
      <c r="L491" s="4">
        <f t="shared" si="21"/>
        <v>505.80539999999996</v>
      </c>
    </row>
    <row r="492" spans="1:12" x14ac:dyDescent="0.3">
      <c r="A492" s="1">
        <v>1490</v>
      </c>
      <c r="B492" s="2">
        <v>45262</v>
      </c>
      <c r="C492" s="1" t="s">
        <v>35</v>
      </c>
      <c r="D492" s="1" t="s">
        <v>55</v>
      </c>
      <c r="E492" s="1" t="s">
        <v>31</v>
      </c>
      <c r="F492" s="1">
        <v>3779.96</v>
      </c>
      <c r="G492" s="1" t="s">
        <v>281</v>
      </c>
      <c r="H492" s="2">
        <v>37927</v>
      </c>
      <c r="I492" s="2">
        <v>45266</v>
      </c>
      <c r="J492" s="1">
        <v>32.18</v>
      </c>
      <c r="K492" s="4">
        <f t="shared" si="20"/>
        <v>1216.391128</v>
      </c>
      <c r="L492" s="4">
        <f t="shared" si="21"/>
        <v>2563.5688719999998</v>
      </c>
    </row>
    <row r="493" spans="1:12" x14ac:dyDescent="0.3">
      <c r="A493" s="1">
        <v>1491</v>
      </c>
      <c r="B493" s="2">
        <v>44682</v>
      </c>
      <c r="C493" s="1" t="s">
        <v>21</v>
      </c>
      <c r="D493" s="1" t="s">
        <v>24</v>
      </c>
      <c r="E493" s="1" t="s">
        <v>19</v>
      </c>
      <c r="F493" s="1">
        <v>2268.23</v>
      </c>
      <c r="G493" s="1" t="s">
        <v>226</v>
      </c>
      <c r="H493" s="2">
        <v>33332</v>
      </c>
      <c r="I493" s="2">
        <v>44689</v>
      </c>
      <c r="J493" s="1">
        <v>40.47</v>
      </c>
      <c r="K493" s="4">
        <f t="shared" si="20"/>
        <v>917.95268099999998</v>
      </c>
      <c r="L493" s="4">
        <f t="shared" si="21"/>
        <v>1350.277319</v>
      </c>
    </row>
    <row r="494" spans="1:12" x14ac:dyDescent="0.3">
      <c r="A494" s="1">
        <v>1492</v>
      </c>
      <c r="B494" s="2">
        <v>44582</v>
      </c>
      <c r="C494" s="1" t="s">
        <v>35</v>
      </c>
      <c r="D494" s="1" t="s">
        <v>69</v>
      </c>
      <c r="E494" s="1" t="s">
        <v>31</v>
      </c>
      <c r="F494" s="1">
        <v>857.98</v>
      </c>
      <c r="G494" s="1" t="s">
        <v>202</v>
      </c>
      <c r="H494" s="2">
        <v>24802</v>
      </c>
      <c r="I494" s="2">
        <v>44595</v>
      </c>
      <c r="J494" s="1">
        <v>8.44</v>
      </c>
      <c r="K494" s="4">
        <f t="shared" si="20"/>
        <v>72.413511999999997</v>
      </c>
      <c r="L494" s="4">
        <f t="shared" si="21"/>
        <v>785.56648800000005</v>
      </c>
    </row>
    <row r="495" spans="1:12" x14ac:dyDescent="0.3">
      <c r="A495" s="1">
        <v>1493</v>
      </c>
      <c r="B495" s="2">
        <v>44415</v>
      </c>
      <c r="C495" s="1" t="s">
        <v>14</v>
      </c>
      <c r="D495" s="1" t="s">
        <v>38</v>
      </c>
      <c r="E495" s="1" t="s">
        <v>28</v>
      </c>
      <c r="F495" s="1">
        <v>4476.6400000000003</v>
      </c>
      <c r="G495" s="1" t="s">
        <v>221</v>
      </c>
      <c r="H495" s="2">
        <v>35658</v>
      </c>
      <c r="I495" s="2">
        <v>44417</v>
      </c>
      <c r="J495" s="1">
        <v>13.84</v>
      </c>
      <c r="K495" s="4">
        <f t="shared" si="20"/>
        <v>619.56697600000007</v>
      </c>
      <c r="L495" s="4">
        <f t="shared" si="21"/>
        <v>3857.0730240000003</v>
      </c>
    </row>
    <row r="496" spans="1:12" x14ac:dyDescent="0.3">
      <c r="A496" s="1">
        <v>1494</v>
      </c>
      <c r="B496" s="2">
        <v>44484</v>
      </c>
      <c r="C496" s="1" t="s">
        <v>10</v>
      </c>
      <c r="D496" s="1" t="s">
        <v>88</v>
      </c>
      <c r="E496" s="1" t="s">
        <v>16</v>
      </c>
      <c r="F496" s="1">
        <v>3755.32</v>
      </c>
      <c r="G496" s="1" t="s">
        <v>282</v>
      </c>
      <c r="H496" s="2">
        <v>38073</v>
      </c>
      <c r="I496" s="2">
        <v>44489</v>
      </c>
      <c r="J496" s="1">
        <v>39.659999999999997</v>
      </c>
      <c r="K496" s="4">
        <f t="shared" si="20"/>
        <v>1489.3599119999999</v>
      </c>
      <c r="L496" s="4">
        <f t="shared" si="21"/>
        <v>2265.9600880000003</v>
      </c>
    </row>
    <row r="497" spans="1:12" x14ac:dyDescent="0.3">
      <c r="A497" s="1">
        <v>1495</v>
      </c>
      <c r="B497" s="2">
        <v>45829</v>
      </c>
      <c r="C497" s="1" t="s">
        <v>21</v>
      </c>
      <c r="D497" s="1" t="s">
        <v>11</v>
      </c>
      <c r="E497" s="1" t="s">
        <v>12</v>
      </c>
      <c r="F497" s="1">
        <v>4164.7700000000004</v>
      </c>
      <c r="G497" s="1" t="s">
        <v>264</v>
      </c>
      <c r="H497" s="2">
        <v>30232</v>
      </c>
      <c r="I497" s="2">
        <v>45832</v>
      </c>
      <c r="J497" s="1">
        <v>40.119999999999997</v>
      </c>
      <c r="K497" s="4">
        <f t="shared" si="20"/>
        <v>1670.9057240000002</v>
      </c>
      <c r="L497" s="4">
        <f t="shared" si="21"/>
        <v>2493.8642760000002</v>
      </c>
    </row>
    <row r="498" spans="1:12" x14ac:dyDescent="0.3">
      <c r="A498" s="1">
        <v>1496</v>
      </c>
      <c r="B498" s="2">
        <v>45316</v>
      </c>
      <c r="C498" s="1" t="s">
        <v>35</v>
      </c>
      <c r="D498" s="1" t="s">
        <v>102</v>
      </c>
      <c r="E498" s="1" t="s">
        <v>12</v>
      </c>
      <c r="F498" s="1">
        <v>897.52</v>
      </c>
      <c r="G498" s="1" t="s">
        <v>108</v>
      </c>
      <c r="H498" s="2">
        <v>33413</v>
      </c>
      <c r="I498" s="2">
        <v>45326</v>
      </c>
      <c r="J498" s="1">
        <v>8.91</v>
      </c>
      <c r="K498" s="4">
        <f t="shared" si="20"/>
        <v>79.969031999999999</v>
      </c>
      <c r="L498" s="4">
        <f t="shared" si="21"/>
        <v>817.55096800000001</v>
      </c>
    </row>
    <row r="499" spans="1:12" x14ac:dyDescent="0.3">
      <c r="A499" s="1">
        <v>1497</v>
      </c>
      <c r="B499" s="2">
        <v>44840</v>
      </c>
      <c r="C499" s="1" t="s">
        <v>35</v>
      </c>
      <c r="D499" s="1" t="s">
        <v>73</v>
      </c>
      <c r="E499" s="1" t="s">
        <v>28</v>
      </c>
      <c r="F499" s="1">
        <v>4921.43</v>
      </c>
      <c r="G499" s="1" t="s">
        <v>67</v>
      </c>
      <c r="H499" s="2">
        <v>34016</v>
      </c>
      <c r="I499" s="2">
        <v>44843</v>
      </c>
      <c r="J499" s="1">
        <v>16.77</v>
      </c>
      <c r="K499" s="4">
        <f t="shared" si="20"/>
        <v>825.32381099999998</v>
      </c>
      <c r="L499" s="4">
        <f t="shared" si="21"/>
        <v>4096.1061890000001</v>
      </c>
    </row>
    <row r="500" spans="1:12" x14ac:dyDescent="0.3">
      <c r="A500" s="1">
        <v>1498</v>
      </c>
      <c r="B500" s="2">
        <v>44528</v>
      </c>
      <c r="C500" s="1" t="s">
        <v>14</v>
      </c>
      <c r="D500" s="1" t="s">
        <v>18</v>
      </c>
      <c r="E500" s="1" t="s">
        <v>19</v>
      </c>
      <c r="F500" s="1">
        <v>216.97</v>
      </c>
      <c r="G500" s="1" t="s">
        <v>265</v>
      </c>
      <c r="H500" s="2">
        <v>38899</v>
      </c>
      <c r="I500" s="2">
        <v>44537</v>
      </c>
      <c r="J500" s="1">
        <v>41.44</v>
      </c>
      <c r="K500" s="4">
        <f t="shared" si="20"/>
        <v>89.912368000000001</v>
      </c>
      <c r="L500" s="4">
        <f t="shared" si="21"/>
        <v>127.057632</v>
      </c>
    </row>
    <row r="501" spans="1:12" x14ac:dyDescent="0.3">
      <c r="A501" s="1">
        <v>1499</v>
      </c>
      <c r="B501" s="2">
        <v>44540</v>
      </c>
      <c r="C501" s="1" t="s">
        <v>10</v>
      </c>
      <c r="D501" s="1" t="s">
        <v>44</v>
      </c>
      <c r="E501" s="1" t="s">
        <v>16</v>
      </c>
      <c r="F501" s="1">
        <v>2393.89</v>
      </c>
      <c r="G501" s="1" t="s">
        <v>283</v>
      </c>
      <c r="H501" s="2">
        <v>30117</v>
      </c>
      <c r="I501" s="2">
        <v>44551</v>
      </c>
      <c r="J501" s="1">
        <v>10.87</v>
      </c>
      <c r="K501" s="4">
        <f t="shared" si="20"/>
        <v>260.21584299999995</v>
      </c>
      <c r="L501" s="4">
        <f t="shared" si="21"/>
        <v>2133.6741569999999</v>
      </c>
    </row>
    <row r="502" spans="1:12" x14ac:dyDescent="0.3">
      <c r="A502" s="1">
        <v>1500</v>
      </c>
      <c r="B502" s="2">
        <v>45298</v>
      </c>
      <c r="C502" s="1" t="s">
        <v>35</v>
      </c>
      <c r="D502" s="1" t="s">
        <v>88</v>
      </c>
      <c r="E502" s="1" t="s">
        <v>16</v>
      </c>
      <c r="F502" s="1">
        <v>3767.29</v>
      </c>
      <c r="G502" s="1" t="s">
        <v>215</v>
      </c>
      <c r="H502" s="2">
        <v>31386</v>
      </c>
      <c r="I502" s="2">
        <v>45310</v>
      </c>
      <c r="J502" s="1">
        <v>15.91</v>
      </c>
      <c r="K502" s="4">
        <f t="shared" si="20"/>
        <v>599.37583899999993</v>
      </c>
      <c r="L502" s="4">
        <f t="shared" si="21"/>
        <v>3167.9141610000001</v>
      </c>
    </row>
    <row r="503" spans="1:12" x14ac:dyDescent="0.3">
      <c r="A503" s="1">
        <v>1501</v>
      </c>
      <c r="B503" s="2">
        <v>45230</v>
      </c>
      <c r="C503" s="1" t="s">
        <v>21</v>
      </c>
      <c r="D503" s="1" t="s">
        <v>30</v>
      </c>
      <c r="E503" s="1" t="s">
        <v>31</v>
      </c>
      <c r="F503" s="1">
        <v>1246.26</v>
      </c>
      <c r="G503" s="1" t="s">
        <v>155</v>
      </c>
      <c r="H503" s="2">
        <v>27688</v>
      </c>
      <c r="I503" s="2">
        <v>45232</v>
      </c>
      <c r="J503" s="1">
        <v>7.94</v>
      </c>
      <c r="K503" s="4">
        <f t="shared" si="20"/>
        <v>98.953043999999991</v>
      </c>
      <c r="L503" s="4">
        <f t="shared" si="21"/>
        <v>1147.3069559999999</v>
      </c>
    </row>
    <row r="504" spans="1:12" x14ac:dyDescent="0.3">
      <c r="A504" s="1">
        <v>1502</v>
      </c>
      <c r="B504" s="2">
        <v>44328</v>
      </c>
      <c r="C504" s="1" t="s">
        <v>10</v>
      </c>
      <c r="D504" s="1" t="s">
        <v>22</v>
      </c>
      <c r="E504" s="1" t="s">
        <v>19</v>
      </c>
      <c r="F504" s="1">
        <v>1825.7</v>
      </c>
      <c r="G504" s="1" t="s">
        <v>284</v>
      </c>
      <c r="H504" s="2">
        <v>34338</v>
      </c>
      <c r="I504" s="2">
        <v>44340</v>
      </c>
      <c r="J504" s="1">
        <v>34.07</v>
      </c>
      <c r="K504" s="4">
        <f t="shared" si="20"/>
        <v>622.01598999999999</v>
      </c>
      <c r="L504" s="4">
        <f t="shared" si="21"/>
        <v>1203.6840099999999</v>
      </c>
    </row>
    <row r="505" spans="1:12" x14ac:dyDescent="0.3">
      <c r="A505" s="1">
        <v>1503</v>
      </c>
      <c r="B505" s="2">
        <v>44961</v>
      </c>
      <c r="C505" s="1" t="s">
        <v>26</v>
      </c>
      <c r="D505" s="1" t="s">
        <v>38</v>
      </c>
      <c r="E505" s="1" t="s">
        <v>28</v>
      </c>
      <c r="F505" s="1">
        <v>1119.8599999999999</v>
      </c>
      <c r="G505" s="1" t="s">
        <v>166</v>
      </c>
      <c r="H505" s="2">
        <v>27879</v>
      </c>
      <c r="I505" s="2">
        <v>44968</v>
      </c>
      <c r="J505" s="1">
        <v>7.51</v>
      </c>
      <c r="K505" s="4">
        <f t="shared" si="20"/>
        <v>84.101485999999994</v>
      </c>
      <c r="L505" s="4">
        <f t="shared" si="21"/>
        <v>1035.7585139999999</v>
      </c>
    </row>
    <row r="506" spans="1:12" x14ac:dyDescent="0.3">
      <c r="A506" s="1">
        <v>1504</v>
      </c>
      <c r="B506" s="2">
        <v>44975</v>
      </c>
      <c r="C506" s="1" t="s">
        <v>21</v>
      </c>
      <c r="D506" s="1" t="s">
        <v>102</v>
      </c>
      <c r="E506" s="1" t="s">
        <v>12</v>
      </c>
      <c r="F506" s="1">
        <v>1079.6199999999999</v>
      </c>
      <c r="G506" s="1" t="s">
        <v>120</v>
      </c>
      <c r="H506" s="2">
        <v>30820</v>
      </c>
      <c r="I506" s="2">
        <v>44988</v>
      </c>
      <c r="J506" s="1">
        <v>18.41</v>
      </c>
      <c r="K506" s="4">
        <f t="shared" si="20"/>
        <v>198.75804199999999</v>
      </c>
      <c r="L506" s="4">
        <f t="shared" si="21"/>
        <v>880.86195799999996</v>
      </c>
    </row>
    <row r="507" spans="1:12" x14ac:dyDescent="0.3">
      <c r="A507" s="1">
        <v>1505</v>
      </c>
      <c r="B507" s="2">
        <v>44953</v>
      </c>
      <c r="C507" s="1" t="s">
        <v>21</v>
      </c>
      <c r="D507" s="1" t="s">
        <v>65</v>
      </c>
      <c r="E507" s="1" t="s">
        <v>19</v>
      </c>
      <c r="F507" s="1">
        <v>989.3</v>
      </c>
      <c r="G507" s="1" t="s">
        <v>236</v>
      </c>
      <c r="H507" s="2">
        <v>36099</v>
      </c>
      <c r="I507" s="2">
        <v>44967</v>
      </c>
      <c r="J507" s="1">
        <v>9.18</v>
      </c>
      <c r="K507" s="4">
        <f t="shared" si="20"/>
        <v>90.817739999999986</v>
      </c>
      <c r="L507" s="4">
        <f t="shared" si="21"/>
        <v>898.48226</v>
      </c>
    </row>
    <row r="508" spans="1:12" x14ac:dyDescent="0.3">
      <c r="A508" s="1">
        <v>1506</v>
      </c>
      <c r="B508" s="2">
        <v>44372</v>
      </c>
      <c r="C508" s="1" t="s">
        <v>10</v>
      </c>
      <c r="D508" s="1" t="s">
        <v>18</v>
      </c>
      <c r="E508" s="1" t="s">
        <v>19</v>
      </c>
      <c r="F508" s="1">
        <v>4408.54</v>
      </c>
      <c r="G508" s="1" t="s">
        <v>208</v>
      </c>
      <c r="H508" s="2">
        <v>32188</v>
      </c>
      <c r="I508" s="2">
        <v>44382</v>
      </c>
      <c r="J508" s="1">
        <v>12.47</v>
      </c>
      <c r="K508" s="4">
        <f t="shared" si="20"/>
        <v>549.74493800000005</v>
      </c>
      <c r="L508" s="4">
        <f t="shared" si="21"/>
        <v>3858.7950620000001</v>
      </c>
    </row>
    <row r="509" spans="1:12" x14ac:dyDescent="0.3">
      <c r="A509" s="1">
        <v>1507</v>
      </c>
      <c r="B509" s="2">
        <v>45596</v>
      </c>
      <c r="C509" s="1" t="s">
        <v>21</v>
      </c>
      <c r="D509" s="1" t="s">
        <v>33</v>
      </c>
      <c r="E509" s="1" t="s">
        <v>16</v>
      </c>
      <c r="F509" s="1">
        <v>308.79000000000002</v>
      </c>
      <c r="G509" s="1" t="s">
        <v>117</v>
      </c>
      <c r="H509" s="2">
        <v>23513</v>
      </c>
      <c r="I509" s="2">
        <v>45603</v>
      </c>
      <c r="J509" s="1">
        <v>15.92</v>
      </c>
      <c r="K509" s="4">
        <f t="shared" si="20"/>
        <v>49.159368000000008</v>
      </c>
      <c r="L509" s="4">
        <f t="shared" si="21"/>
        <v>259.63063199999999</v>
      </c>
    </row>
    <row r="510" spans="1:12" x14ac:dyDescent="0.3">
      <c r="A510" s="1">
        <v>1508</v>
      </c>
      <c r="B510" s="2">
        <v>44487</v>
      </c>
      <c r="C510" s="1" t="s">
        <v>14</v>
      </c>
      <c r="D510" s="1" t="s">
        <v>15</v>
      </c>
      <c r="E510" s="1" t="s">
        <v>16</v>
      </c>
      <c r="F510" s="1">
        <v>2775.54</v>
      </c>
      <c r="G510" s="1" t="s">
        <v>129</v>
      </c>
      <c r="H510" s="2">
        <v>26668</v>
      </c>
      <c r="I510" s="2">
        <v>44494</v>
      </c>
      <c r="J510" s="1">
        <v>22.41</v>
      </c>
      <c r="K510" s="4">
        <f t="shared" si="20"/>
        <v>621.998514</v>
      </c>
      <c r="L510" s="4">
        <f t="shared" si="21"/>
        <v>2153.5414860000001</v>
      </c>
    </row>
    <row r="511" spans="1:12" x14ac:dyDescent="0.3">
      <c r="A511" s="1">
        <v>1509</v>
      </c>
      <c r="B511" s="2">
        <v>44557</v>
      </c>
      <c r="C511" s="1" t="s">
        <v>21</v>
      </c>
      <c r="D511" s="1" t="s">
        <v>36</v>
      </c>
      <c r="E511" s="1" t="s">
        <v>28</v>
      </c>
      <c r="F511" s="1">
        <v>2170.37</v>
      </c>
      <c r="G511" s="1" t="s">
        <v>285</v>
      </c>
      <c r="H511" s="2">
        <v>26988</v>
      </c>
      <c r="I511" s="2">
        <v>44559</v>
      </c>
      <c r="J511" s="1">
        <v>27.89</v>
      </c>
      <c r="K511" s="4">
        <f t="shared" si="20"/>
        <v>605.31619299999988</v>
      </c>
      <c r="L511" s="4">
        <f t="shared" si="21"/>
        <v>1565.053807</v>
      </c>
    </row>
    <row r="512" spans="1:12" x14ac:dyDescent="0.3">
      <c r="A512" s="1">
        <v>1510</v>
      </c>
      <c r="B512" s="2">
        <v>44078</v>
      </c>
      <c r="C512" s="1" t="s">
        <v>14</v>
      </c>
      <c r="D512" s="1" t="s">
        <v>61</v>
      </c>
      <c r="E512" s="1" t="s">
        <v>19</v>
      </c>
      <c r="F512" s="1">
        <v>948.94</v>
      </c>
      <c r="G512" s="1" t="s">
        <v>173</v>
      </c>
      <c r="H512" s="2">
        <v>22016</v>
      </c>
      <c r="I512" s="2">
        <v>44090</v>
      </c>
      <c r="J512" s="1">
        <v>21.04</v>
      </c>
      <c r="K512" s="4">
        <f t="shared" si="20"/>
        <v>199.65697600000001</v>
      </c>
      <c r="L512" s="4">
        <f t="shared" si="21"/>
        <v>749.28302400000007</v>
      </c>
    </row>
    <row r="513" spans="1:12" x14ac:dyDescent="0.3">
      <c r="A513" s="1">
        <v>1511</v>
      </c>
      <c r="B513" s="2">
        <v>44328</v>
      </c>
      <c r="C513" s="1" t="s">
        <v>26</v>
      </c>
      <c r="D513" s="1" t="s">
        <v>55</v>
      </c>
      <c r="E513" s="1" t="s">
        <v>31</v>
      </c>
      <c r="F513" s="1">
        <v>3452.36</v>
      </c>
      <c r="G513" s="1" t="s">
        <v>17</v>
      </c>
      <c r="H513" s="2">
        <v>26484</v>
      </c>
      <c r="I513" s="2">
        <v>44333</v>
      </c>
      <c r="J513" s="1">
        <v>26.13</v>
      </c>
      <c r="K513" s="4">
        <f t="shared" si="20"/>
        <v>902.1016679999999</v>
      </c>
      <c r="L513" s="4">
        <f t="shared" si="21"/>
        <v>2550.2583320000003</v>
      </c>
    </row>
    <row r="514" spans="1:12" x14ac:dyDescent="0.3">
      <c r="A514" s="1">
        <v>1512</v>
      </c>
      <c r="B514" s="2">
        <v>44119</v>
      </c>
      <c r="C514" s="1" t="s">
        <v>35</v>
      </c>
      <c r="D514" s="1" t="s">
        <v>24</v>
      </c>
      <c r="E514" s="1" t="s">
        <v>19</v>
      </c>
      <c r="F514" s="1">
        <v>4036.97</v>
      </c>
      <c r="G514" s="1" t="s">
        <v>228</v>
      </c>
      <c r="H514" s="2">
        <v>25811</v>
      </c>
      <c r="I514" s="2">
        <v>44128</v>
      </c>
      <c r="J514" s="1">
        <v>10.38</v>
      </c>
      <c r="K514" s="4">
        <f t="shared" si="20"/>
        <v>419.037486</v>
      </c>
      <c r="L514" s="4">
        <f t="shared" si="21"/>
        <v>3617.9325139999996</v>
      </c>
    </row>
    <row r="515" spans="1:12" x14ac:dyDescent="0.3">
      <c r="A515" s="1">
        <v>1513</v>
      </c>
      <c r="B515" s="2">
        <v>44590</v>
      </c>
      <c r="C515" s="1" t="s">
        <v>35</v>
      </c>
      <c r="D515" s="1" t="s">
        <v>24</v>
      </c>
      <c r="E515" s="1" t="s">
        <v>19</v>
      </c>
      <c r="F515" s="1">
        <v>492.46</v>
      </c>
      <c r="G515" s="1" t="s">
        <v>213</v>
      </c>
      <c r="H515" s="2">
        <v>34345</v>
      </c>
      <c r="I515" s="2">
        <v>44602</v>
      </c>
      <c r="J515" s="1">
        <v>44.35</v>
      </c>
      <c r="K515" s="4">
        <f t="shared" ref="K515:K578" si="22">F515*J515%</f>
        <v>218.40600999999998</v>
      </c>
      <c r="L515" s="4">
        <f t="shared" ref="L515:L578" si="23">F515-K515</f>
        <v>274.05399</v>
      </c>
    </row>
    <row r="516" spans="1:12" x14ac:dyDescent="0.3">
      <c r="A516" s="1">
        <v>1514</v>
      </c>
      <c r="B516" s="2">
        <v>44426</v>
      </c>
      <c r="C516" s="1" t="s">
        <v>35</v>
      </c>
      <c r="D516" s="1" t="s">
        <v>53</v>
      </c>
      <c r="E516" s="1" t="s">
        <v>28</v>
      </c>
      <c r="F516" s="1">
        <v>4324.25</v>
      </c>
      <c r="G516" s="1" t="s">
        <v>267</v>
      </c>
      <c r="H516" s="2">
        <v>38039</v>
      </c>
      <c r="I516" s="2">
        <v>44439</v>
      </c>
      <c r="J516" s="1">
        <v>17.28</v>
      </c>
      <c r="K516" s="4">
        <f t="shared" si="22"/>
        <v>747.23040000000003</v>
      </c>
      <c r="L516" s="4">
        <f t="shared" si="23"/>
        <v>3577.0196000000001</v>
      </c>
    </row>
    <row r="517" spans="1:12" x14ac:dyDescent="0.3">
      <c r="A517" s="1">
        <v>1515</v>
      </c>
      <c r="B517" s="2">
        <v>44823</v>
      </c>
      <c r="C517" s="1" t="s">
        <v>21</v>
      </c>
      <c r="D517" s="1" t="s">
        <v>11</v>
      </c>
      <c r="E517" s="1" t="s">
        <v>12</v>
      </c>
      <c r="F517" s="1">
        <v>1005.2</v>
      </c>
      <c r="G517" s="1" t="s">
        <v>286</v>
      </c>
      <c r="H517" s="2">
        <v>33430</v>
      </c>
      <c r="I517" s="2">
        <v>44828</v>
      </c>
      <c r="J517" s="1">
        <v>17.05</v>
      </c>
      <c r="K517" s="4">
        <f t="shared" si="22"/>
        <v>171.38660000000002</v>
      </c>
      <c r="L517" s="4">
        <f t="shared" si="23"/>
        <v>833.8134</v>
      </c>
    </row>
    <row r="518" spans="1:12" x14ac:dyDescent="0.3">
      <c r="A518" s="1">
        <v>1516</v>
      </c>
      <c r="B518" s="2">
        <v>45407</v>
      </c>
      <c r="C518" s="1" t="s">
        <v>35</v>
      </c>
      <c r="D518" s="1" t="s">
        <v>53</v>
      </c>
      <c r="E518" s="1" t="s">
        <v>28</v>
      </c>
      <c r="F518" s="1">
        <v>4842.41</v>
      </c>
      <c r="G518" s="1" t="s">
        <v>111</v>
      </c>
      <c r="H518" s="2">
        <v>34704</v>
      </c>
      <c r="I518" s="2">
        <v>45416</v>
      </c>
      <c r="J518" s="1">
        <v>30.21</v>
      </c>
      <c r="K518" s="4">
        <f t="shared" si="22"/>
        <v>1462.8920610000002</v>
      </c>
      <c r="L518" s="4">
        <f t="shared" si="23"/>
        <v>3379.5179389999994</v>
      </c>
    </row>
    <row r="519" spans="1:12" x14ac:dyDescent="0.3">
      <c r="A519" s="1">
        <v>1517</v>
      </c>
      <c r="B519" s="2">
        <v>45136</v>
      </c>
      <c r="C519" s="1" t="s">
        <v>10</v>
      </c>
      <c r="D519" s="1" t="s">
        <v>40</v>
      </c>
      <c r="E519" s="1" t="s">
        <v>16</v>
      </c>
      <c r="F519" s="1">
        <v>997.82</v>
      </c>
      <c r="G519" s="1" t="s">
        <v>141</v>
      </c>
      <c r="H519" s="2">
        <v>35559</v>
      </c>
      <c r="I519" s="2">
        <v>45144</v>
      </c>
      <c r="J519" s="1">
        <v>10.050000000000001</v>
      </c>
      <c r="K519" s="4">
        <f t="shared" si="22"/>
        <v>100.28091000000001</v>
      </c>
      <c r="L519" s="4">
        <f t="shared" si="23"/>
        <v>897.53908999999999</v>
      </c>
    </row>
    <row r="520" spans="1:12" x14ac:dyDescent="0.3">
      <c r="A520" s="1">
        <v>1518</v>
      </c>
      <c r="B520" s="2">
        <v>44854</v>
      </c>
      <c r="C520" s="1" t="s">
        <v>35</v>
      </c>
      <c r="D520" s="1" t="s">
        <v>73</v>
      </c>
      <c r="E520" s="1" t="s">
        <v>28</v>
      </c>
      <c r="F520" s="1">
        <v>1656.3</v>
      </c>
      <c r="G520" s="1" t="s">
        <v>287</v>
      </c>
      <c r="H520" s="2">
        <v>36329</v>
      </c>
      <c r="I520" s="2">
        <v>44867</v>
      </c>
      <c r="J520" s="1">
        <v>34.54</v>
      </c>
      <c r="K520" s="4">
        <f t="shared" si="22"/>
        <v>572.08601999999996</v>
      </c>
      <c r="L520" s="4">
        <f t="shared" si="23"/>
        <v>1084.21398</v>
      </c>
    </row>
    <row r="521" spans="1:12" x14ac:dyDescent="0.3">
      <c r="A521" s="1">
        <v>1519</v>
      </c>
      <c r="B521" s="2">
        <v>44420</v>
      </c>
      <c r="C521" s="1" t="s">
        <v>10</v>
      </c>
      <c r="D521" s="1" t="s">
        <v>49</v>
      </c>
      <c r="E521" s="1" t="s">
        <v>12</v>
      </c>
      <c r="F521" s="1">
        <v>3717.54</v>
      </c>
      <c r="G521" s="1" t="s">
        <v>197</v>
      </c>
      <c r="H521" s="2">
        <v>26001</v>
      </c>
      <c r="I521" s="2">
        <v>44430</v>
      </c>
      <c r="J521" s="1">
        <v>27.61</v>
      </c>
      <c r="K521" s="4">
        <f t="shared" si="22"/>
        <v>1026.4127940000001</v>
      </c>
      <c r="L521" s="4">
        <f t="shared" si="23"/>
        <v>2691.1272060000001</v>
      </c>
    </row>
    <row r="522" spans="1:12" x14ac:dyDescent="0.3">
      <c r="A522" s="1">
        <v>1520</v>
      </c>
      <c r="B522" s="2">
        <v>44433</v>
      </c>
      <c r="C522" s="1" t="s">
        <v>26</v>
      </c>
      <c r="D522" s="1" t="s">
        <v>22</v>
      </c>
      <c r="E522" s="1" t="s">
        <v>19</v>
      </c>
      <c r="F522" s="1">
        <v>2034.68</v>
      </c>
      <c r="G522" s="1" t="s">
        <v>112</v>
      </c>
      <c r="H522" s="2">
        <v>38171</v>
      </c>
      <c r="I522" s="2">
        <v>44443</v>
      </c>
      <c r="J522" s="1">
        <v>30.93</v>
      </c>
      <c r="K522" s="4">
        <f t="shared" si="22"/>
        <v>629.32652400000006</v>
      </c>
      <c r="L522" s="4">
        <f t="shared" si="23"/>
        <v>1405.353476</v>
      </c>
    </row>
    <row r="523" spans="1:12" x14ac:dyDescent="0.3">
      <c r="A523" s="1">
        <v>1521</v>
      </c>
      <c r="B523" s="2">
        <v>44931</v>
      </c>
      <c r="C523" s="1" t="s">
        <v>26</v>
      </c>
      <c r="D523" s="1" t="s">
        <v>73</v>
      </c>
      <c r="E523" s="1" t="s">
        <v>28</v>
      </c>
      <c r="F523" s="1">
        <v>1919.95</v>
      </c>
      <c r="G523" s="1" t="s">
        <v>288</v>
      </c>
      <c r="H523" s="2">
        <v>29810</v>
      </c>
      <c r="I523" s="2">
        <v>44934</v>
      </c>
      <c r="J523" s="1">
        <v>19.54</v>
      </c>
      <c r="K523" s="4">
        <f t="shared" si="22"/>
        <v>375.15823</v>
      </c>
      <c r="L523" s="4">
        <f t="shared" si="23"/>
        <v>1544.79177</v>
      </c>
    </row>
    <row r="524" spans="1:12" x14ac:dyDescent="0.3">
      <c r="A524" s="1">
        <v>1522</v>
      </c>
      <c r="B524" s="2">
        <v>44205</v>
      </c>
      <c r="C524" s="1" t="s">
        <v>35</v>
      </c>
      <c r="D524" s="1" t="s">
        <v>49</v>
      </c>
      <c r="E524" s="1" t="s">
        <v>12</v>
      </c>
      <c r="F524" s="1">
        <v>512.12</v>
      </c>
      <c r="G524" s="1" t="s">
        <v>289</v>
      </c>
      <c r="H524" s="2">
        <v>21923</v>
      </c>
      <c r="I524" s="2">
        <v>44219</v>
      </c>
      <c r="J524" s="1">
        <v>11.52</v>
      </c>
      <c r="K524" s="4">
        <f t="shared" si="22"/>
        <v>58.996223999999998</v>
      </c>
      <c r="L524" s="4">
        <f t="shared" si="23"/>
        <v>453.12377600000002</v>
      </c>
    </row>
    <row r="525" spans="1:12" x14ac:dyDescent="0.3">
      <c r="A525" s="1">
        <v>1523</v>
      </c>
      <c r="B525" s="2">
        <v>44336</v>
      </c>
      <c r="C525" s="1" t="s">
        <v>26</v>
      </c>
      <c r="D525" s="1" t="s">
        <v>38</v>
      </c>
      <c r="E525" s="1" t="s">
        <v>28</v>
      </c>
      <c r="F525" s="1">
        <v>4331.62</v>
      </c>
      <c r="G525" s="1" t="s">
        <v>169</v>
      </c>
      <c r="H525" s="2">
        <v>37894</v>
      </c>
      <c r="I525" s="2">
        <v>44338</v>
      </c>
      <c r="J525" s="1">
        <v>42.1</v>
      </c>
      <c r="K525" s="4">
        <f t="shared" si="22"/>
        <v>1823.61202</v>
      </c>
      <c r="L525" s="4">
        <f t="shared" si="23"/>
        <v>2508.0079799999999</v>
      </c>
    </row>
    <row r="526" spans="1:12" x14ac:dyDescent="0.3">
      <c r="A526" s="1">
        <v>1524</v>
      </c>
      <c r="B526" s="2">
        <v>45705</v>
      </c>
      <c r="C526" s="1" t="s">
        <v>21</v>
      </c>
      <c r="D526" s="1" t="s">
        <v>53</v>
      </c>
      <c r="E526" s="1" t="s">
        <v>28</v>
      </c>
      <c r="F526" s="1">
        <v>3743.49</v>
      </c>
      <c r="G526" s="1" t="s">
        <v>113</v>
      </c>
      <c r="H526" s="2">
        <v>25579</v>
      </c>
      <c r="I526" s="2">
        <v>45707</v>
      </c>
      <c r="J526" s="1">
        <v>41.5</v>
      </c>
      <c r="K526" s="4">
        <f t="shared" si="22"/>
        <v>1553.5483499999998</v>
      </c>
      <c r="L526" s="4">
        <f t="shared" si="23"/>
        <v>2189.9416499999998</v>
      </c>
    </row>
    <row r="527" spans="1:12" x14ac:dyDescent="0.3">
      <c r="A527" s="1">
        <v>1525</v>
      </c>
      <c r="B527" s="2">
        <v>44123</v>
      </c>
      <c r="C527" s="1" t="s">
        <v>35</v>
      </c>
      <c r="D527" s="1" t="s">
        <v>11</v>
      </c>
      <c r="E527" s="1" t="s">
        <v>12</v>
      </c>
      <c r="F527" s="1">
        <v>2623.35</v>
      </c>
      <c r="G527" s="1" t="s">
        <v>63</v>
      </c>
      <c r="H527" s="2">
        <v>25430</v>
      </c>
      <c r="I527" s="2">
        <v>44133</v>
      </c>
      <c r="J527" s="1">
        <v>33.46</v>
      </c>
      <c r="K527" s="4">
        <f t="shared" si="22"/>
        <v>877.77291000000002</v>
      </c>
      <c r="L527" s="4">
        <f t="shared" si="23"/>
        <v>1745.5770899999998</v>
      </c>
    </row>
    <row r="528" spans="1:12" x14ac:dyDescent="0.3">
      <c r="A528" s="1">
        <v>1526</v>
      </c>
      <c r="B528" s="2">
        <v>44476</v>
      </c>
      <c r="C528" s="1" t="s">
        <v>26</v>
      </c>
      <c r="D528" s="1" t="s">
        <v>27</v>
      </c>
      <c r="E528" s="1" t="s">
        <v>28</v>
      </c>
      <c r="F528" s="1">
        <v>651.98</v>
      </c>
      <c r="G528" s="1" t="s">
        <v>190</v>
      </c>
      <c r="H528" s="2">
        <v>33354</v>
      </c>
      <c r="I528" s="2">
        <v>44487</v>
      </c>
      <c r="J528" s="1">
        <v>41.88</v>
      </c>
      <c r="K528" s="4">
        <f t="shared" si="22"/>
        <v>273.04922400000004</v>
      </c>
      <c r="L528" s="4">
        <f t="shared" si="23"/>
        <v>378.93077599999998</v>
      </c>
    </row>
    <row r="529" spans="1:12" x14ac:dyDescent="0.3">
      <c r="A529" s="1">
        <v>1527</v>
      </c>
      <c r="B529" s="2">
        <v>44847</v>
      </c>
      <c r="C529" s="1" t="s">
        <v>26</v>
      </c>
      <c r="D529" s="1" t="s">
        <v>30</v>
      </c>
      <c r="E529" s="1" t="s">
        <v>31</v>
      </c>
      <c r="F529" s="1">
        <v>2401.7800000000002</v>
      </c>
      <c r="G529" s="1" t="s">
        <v>154</v>
      </c>
      <c r="H529" s="2">
        <v>32146</v>
      </c>
      <c r="I529" s="2">
        <v>44849</v>
      </c>
      <c r="J529" s="1">
        <v>21.01</v>
      </c>
      <c r="K529" s="4">
        <f t="shared" si="22"/>
        <v>504.61397800000009</v>
      </c>
      <c r="L529" s="4">
        <f t="shared" si="23"/>
        <v>1897.1660220000001</v>
      </c>
    </row>
    <row r="530" spans="1:12" x14ac:dyDescent="0.3">
      <c r="A530" s="1">
        <v>1528</v>
      </c>
      <c r="B530" s="2">
        <v>44800</v>
      </c>
      <c r="C530" s="1" t="s">
        <v>35</v>
      </c>
      <c r="D530" s="1" t="s">
        <v>15</v>
      </c>
      <c r="E530" s="1" t="s">
        <v>16</v>
      </c>
      <c r="F530" s="1">
        <v>4140.24</v>
      </c>
      <c r="G530" s="1" t="s">
        <v>290</v>
      </c>
      <c r="H530" s="2">
        <v>31764</v>
      </c>
      <c r="I530" s="2">
        <v>44810</v>
      </c>
      <c r="J530" s="1">
        <v>30.47</v>
      </c>
      <c r="K530" s="4">
        <f t="shared" si="22"/>
        <v>1261.5311279999999</v>
      </c>
      <c r="L530" s="4">
        <f t="shared" si="23"/>
        <v>2878.7088720000002</v>
      </c>
    </row>
    <row r="531" spans="1:12" x14ac:dyDescent="0.3">
      <c r="A531" s="1">
        <v>1529</v>
      </c>
      <c r="B531" s="2">
        <v>44511</v>
      </c>
      <c r="C531" s="1" t="s">
        <v>21</v>
      </c>
      <c r="D531" s="1" t="s">
        <v>30</v>
      </c>
      <c r="E531" s="1" t="s">
        <v>31</v>
      </c>
      <c r="F531" s="1">
        <v>620.05999999999995</v>
      </c>
      <c r="G531" s="1" t="s">
        <v>188</v>
      </c>
      <c r="H531" s="2">
        <v>31467</v>
      </c>
      <c r="I531" s="2">
        <v>44514</v>
      </c>
      <c r="J531" s="1">
        <v>43.35</v>
      </c>
      <c r="K531" s="4">
        <f t="shared" si="22"/>
        <v>268.79600999999997</v>
      </c>
      <c r="L531" s="4">
        <f t="shared" si="23"/>
        <v>351.26398999999998</v>
      </c>
    </row>
    <row r="532" spans="1:12" x14ac:dyDescent="0.3">
      <c r="A532" s="1">
        <v>1530</v>
      </c>
      <c r="B532" s="2">
        <v>44286</v>
      </c>
      <c r="C532" s="1" t="s">
        <v>26</v>
      </c>
      <c r="D532" s="1" t="s">
        <v>61</v>
      </c>
      <c r="E532" s="1" t="s">
        <v>19</v>
      </c>
      <c r="F532" s="1">
        <v>4265.28</v>
      </c>
      <c r="G532" s="1" t="s">
        <v>80</v>
      </c>
      <c r="H532" s="2">
        <v>31578</v>
      </c>
      <c r="I532" s="2">
        <v>44287</v>
      </c>
      <c r="J532" s="1">
        <v>41.11</v>
      </c>
      <c r="K532" s="4">
        <f t="shared" si="22"/>
        <v>1753.456608</v>
      </c>
      <c r="L532" s="4">
        <f t="shared" si="23"/>
        <v>2511.8233919999998</v>
      </c>
    </row>
    <row r="533" spans="1:12" x14ac:dyDescent="0.3">
      <c r="A533" s="1">
        <v>1531</v>
      </c>
      <c r="B533" s="2">
        <v>45495</v>
      </c>
      <c r="C533" s="1" t="s">
        <v>14</v>
      </c>
      <c r="D533" s="1" t="s">
        <v>36</v>
      </c>
      <c r="E533" s="1" t="s">
        <v>28</v>
      </c>
      <c r="F533" s="1">
        <v>1451.33</v>
      </c>
      <c r="G533" s="1" t="s">
        <v>149</v>
      </c>
      <c r="H533" s="2">
        <v>26155</v>
      </c>
      <c r="I533" s="2">
        <v>45498</v>
      </c>
      <c r="J533" s="1">
        <v>13.34</v>
      </c>
      <c r="K533" s="4">
        <f t="shared" si="22"/>
        <v>193.60742199999999</v>
      </c>
      <c r="L533" s="4">
        <f t="shared" si="23"/>
        <v>1257.7225779999999</v>
      </c>
    </row>
    <row r="534" spans="1:12" x14ac:dyDescent="0.3">
      <c r="A534" s="1">
        <v>1532</v>
      </c>
      <c r="B534" s="2">
        <v>44104</v>
      </c>
      <c r="C534" s="1" t="s">
        <v>26</v>
      </c>
      <c r="D534" s="1" t="s">
        <v>27</v>
      </c>
      <c r="E534" s="1" t="s">
        <v>28</v>
      </c>
      <c r="F534" s="1">
        <v>4840.1400000000003</v>
      </c>
      <c r="G534" s="1" t="s">
        <v>291</v>
      </c>
      <c r="H534" s="2">
        <v>36645</v>
      </c>
      <c r="I534" s="2">
        <v>44111</v>
      </c>
      <c r="J534" s="1">
        <v>37.380000000000003</v>
      </c>
      <c r="K534" s="4">
        <f t="shared" si="22"/>
        <v>1809.2443320000002</v>
      </c>
      <c r="L534" s="4">
        <f t="shared" si="23"/>
        <v>3030.8956680000001</v>
      </c>
    </row>
    <row r="535" spans="1:12" x14ac:dyDescent="0.3">
      <c r="A535" s="1">
        <v>1533</v>
      </c>
      <c r="B535" s="2">
        <v>45442</v>
      </c>
      <c r="C535" s="1" t="s">
        <v>10</v>
      </c>
      <c r="D535" s="1" t="s">
        <v>44</v>
      </c>
      <c r="E535" s="1" t="s">
        <v>16</v>
      </c>
      <c r="F535" s="1">
        <v>342.76</v>
      </c>
      <c r="G535" s="1" t="s">
        <v>224</v>
      </c>
      <c r="H535" s="2">
        <v>35405</v>
      </c>
      <c r="I535" s="2">
        <v>45450</v>
      </c>
      <c r="J535" s="1">
        <v>4.42</v>
      </c>
      <c r="K535" s="4">
        <f t="shared" si="22"/>
        <v>15.149991999999997</v>
      </c>
      <c r="L535" s="4">
        <f t="shared" si="23"/>
        <v>327.61000799999999</v>
      </c>
    </row>
    <row r="536" spans="1:12" x14ac:dyDescent="0.3">
      <c r="A536" s="1">
        <v>1534</v>
      </c>
      <c r="B536" s="2">
        <v>45712</v>
      </c>
      <c r="C536" s="1" t="s">
        <v>26</v>
      </c>
      <c r="D536" s="1" t="s">
        <v>88</v>
      </c>
      <c r="E536" s="1" t="s">
        <v>16</v>
      </c>
      <c r="F536" s="1">
        <v>344.01</v>
      </c>
      <c r="G536" s="1" t="s">
        <v>156</v>
      </c>
      <c r="H536" s="2">
        <v>38693</v>
      </c>
      <c r="I536" s="2">
        <v>45713</v>
      </c>
      <c r="J536" s="1">
        <v>49.39</v>
      </c>
      <c r="K536" s="4">
        <f t="shared" si="22"/>
        <v>169.90653900000001</v>
      </c>
      <c r="L536" s="4">
        <f t="shared" si="23"/>
        <v>174.10346099999998</v>
      </c>
    </row>
    <row r="537" spans="1:12" x14ac:dyDescent="0.3">
      <c r="A537" s="1">
        <v>1535</v>
      </c>
      <c r="B537" s="2">
        <v>45849</v>
      </c>
      <c r="C537" s="1" t="s">
        <v>26</v>
      </c>
      <c r="D537" s="1" t="s">
        <v>15</v>
      </c>
      <c r="E537" s="1" t="s">
        <v>16</v>
      </c>
      <c r="F537" s="1">
        <v>2039.1</v>
      </c>
      <c r="G537" s="1" t="s">
        <v>264</v>
      </c>
      <c r="H537" s="2">
        <v>30232</v>
      </c>
      <c r="I537" s="2">
        <v>45851</v>
      </c>
      <c r="J537" s="1">
        <v>27.95</v>
      </c>
      <c r="K537" s="4">
        <f t="shared" si="22"/>
        <v>569.92844999999988</v>
      </c>
      <c r="L537" s="4">
        <f t="shared" si="23"/>
        <v>1469.17155</v>
      </c>
    </row>
    <row r="538" spans="1:12" x14ac:dyDescent="0.3">
      <c r="A538" s="1">
        <v>1536</v>
      </c>
      <c r="B538" s="2">
        <v>44997</v>
      </c>
      <c r="C538" s="1" t="s">
        <v>10</v>
      </c>
      <c r="D538" s="1" t="s">
        <v>69</v>
      </c>
      <c r="E538" s="1" t="s">
        <v>31</v>
      </c>
      <c r="F538" s="1">
        <v>3137.31</v>
      </c>
      <c r="G538" s="1" t="s">
        <v>174</v>
      </c>
      <c r="H538" s="2">
        <v>38118</v>
      </c>
      <c r="I538" s="2">
        <v>45008</v>
      </c>
      <c r="J538" s="1">
        <v>43.28</v>
      </c>
      <c r="K538" s="4">
        <f t="shared" si="22"/>
        <v>1357.8277680000001</v>
      </c>
      <c r="L538" s="4">
        <f t="shared" si="23"/>
        <v>1779.4822319999998</v>
      </c>
    </row>
    <row r="539" spans="1:12" x14ac:dyDescent="0.3">
      <c r="A539" s="1">
        <v>1537</v>
      </c>
      <c r="B539" s="2">
        <v>45670</v>
      </c>
      <c r="C539" s="1" t="s">
        <v>21</v>
      </c>
      <c r="D539" s="1" t="s">
        <v>22</v>
      </c>
      <c r="E539" s="1" t="s">
        <v>19</v>
      </c>
      <c r="F539" s="1">
        <v>4731.1400000000003</v>
      </c>
      <c r="G539" s="1" t="s">
        <v>292</v>
      </c>
      <c r="H539" s="2">
        <v>27118</v>
      </c>
      <c r="I539" s="2">
        <v>45683</v>
      </c>
      <c r="J539" s="1">
        <v>4</v>
      </c>
      <c r="K539" s="4">
        <f t="shared" si="22"/>
        <v>189.24560000000002</v>
      </c>
      <c r="L539" s="4">
        <f t="shared" si="23"/>
        <v>4541.8944000000001</v>
      </c>
    </row>
    <row r="540" spans="1:12" x14ac:dyDescent="0.3">
      <c r="A540" s="1">
        <v>1538</v>
      </c>
      <c r="B540" s="2">
        <v>45003</v>
      </c>
      <c r="C540" s="1" t="s">
        <v>35</v>
      </c>
      <c r="D540" s="1" t="s">
        <v>36</v>
      </c>
      <c r="E540" s="1" t="s">
        <v>28</v>
      </c>
      <c r="F540" s="1">
        <v>4083.61</v>
      </c>
      <c r="G540" s="1" t="s">
        <v>293</v>
      </c>
      <c r="H540" s="2">
        <v>26379</v>
      </c>
      <c r="I540" s="2">
        <v>45017</v>
      </c>
      <c r="J540" s="1">
        <v>7.1</v>
      </c>
      <c r="K540" s="4">
        <f t="shared" si="22"/>
        <v>289.93630999999999</v>
      </c>
      <c r="L540" s="4">
        <f t="shared" si="23"/>
        <v>3793.6736900000001</v>
      </c>
    </row>
    <row r="541" spans="1:12" x14ac:dyDescent="0.3">
      <c r="A541" s="1">
        <v>1539</v>
      </c>
      <c r="B541" s="2">
        <v>44926</v>
      </c>
      <c r="C541" s="1" t="s">
        <v>21</v>
      </c>
      <c r="D541" s="1" t="s">
        <v>55</v>
      </c>
      <c r="E541" s="1" t="s">
        <v>31</v>
      </c>
      <c r="F541" s="1">
        <v>1595.77</v>
      </c>
      <c r="G541" s="1" t="s">
        <v>74</v>
      </c>
      <c r="H541" s="2">
        <v>31224</v>
      </c>
      <c r="I541" s="2">
        <v>44933</v>
      </c>
      <c r="J541" s="1">
        <v>47.83</v>
      </c>
      <c r="K541" s="4">
        <f t="shared" si="22"/>
        <v>763.25679100000002</v>
      </c>
      <c r="L541" s="4">
        <f t="shared" si="23"/>
        <v>832.51320899999996</v>
      </c>
    </row>
    <row r="542" spans="1:12" x14ac:dyDescent="0.3">
      <c r="A542" s="1">
        <v>1540</v>
      </c>
      <c r="B542" s="2">
        <v>44137</v>
      </c>
      <c r="C542" s="1" t="s">
        <v>26</v>
      </c>
      <c r="D542" s="1" t="s">
        <v>36</v>
      </c>
      <c r="E542" s="1" t="s">
        <v>28</v>
      </c>
      <c r="F542" s="1">
        <v>2078.6</v>
      </c>
      <c r="G542" s="1" t="s">
        <v>294</v>
      </c>
      <c r="H542" s="2">
        <v>36037</v>
      </c>
      <c r="I542" s="2">
        <v>44149</v>
      </c>
      <c r="J542" s="1">
        <v>41.62</v>
      </c>
      <c r="K542" s="4">
        <f t="shared" si="22"/>
        <v>865.11331999999993</v>
      </c>
      <c r="L542" s="4">
        <f t="shared" si="23"/>
        <v>1213.48668</v>
      </c>
    </row>
    <row r="543" spans="1:12" x14ac:dyDescent="0.3">
      <c r="A543" s="1">
        <v>1541</v>
      </c>
      <c r="B543" s="2">
        <v>45380</v>
      </c>
      <c r="C543" s="1" t="s">
        <v>21</v>
      </c>
      <c r="D543" s="1" t="s">
        <v>40</v>
      </c>
      <c r="E543" s="1" t="s">
        <v>16</v>
      </c>
      <c r="F543" s="1">
        <v>3053.54</v>
      </c>
      <c r="G543" s="1" t="s">
        <v>101</v>
      </c>
      <c r="H543" s="2">
        <v>31331</v>
      </c>
      <c r="I543" s="2">
        <v>45386</v>
      </c>
      <c r="J543" s="1">
        <v>0.66</v>
      </c>
      <c r="K543" s="4">
        <f t="shared" si="22"/>
        <v>20.153364</v>
      </c>
      <c r="L543" s="4">
        <f t="shared" si="23"/>
        <v>3033.3866360000002</v>
      </c>
    </row>
    <row r="544" spans="1:12" x14ac:dyDescent="0.3">
      <c r="A544" s="1">
        <v>1542</v>
      </c>
      <c r="B544" s="2">
        <v>44107</v>
      </c>
      <c r="C544" s="1" t="s">
        <v>35</v>
      </c>
      <c r="D544" s="1" t="s">
        <v>55</v>
      </c>
      <c r="E544" s="1" t="s">
        <v>31</v>
      </c>
      <c r="F544" s="1">
        <v>3842.31</v>
      </c>
      <c r="G544" s="1" t="s">
        <v>275</v>
      </c>
      <c r="H544" s="2">
        <v>38510</v>
      </c>
      <c r="I544" s="2">
        <v>44115</v>
      </c>
      <c r="J544" s="1">
        <v>7.26</v>
      </c>
      <c r="K544" s="4">
        <f t="shared" si="22"/>
        <v>278.951706</v>
      </c>
      <c r="L544" s="4">
        <f t="shared" si="23"/>
        <v>3563.3582940000001</v>
      </c>
    </row>
    <row r="545" spans="1:12" x14ac:dyDescent="0.3">
      <c r="A545" s="1">
        <v>1543</v>
      </c>
      <c r="B545" s="2">
        <v>45180</v>
      </c>
      <c r="C545" s="1" t="s">
        <v>26</v>
      </c>
      <c r="D545" s="1" t="s">
        <v>33</v>
      </c>
      <c r="E545" s="1" t="s">
        <v>16</v>
      </c>
      <c r="F545" s="1">
        <v>3234.76</v>
      </c>
      <c r="G545" s="1" t="s">
        <v>260</v>
      </c>
      <c r="H545" s="2">
        <v>38628</v>
      </c>
      <c r="I545" s="2">
        <v>45184</v>
      </c>
      <c r="J545" s="1">
        <v>43.21</v>
      </c>
      <c r="K545" s="4">
        <f t="shared" si="22"/>
        <v>1397.7397960000001</v>
      </c>
      <c r="L545" s="4">
        <f t="shared" si="23"/>
        <v>1837.0202040000001</v>
      </c>
    </row>
    <row r="546" spans="1:12" x14ac:dyDescent="0.3">
      <c r="A546" s="1">
        <v>1544</v>
      </c>
      <c r="B546" s="2">
        <v>45705</v>
      </c>
      <c r="C546" s="1" t="s">
        <v>35</v>
      </c>
      <c r="D546" s="1" t="s">
        <v>24</v>
      </c>
      <c r="E546" s="1" t="s">
        <v>19</v>
      </c>
      <c r="F546" s="1">
        <v>741.45</v>
      </c>
      <c r="G546" s="1" t="s">
        <v>246</v>
      </c>
      <c r="H546" s="2">
        <v>25815</v>
      </c>
      <c r="I546" s="2">
        <v>45711</v>
      </c>
      <c r="J546" s="1">
        <v>42.1</v>
      </c>
      <c r="K546" s="4">
        <f t="shared" si="22"/>
        <v>312.15045000000003</v>
      </c>
      <c r="L546" s="4">
        <f t="shared" si="23"/>
        <v>429.29955000000001</v>
      </c>
    </row>
    <row r="547" spans="1:12" x14ac:dyDescent="0.3">
      <c r="A547" s="1">
        <v>1545</v>
      </c>
      <c r="B547" s="2">
        <v>44914</v>
      </c>
      <c r="C547" s="1" t="s">
        <v>10</v>
      </c>
      <c r="D547" s="1" t="s">
        <v>15</v>
      </c>
      <c r="E547" s="1" t="s">
        <v>16</v>
      </c>
      <c r="F547" s="1">
        <v>758.42</v>
      </c>
      <c r="G547" s="1" t="s">
        <v>268</v>
      </c>
      <c r="H547" s="2">
        <v>25103</v>
      </c>
      <c r="I547" s="2">
        <v>44918</v>
      </c>
      <c r="J547" s="1">
        <v>29.58</v>
      </c>
      <c r="K547" s="4">
        <f t="shared" si="22"/>
        <v>224.34063599999999</v>
      </c>
      <c r="L547" s="4">
        <f t="shared" si="23"/>
        <v>534.07936399999994</v>
      </c>
    </row>
    <row r="548" spans="1:12" x14ac:dyDescent="0.3">
      <c r="A548" s="1">
        <v>1546</v>
      </c>
      <c r="B548" s="2">
        <v>45115</v>
      </c>
      <c r="C548" s="1" t="s">
        <v>10</v>
      </c>
      <c r="D548" s="1" t="s">
        <v>65</v>
      </c>
      <c r="E548" s="1" t="s">
        <v>19</v>
      </c>
      <c r="F548" s="1">
        <v>2231.37</v>
      </c>
      <c r="G548" s="1" t="s">
        <v>43</v>
      </c>
      <c r="H548" s="2">
        <v>30054</v>
      </c>
      <c r="I548" s="2">
        <v>45119</v>
      </c>
      <c r="J548" s="1">
        <v>27.76</v>
      </c>
      <c r="K548" s="4">
        <f t="shared" si="22"/>
        <v>619.42831200000001</v>
      </c>
      <c r="L548" s="4">
        <f t="shared" si="23"/>
        <v>1611.9416879999999</v>
      </c>
    </row>
    <row r="549" spans="1:12" x14ac:dyDescent="0.3">
      <c r="A549" s="1">
        <v>1547</v>
      </c>
      <c r="B549" s="2">
        <v>44852</v>
      </c>
      <c r="C549" s="1" t="s">
        <v>21</v>
      </c>
      <c r="D549" s="1" t="s">
        <v>49</v>
      </c>
      <c r="E549" s="1" t="s">
        <v>12</v>
      </c>
      <c r="F549" s="1">
        <v>3146.45</v>
      </c>
      <c r="G549" s="1" t="s">
        <v>260</v>
      </c>
      <c r="H549" s="2">
        <v>38628</v>
      </c>
      <c r="I549" s="2">
        <v>44856</v>
      </c>
      <c r="J549" s="1">
        <v>22.43</v>
      </c>
      <c r="K549" s="4">
        <f t="shared" si="22"/>
        <v>705.74873500000001</v>
      </c>
      <c r="L549" s="4">
        <f t="shared" si="23"/>
        <v>2440.7012649999997</v>
      </c>
    </row>
    <row r="550" spans="1:12" x14ac:dyDescent="0.3">
      <c r="A550" s="1">
        <v>1548</v>
      </c>
      <c r="B550" s="2">
        <v>45135</v>
      </c>
      <c r="C550" s="1" t="s">
        <v>10</v>
      </c>
      <c r="D550" s="1" t="s">
        <v>47</v>
      </c>
      <c r="E550" s="1" t="s">
        <v>12</v>
      </c>
      <c r="F550" s="1">
        <v>2867.29</v>
      </c>
      <c r="G550" s="1" t="s">
        <v>238</v>
      </c>
      <c r="H550" s="2">
        <v>31880</v>
      </c>
      <c r="I550" s="2">
        <v>45144</v>
      </c>
      <c r="J550" s="1">
        <v>27.85</v>
      </c>
      <c r="K550" s="4">
        <f t="shared" si="22"/>
        <v>798.54026500000009</v>
      </c>
      <c r="L550" s="4">
        <f t="shared" si="23"/>
        <v>2068.7497349999999</v>
      </c>
    </row>
    <row r="551" spans="1:12" x14ac:dyDescent="0.3">
      <c r="A551" s="1">
        <v>1549</v>
      </c>
      <c r="B551" s="2">
        <v>45554</v>
      </c>
      <c r="C551" s="1" t="s">
        <v>10</v>
      </c>
      <c r="D551" s="1" t="s">
        <v>69</v>
      </c>
      <c r="E551" s="1" t="s">
        <v>31</v>
      </c>
      <c r="F551" s="1">
        <v>3780.34</v>
      </c>
      <c r="G551" s="1" t="s">
        <v>80</v>
      </c>
      <c r="H551" s="2">
        <v>31578</v>
      </c>
      <c r="I551" s="2">
        <v>45562</v>
      </c>
      <c r="J551" s="1">
        <v>24.49</v>
      </c>
      <c r="K551" s="4">
        <f t="shared" si="22"/>
        <v>925.80526599999996</v>
      </c>
      <c r="L551" s="4">
        <f t="shared" si="23"/>
        <v>2854.5347340000003</v>
      </c>
    </row>
    <row r="552" spans="1:12" x14ac:dyDescent="0.3">
      <c r="A552" s="1">
        <v>1550</v>
      </c>
      <c r="B552" s="2">
        <v>44477</v>
      </c>
      <c r="C552" s="1" t="s">
        <v>21</v>
      </c>
      <c r="D552" s="1" t="s">
        <v>11</v>
      </c>
      <c r="E552" s="1" t="s">
        <v>12</v>
      </c>
      <c r="F552" s="1">
        <v>710.65</v>
      </c>
      <c r="G552" s="1" t="s">
        <v>151</v>
      </c>
      <c r="H552" s="2">
        <v>34427</v>
      </c>
      <c r="I552" s="2">
        <v>44489</v>
      </c>
      <c r="J552" s="1">
        <v>37.58</v>
      </c>
      <c r="K552" s="4">
        <f t="shared" si="22"/>
        <v>267.06226999999996</v>
      </c>
      <c r="L552" s="4">
        <f t="shared" si="23"/>
        <v>443.58773000000002</v>
      </c>
    </row>
    <row r="553" spans="1:12" x14ac:dyDescent="0.3">
      <c r="A553" s="1">
        <v>1551</v>
      </c>
      <c r="B553" s="2">
        <v>45270</v>
      </c>
      <c r="C553" s="1" t="s">
        <v>35</v>
      </c>
      <c r="D553" s="1" t="s">
        <v>24</v>
      </c>
      <c r="E553" s="1" t="s">
        <v>19</v>
      </c>
      <c r="F553" s="1">
        <v>2344.4299999999998</v>
      </c>
      <c r="G553" s="1" t="s">
        <v>135</v>
      </c>
      <c r="H553" s="2">
        <v>38018</v>
      </c>
      <c r="I553" s="2">
        <v>45273</v>
      </c>
      <c r="J553" s="1">
        <v>39.96</v>
      </c>
      <c r="K553" s="4">
        <f t="shared" si="22"/>
        <v>936.83422799999994</v>
      </c>
      <c r="L553" s="4">
        <f t="shared" si="23"/>
        <v>1407.5957719999999</v>
      </c>
    </row>
    <row r="554" spans="1:12" x14ac:dyDescent="0.3">
      <c r="A554" s="1">
        <v>1552</v>
      </c>
      <c r="B554" s="2">
        <v>45467</v>
      </c>
      <c r="C554" s="1" t="s">
        <v>35</v>
      </c>
      <c r="D554" s="1" t="s">
        <v>73</v>
      </c>
      <c r="E554" s="1" t="s">
        <v>28</v>
      </c>
      <c r="F554" s="1">
        <v>1735.59</v>
      </c>
      <c r="G554" s="1" t="s">
        <v>168</v>
      </c>
      <c r="H554" s="2">
        <v>37674</v>
      </c>
      <c r="I554" s="2">
        <v>45481</v>
      </c>
      <c r="J554" s="1">
        <v>35.090000000000003</v>
      </c>
      <c r="K554" s="4">
        <f t="shared" si="22"/>
        <v>609.01853100000005</v>
      </c>
      <c r="L554" s="4">
        <f t="shared" si="23"/>
        <v>1126.571469</v>
      </c>
    </row>
    <row r="555" spans="1:12" x14ac:dyDescent="0.3">
      <c r="A555" s="1">
        <v>1553</v>
      </c>
      <c r="B555" s="2">
        <v>44373</v>
      </c>
      <c r="C555" s="1" t="s">
        <v>26</v>
      </c>
      <c r="D555" s="1" t="s">
        <v>44</v>
      </c>
      <c r="E555" s="1" t="s">
        <v>16</v>
      </c>
      <c r="F555" s="1">
        <v>2287.91</v>
      </c>
      <c r="G555" s="1" t="s">
        <v>115</v>
      </c>
      <c r="H555" s="2">
        <v>29486</v>
      </c>
      <c r="I555" s="2">
        <v>44377</v>
      </c>
      <c r="J555" s="1">
        <v>26.95</v>
      </c>
      <c r="K555" s="4">
        <f t="shared" si="22"/>
        <v>616.59174499999995</v>
      </c>
      <c r="L555" s="4">
        <f t="shared" si="23"/>
        <v>1671.3182549999999</v>
      </c>
    </row>
    <row r="556" spans="1:12" x14ac:dyDescent="0.3">
      <c r="A556" s="1">
        <v>1554</v>
      </c>
      <c r="B556" s="2">
        <v>44493</v>
      </c>
      <c r="C556" s="1" t="s">
        <v>21</v>
      </c>
      <c r="D556" s="1" t="s">
        <v>49</v>
      </c>
      <c r="E556" s="1" t="s">
        <v>12</v>
      </c>
      <c r="F556" s="1">
        <v>1994.35</v>
      </c>
      <c r="G556" s="1" t="s">
        <v>175</v>
      </c>
      <c r="H556" s="2">
        <v>36623</v>
      </c>
      <c r="I556" s="2">
        <v>44502</v>
      </c>
      <c r="J556" s="1">
        <v>19.809999999999999</v>
      </c>
      <c r="K556" s="4">
        <f t="shared" si="22"/>
        <v>395.080735</v>
      </c>
      <c r="L556" s="4">
        <f t="shared" si="23"/>
        <v>1599.2692649999999</v>
      </c>
    </row>
    <row r="557" spans="1:12" x14ac:dyDescent="0.3">
      <c r="A557" s="1">
        <v>1555</v>
      </c>
      <c r="B557" s="2">
        <v>45185</v>
      </c>
      <c r="C557" s="1" t="s">
        <v>26</v>
      </c>
      <c r="D557" s="1" t="s">
        <v>53</v>
      </c>
      <c r="E557" s="1" t="s">
        <v>28</v>
      </c>
      <c r="F557" s="1">
        <v>1096.3800000000001</v>
      </c>
      <c r="G557" s="1" t="s">
        <v>87</v>
      </c>
      <c r="H557" s="2">
        <v>36012</v>
      </c>
      <c r="I557" s="2">
        <v>45195</v>
      </c>
      <c r="J557" s="1">
        <v>6.24</v>
      </c>
      <c r="K557" s="4">
        <f t="shared" si="22"/>
        <v>68.414112000000017</v>
      </c>
      <c r="L557" s="4">
        <f t="shared" si="23"/>
        <v>1027.9658880000002</v>
      </c>
    </row>
    <row r="558" spans="1:12" x14ac:dyDescent="0.3">
      <c r="A558" s="1">
        <v>1556</v>
      </c>
      <c r="B558" s="2">
        <v>44847</v>
      </c>
      <c r="C558" s="1" t="s">
        <v>14</v>
      </c>
      <c r="D558" s="1" t="s">
        <v>55</v>
      </c>
      <c r="E558" s="1" t="s">
        <v>31</v>
      </c>
      <c r="F558" s="1">
        <v>441.91</v>
      </c>
      <c r="G558" s="1" t="s">
        <v>271</v>
      </c>
      <c r="H558" s="2">
        <v>22796</v>
      </c>
      <c r="I558" s="2">
        <v>44861</v>
      </c>
      <c r="J558" s="1">
        <v>19.23</v>
      </c>
      <c r="K558" s="4">
        <f t="shared" si="22"/>
        <v>84.979292999999998</v>
      </c>
      <c r="L558" s="4">
        <f t="shared" si="23"/>
        <v>356.93070700000004</v>
      </c>
    </row>
    <row r="559" spans="1:12" x14ac:dyDescent="0.3">
      <c r="A559" s="1">
        <v>1557</v>
      </c>
      <c r="B559" s="2">
        <v>45717</v>
      </c>
      <c r="C559" s="1" t="s">
        <v>14</v>
      </c>
      <c r="D559" s="1" t="s">
        <v>47</v>
      </c>
      <c r="E559" s="1" t="s">
        <v>12</v>
      </c>
      <c r="F559" s="1">
        <v>4784.0600000000004</v>
      </c>
      <c r="G559" s="1" t="s">
        <v>244</v>
      </c>
      <c r="H559" s="2">
        <v>30356</v>
      </c>
      <c r="I559" s="2">
        <v>45729</v>
      </c>
      <c r="J559" s="1">
        <v>23.56</v>
      </c>
      <c r="K559" s="4">
        <f t="shared" si="22"/>
        <v>1127.124536</v>
      </c>
      <c r="L559" s="4">
        <f t="shared" si="23"/>
        <v>3656.9354640000001</v>
      </c>
    </row>
    <row r="560" spans="1:12" x14ac:dyDescent="0.3">
      <c r="A560" s="1">
        <v>1558</v>
      </c>
      <c r="B560" s="2">
        <v>44837</v>
      </c>
      <c r="C560" s="1" t="s">
        <v>21</v>
      </c>
      <c r="D560" s="1" t="s">
        <v>38</v>
      </c>
      <c r="E560" s="1" t="s">
        <v>28</v>
      </c>
      <c r="F560" s="1">
        <v>930.18</v>
      </c>
      <c r="G560" s="1" t="s">
        <v>97</v>
      </c>
      <c r="H560" s="2">
        <v>24706</v>
      </c>
      <c r="I560" s="2">
        <v>44842</v>
      </c>
      <c r="J560" s="1">
        <v>23.94</v>
      </c>
      <c r="K560" s="4">
        <f t="shared" si="22"/>
        <v>222.685092</v>
      </c>
      <c r="L560" s="4">
        <f t="shared" si="23"/>
        <v>707.4949079999999</v>
      </c>
    </row>
    <row r="561" spans="1:12" x14ac:dyDescent="0.3">
      <c r="A561" s="1">
        <v>1559</v>
      </c>
      <c r="B561" s="2">
        <v>44310</v>
      </c>
      <c r="C561" s="1" t="s">
        <v>26</v>
      </c>
      <c r="D561" s="1" t="s">
        <v>73</v>
      </c>
      <c r="E561" s="1" t="s">
        <v>28</v>
      </c>
      <c r="F561" s="1">
        <v>2973.2</v>
      </c>
      <c r="G561" s="1" t="s">
        <v>93</v>
      </c>
      <c r="H561" s="2">
        <v>33984</v>
      </c>
      <c r="I561" s="2">
        <v>44312</v>
      </c>
      <c r="J561" s="1">
        <v>43.08</v>
      </c>
      <c r="K561" s="4">
        <f t="shared" si="22"/>
        <v>1280.8545599999998</v>
      </c>
      <c r="L561" s="4">
        <f t="shared" si="23"/>
        <v>1692.3454400000001</v>
      </c>
    </row>
    <row r="562" spans="1:12" x14ac:dyDescent="0.3">
      <c r="A562" s="1">
        <v>1560</v>
      </c>
      <c r="B562" s="2">
        <v>44451</v>
      </c>
      <c r="C562" s="1" t="s">
        <v>10</v>
      </c>
      <c r="D562" s="1" t="s">
        <v>65</v>
      </c>
      <c r="E562" s="1" t="s">
        <v>19</v>
      </c>
      <c r="F562" s="1">
        <v>1662.62</v>
      </c>
      <c r="G562" s="1" t="s">
        <v>295</v>
      </c>
      <c r="H562" s="2">
        <v>23369</v>
      </c>
      <c r="I562" s="2">
        <v>44454</v>
      </c>
      <c r="J562" s="1">
        <v>44.39</v>
      </c>
      <c r="K562" s="4">
        <f t="shared" si="22"/>
        <v>738.03701799999999</v>
      </c>
      <c r="L562" s="4">
        <f t="shared" si="23"/>
        <v>924.5829819999999</v>
      </c>
    </row>
    <row r="563" spans="1:12" x14ac:dyDescent="0.3">
      <c r="A563" s="1">
        <v>1561</v>
      </c>
      <c r="B563" s="2">
        <v>44315</v>
      </c>
      <c r="C563" s="1" t="s">
        <v>26</v>
      </c>
      <c r="D563" s="1" t="s">
        <v>27</v>
      </c>
      <c r="E563" s="1" t="s">
        <v>28</v>
      </c>
      <c r="F563" s="1">
        <v>4446.5200000000004</v>
      </c>
      <c r="G563" s="1" t="s">
        <v>226</v>
      </c>
      <c r="H563" s="2">
        <v>33332</v>
      </c>
      <c r="I563" s="2">
        <v>44318</v>
      </c>
      <c r="J563" s="1">
        <v>11.97</v>
      </c>
      <c r="K563" s="4">
        <f t="shared" si="22"/>
        <v>532.24844400000006</v>
      </c>
      <c r="L563" s="4">
        <f t="shared" si="23"/>
        <v>3914.2715560000006</v>
      </c>
    </row>
    <row r="564" spans="1:12" x14ac:dyDescent="0.3">
      <c r="A564" s="1">
        <v>1562</v>
      </c>
      <c r="B564" s="2">
        <v>44212</v>
      </c>
      <c r="C564" s="1" t="s">
        <v>21</v>
      </c>
      <c r="D564" s="1" t="s">
        <v>22</v>
      </c>
      <c r="E564" s="1" t="s">
        <v>19</v>
      </c>
      <c r="F564" s="1">
        <v>4265.46</v>
      </c>
      <c r="G564" s="1" t="s">
        <v>192</v>
      </c>
      <c r="H564" s="2">
        <v>33626</v>
      </c>
      <c r="I564" s="2">
        <v>44223</v>
      </c>
      <c r="J564" s="1">
        <v>0.21</v>
      </c>
      <c r="K564" s="4">
        <f t="shared" si="22"/>
        <v>8.9574660000000002</v>
      </c>
      <c r="L564" s="4">
        <f t="shared" si="23"/>
        <v>4256.5025340000002</v>
      </c>
    </row>
    <row r="565" spans="1:12" x14ac:dyDescent="0.3">
      <c r="A565" s="1">
        <v>1563</v>
      </c>
      <c r="B565" s="2">
        <v>44096</v>
      </c>
      <c r="C565" s="1" t="s">
        <v>10</v>
      </c>
      <c r="D565" s="1" t="s">
        <v>53</v>
      </c>
      <c r="E565" s="1" t="s">
        <v>28</v>
      </c>
      <c r="F565" s="1">
        <v>3498</v>
      </c>
      <c r="G565" s="1" t="s">
        <v>123</v>
      </c>
      <c r="H565" s="2">
        <v>36120</v>
      </c>
      <c r="I565" s="2">
        <v>44109</v>
      </c>
      <c r="J565" s="1">
        <v>36.71</v>
      </c>
      <c r="K565" s="4">
        <f t="shared" si="22"/>
        <v>1284.1158</v>
      </c>
      <c r="L565" s="4">
        <f t="shared" si="23"/>
        <v>2213.8842</v>
      </c>
    </row>
    <row r="566" spans="1:12" x14ac:dyDescent="0.3">
      <c r="A566" s="1">
        <v>1564</v>
      </c>
      <c r="B566" s="2">
        <v>44837</v>
      </c>
      <c r="C566" s="1" t="s">
        <v>14</v>
      </c>
      <c r="D566" s="1" t="s">
        <v>88</v>
      </c>
      <c r="E566" s="1" t="s">
        <v>16</v>
      </c>
      <c r="F566" s="1">
        <v>1713.91</v>
      </c>
      <c r="G566" s="1" t="s">
        <v>56</v>
      </c>
      <c r="H566" s="2">
        <v>25712</v>
      </c>
      <c r="I566" s="2">
        <v>44841</v>
      </c>
      <c r="J566" s="1">
        <v>23.44</v>
      </c>
      <c r="K566" s="4">
        <f t="shared" si="22"/>
        <v>401.74050400000004</v>
      </c>
      <c r="L566" s="4">
        <f t="shared" si="23"/>
        <v>1312.169496</v>
      </c>
    </row>
    <row r="567" spans="1:12" x14ac:dyDescent="0.3">
      <c r="A567" s="1">
        <v>1565</v>
      </c>
      <c r="B567" s="2">
        <v>44649</v>
      </c>
      <c r="C567" s="1" t="s">
        <v>21</v>
      </c>
      <c r="D567" s="1" t="s">
        <v>27</v>
      </c>
      <c r="E567" s="1" t="s">
        <v>28</v>
      </c>
      <c r="F567" s="1">
        <v>4205.53</v>
      </c>
      <c r="G567" s="1" t="s">
        <v>60</v>
      </c>
      <c r="H567" s="2">
        <v>33482</v>
      </c>
      <c r="I567" s="2">
        <v>44660</v>
      </c>
      <c r="J567" s="1">
        <v>33.07</v>
      </c>
      <c r="K567" s="4">
        <f t="shared" si="22"/>
        <v>1390.7687709999998</v>
      </c>
      <c r="L567" s="4">
        <f t="shared" si="23"/>
        <v>2814.7612289999997</v>
      </c>
    </row>
    <row r="568" spans="1:12" x14ac:dyDescent="0.3">
      <c r="A568" s="1">
        <v>1566</v>
      </c>
      <c r="B568" s="2">
        <v>45022</v>
      </c>
      <c r="C568" s="1" t="s">
        <v>10</v>
      </c>
      <c r="D568" s="1" t="s">
        <v>27</v>
      </c>
      <c r="E568" s="1" t="s">
        <v>28</v>
      </c>
      <c r="F568" s="1">
        <v>1608.38</v>
      </c>
      <c r="G568" s="1" t="s">
        <v>296</v>
      </c>
      <c r="H568" s="2">
        <v>39045</v>
      </c>
      <c r="I568" s="2">
        <v>45029</v>
      </c>
      <c r="J568" s="1">
        <v>11.05</v>
      </c>
      <c r="K568" s="4">
        <f t="shared" si="22"/>
        <v>177.72599000000002</v>
      </c>
      <c r="L568" s="4">
        <f t="shared" si="23"/>
        <v>1430.6540100000002</v>
      </c>
    </row>
    <row r="569" spans="1:12" x14ac:dyDescent="0.3">
      <c r="A569" s="1">
        <v>1567</v>
      </c>
      <c r="B569" s="2">
        <v>44130</v>
      </c>
      <c r="C569" s="1" t="s">
        <v>35</v>
      </c>
      <c r="D569" s="1" t="s">
        <v>71</v>
      </c>
      <c r="E569" s="1" t="s">
        <v>31</v>
      </c>
      <c r="F569" s="1">
        <v>4057.09</v>
      </c>
      <c r="G569" s="1" t="s">
        <v>238</v>
      </c>
      <c r="H569" s="2">
        <v>31880</v>
      </c>
      <c r="I569" s="2">
        <v>44137</v>
      </c>
      <c r="J569" s="1">
        <v>10.09</v>
      </c>
      <c r="K569" s="4">
        <f t="shared" si="22"/>
        <v>409.36038100000002</v>
      </c>
      <c r="L569" s="4">
        <f t="shared" si="23"/>
        <v>3647.7296190000002</v>
      </c>
    </row>
    <row r="570" spans="1:12" x14ac:dyDescent="0.3">
      <c r="A570" s="1">
        <v>1568</v>
      </c>
      <c r="B570" s="2">
        <v>45202</v>
      </c>
      <c r="C570" s="1" t="s">
        <v>10</v>
      </c>
      <c r="D570" s="1" t="s">
        <v>49</v>
      </c>
      <c r="E570" s="1" t="s">
        <v>12</v>
      </c>
      <c r="F570" s="1">
        <v>4062.14</v>
      </c>
      <c r="G570" s="1" t="s">
        <v>268</v>
      </c>
      <c r="H570" s="2">
        <v>25103</v>
      </c>
      <c r="I570" s="2">
        <v>45205</v>
      </c>
      <c r="J570" s="1">
        <v>46.2</v>
      </c>
      <c r="K570" s="4">
        <f t="shared" si="22"/>
        <v>1876.70868</v>
      </c>
      <c r="L570" s="4">
        <f t="shared" si="23"/>
        <v>2185.4313199999997</v>
      </c>
    </row>
    <row r="571" spans="1:12" x14ac:dyDescent="0.3">
      <c r="A571" s="1">
        <v>1569</v>
      </c>
      <c r="B571" s="2">
        <v>45147</v>
      </c>
      <c r="C571" s="1" t="s">
        <v>26</v>
      </c>
      <c r="D571" s="1" t="s">
        <v>38</v>
      </c>
      <c r="E571" s="1" t="s">
        <v>28</v>
      </c>
      <c r="F571" s="1">
        <v>3171.39</v>
      </c>
      <c r="G571" s="1" t="s">
        <v>297</v>
      </c>
      <c r="H571" s="2">
        <v>35410</v>
      </c>
      <c r="I571" s="2">
        <v>45153</v>
      </c>
      <c r="J571" s="1">
        <v>25.58</v>
      </c>
      <c r="K571" s="4">
        <f t="shared" si="22"/>
        <v>811.24156199999993</v>
      </c>
      <c r="L571" s="4">
        <f t="shared" si="23"/>
        <v>2360.1484380000002</v>
      </c>
    </row>
    <row r="572" spans="1:12" x14ac:dyDescent="0.3">
      <c r="A572" s="1">
        <v>1570</v>
      </c>
      <c r="B572" s="2">
        <v>45406</v>
      </c>
      <c r="C572" s="1" t="s">
        <v>26</v>
      </c>
      <c r="D572" s="1" t="s">
        <v>58</v>
      </c>
      <c r="E572" s="1" t="s">
        <v>31</v>
      </c>
      <c r="F572" s="1">
        <v>2853.87</v>
      </c>
      <c r="G572" s="1" t="s">
        <v>298</v>
      </c>
      <c r="H572" s="2">
        <v>30410</v>
      </c>
      <c r="I572" s="2">
        <v>45411</v>
      </c>
      <c r="J572" s="1">
        <v>13.21</v>
      </c>
      <c r="K572" s="4">
        <f t="shared" si="22"/>
        <v>376.99622699999998</v>
      </c>
      <c r="L572" s="4">
        <f t="shared" si="23"/>
        <v>2476.8737729999998</v>
      </c>
    </row>
    <row r="573" spans="1:12" x14ac:dyDescent="0.3">
      <c r="A573" s="1">
        <v>1571</v>
      </c>
      <c r="B573" s="2">
        <v>44079</v>
      </c>
      <c r="C573" s="1" t="s">
        <v>10</v>
      </c>
      <c r="D573" s="1" t="s">
        <v>44</v>
      </c>
      <c r="E573" s="1" t="s">
        <v>16</v>
      </c>
      <c r="F573" s="1">
        <v>4690.1099999999997</v>
      </c>
      <c r="G573" s="1" t="s">
        <v>118</v>
      </c>
      <c r="H573" s="2">
        <v>22599</v>
      </c>
      <c r="I573" s="2">
        <v>44082</v>
      </c>
      <c r="J573" s="1">
        <v>11.39</v>
      </c>
      <c r="K573" s="4">
        <f t="shared" si="22"/>
        <v>534.203529</v>
      </c>
      <c r="L573" s="4">
        <f t="shared" si="23"/>
        <v>4155.9064709999993</v>
      </c>
    </row>
    <row r="574" spans="1:12" x14ac:dyDescent="0.3">
      <c r="A574" s="1">
        <v>1572</v>
      </c>
      <c r="B574" s="2">
        <v>44528</v>
      </c>
      <c r="C574" s="1" t="s">
        <v>35</v>
      </c>
      <c r="D574" s="1" t="s">
        <v>15</v>
      </c>
      <c r="E574" s="1" t="s">
        <v>16</v>
      </c>
      <c r="F574" s="1">
        <v>381.09</v>
      </c>
      <c r="G574" s="1" t="s">
        <v>297</v>
      </c>
      <c r="H574" s="2">
        <v>35410</v>
      </c>
      <c r="I574" s="2">
        <v>44529</v>
      </c>
      <c r="J574" s="1">
        <v>23.63</v>
      </c>
      <c r="K574" s="4">
        <f t="shared" si="22"/>
        <v>90.051566999999991</v>
      </c>
      <c r="L574" s="4">
        <f t="shared" si="23"/>
        <v>291.038433</v>
      </c>
    </row>
    <row r="575" spans="1:12" x14ac:dyDescent="0.3">
      <c r="A575" s="1">
        <v>1573</v>
      </c>
      <c r="B575" s="2">
        <v>45595</v>
      </c>
      <c r="C575" s="1" t="s">
        <v>35</v>
      </c>
      <c r="D575" s="1" t="s">
        <v>40</v>
      </c>
      <c r="E575" s="1" t="s">
        <v>16</v>
      </c>
      <c r="F575" s="1">
        <v>3658.88</v>
      </c>
      <c r="G575" s="1" t="s">
        <v>121</v>
      </c>
      <c r="H575" s="2">
        <v>24580</v>
      </c>
      <c r="I575" s="2">
        <v>45598</v>
      </c>
      <c r="J575" s="1">
        <v>30.79</v>
      </c>
      <c r="K575" s="4">
        <f t="shared" si="22"/>
        <v>1126.569152</v>
      </c>
      <c r="L575" s="4">
        <f t="shared" si="23"/>
        <v>2532.3108480000001</v>
      </c>
    </row>
    <row r="576" spans="1:12" x14ac:dyDescent="0.3">
      <c r="A576" s="1">
        <v>1574</v>
      </c>
      <c r="B576" s="2">
        <v>44420</v>
      </c>
      <c r="C576" s="1" t="s">
        <v>14</v>
      </c>
      <c r="D576" s="1" t="s">
        <v>36</v>
      </c>
      <c r="E576" s="1" t="s">
        <v>28</v>
      </c>
      <c r="F576" s="1">
        <v>3509.16</v>
      </c>
      <c r="G576" s="1" t="s">
        <v>91</v>
      </c>
      <c r="H576" s="2">
        <v>34220</v>
      </c>
      <c r="I576" s="2">
        <v>44431</v>
      </c>
      <c r="J576" s="1">
        <v>45.18</v>
      </c>
      <c r="K576" s="4">
        <f t="shared" si="22"/>
        <v>1585.4384879999998</v>
      </c>
      <c r="L576" s="4">
        <f t="shared" si="23"/>
        <v>1923.7215120000001</v>
      </c>
    </row>
    <row r="577" spans="1:12" x14ac:dyDescent="0.3">
      <c r="A577" s="1">
        <v>1575</v>
      </c>
      <c r="B577" s="2">
        <v>44274</v>
      </c>
      <c r="C577" s="1" t="s">
        <v>26</v>
      </c>
      <c r="D577" s="1" t="s">
        <v>30</v>
      </c>
      <c r="E577" s="1" t="s">
        <v>31</v>
      </c>
      <c r="F577" s="1">
        <v>800.68</v>
      </c>
      <c r="G577" s="1" t="s">
        <v>196</v>
      </c>
      <c r="H577" s="2">
        <v>26300</v>
      </c>
      <c r="I577" s="2">
        <v>44275</v>
      </c>
      <c r="J577" s="1">
        <v>32.299999999999997</v>
      </c>
      <c r="K577" s="4">
        <f t="shared" si="22"/>
        <v>258.61963999999995</v>
      </c>
      <c r="L577" s="4">
        <f t="shared" si="23"/>
        <v>542.06035999999995</v>
      </c>
    </row>
    <row r="578" spans="1:12" x14ac:dyDescent="0.3">
      <c r="A578" s="1">
        <v>1576</v>
      </c>
      <c r="B578" s="2">
        <v>45873</v>
      </c>
      <c r="C578" s="1" t="s">
        <v>26</v>
      </c>
      <c r="D578" s="1" t="s">
        <v>15</v>
      </c>
      <c r="E578" s="1" t="s">
        <v>16</v>
      </c>
      <c r="F578" s="1">
        <v>1436.09</v>
      </c>
      <c r="G578" s="1" t="s">
        <v>127</v>
      </c>
      <c r="H578" s="2">
        <v>31846</v>
      </c>
      <c r="I578" s="2">
        <v>45885</v>
      </c>
      <c r="J578" s="1">
        <v>39.520000000000003</v>
      </c>
      <c r="K578" s="4">
        <f t="shared" si="22"/>
        <v>567.54276800000002</v>
      </c>
      <c r="L578" s="4">
        <f t="shared" si="23"/>
        <v>868.54723199999989</v>
      </c>
    </row>
    <row r="579" spans="1:12" x14ac:dyDescent="0.3">
      <c r="A579" s="1">
        <v>1577</v>
      </c>
      <c r="B579" s="2">
        <v>44397</v>
      </c>
      <c r="C579" s="1" t="s">
        <v>10</v>
      </c>
      <c r="D579" s="1" t="s">
        <v>65</v>
      </c>
      <c r="E579" s="1" t="s">
        <v>19</v>
      </c>
      <c r="F579" s="1">
        <v>2793.83</v>
      </c>
      <c r="G579" s="1" t="s">
        <v>215</v>
      </c>
      <c r="H579" s="2">
        <v>31386</v>
      </c>
      <c r="I579" s="2">
        <v>44407</v>
      </c>
      <c r="J579" s="1">
        <v>41.17</v>
      </c>
      <c r="K579" s="4">
        <f t="shared" ref="K579:K642" si="24">F579*J579%</f>
        <v>1150.2198109999999</v>
      </c>
      <c r="L579" s="4">
        <f t="shared" ref="L579:L642" si="25">F579-K579</f>
        <v>1643.610189</v>
      </c>
    </row>
    <row r="580" spans="1:12" x14ac:dyDescent="0.3">
      <c r="A580" s="1">
        <v>1578</v>
      </c>
      <c r="B580" s="2">
        <v>45821</v>
      </c>
      <c r="C580" s="1" t="s">
        <v>21</v>
      </c>
      <c r="D580" s="1" t="s">
        <v>58</v>
      </c>
      <c r="E580" s="1" t="s">
        <v>31</v>
      </c>
      <c r="F580" s="1">
        <v>1162.24</v>
      </c>
      <c r="G580" s="1" t="s">
        <v>108</v>
      </c>
      <c r="H580" s="2">
        <v>33413</v>
      </c>
      <c r="I580" s="2">
        <v>45824</v>
      </c>
      <c r="J580" s="1">
        <v>5.94</v>
      </c>
      <c r="K580" s="4">
        <f t="shared" si="24"/>
        <v>69.037056000000007</v>
      </c>
      <c r="L580" s="4">
        <f t="shared" si="25"/>
        <v>1093.2029440000001</v>
      </c>
    </row>
    <row r="581" spans="1:12" x14ac:dyDescent="0.3">
      <c r="A581" s="1">
        <v>1579</v>
      </c>
      <c r="B581" s="2">
        <v>45282</v>
      </c>
      <c r="C581" s="1" t="s">
        <v>21</v>
      </c>
      <c r="D581" s="1" t="s">
        <v>18</v>
      </c>
      <c r="E581" s="1" t="s">
        <v>19</v>
      </c>
      <c r="F581" s="1">
        <v>2127.64</v>
      </c>
      <c r="G581" s="1" t="s">
        <v>17</v>
      </c>
      <c r="H581" s="2">
        <v>26484</v>
      </c>
      <c r="I581" s="2">
        <v>45287</v>
      </c>
      <c r="J581" s="1">
        <v>21.3</v>
      </c>
      <c r="K581" s="4">
        <f t="shared" si="24"/>
        <v>453.18731999999994</v>
      </c>
      <c r="L581" s="4">
        <f t="shared" si="25"/>
        <v>1674.4526799999999</v>
      </c>
    </row>
    <row r="582" spans="1:12" x14ac:dyDescent="0.3">
      <c r="A582" s="1">
        <v>1580</v>
      </c>
      <c r="B582" s="2">
        <v>44976</v>
      </c>
      <c r="C582" s="1" t="s">
        <v>35</v>
      </c>
      <c r="D582" s="1" t="s">
        <v>88</v>
      </c>
      <c r="E582" s="1" t="s">
        <v>16</v>
      </c>
      <c r="F582" s="1">
        <v>3313.85</v>
      </c>
      <c r="G582" s="1" t="s">
        <v>299</v>
      </c>
      <c r="H582" s="2">
        <v>25863</v>
      </c>
      <c r="I582" s="2">
        <v>44990</v>
      </c>
      <c r="J582" s="1">
        <v>24.43</v>
      </c>
      <c r="K582" s="4">
        <f t="shared" si="24"/>
        <v>809.57355499999994</v>
      </c>
      <c r="L582" s="4">
        <f t="shared" si="25"/>
        <v>2504.276445</v>
      </c>
    </row>
    <row r="583" spans="1:12" x14ac:dyDescent="0.3">
      <c r="A583" s="1">
        <v>1581</v>
      </c>
      <c r="B583" s="2">
        <v>45712</v>
      </c>
      <c r="C583" s="1" t="s">
        <v>26</v>
      </c>
      <c r="D583" s="1" t="s">
        <v>55</v>
      </c>
      <c r="E583" s="1" t="s">
        <v>31</v>
      </c>
      <c r="F583" s="1">
        <v>922.77</v>
      </c>
      <c r="G583" s="1" t="s">
        <v>124</v>
      </c>
      <c r="H583" s="2">
        <v>30786</v>
      </c>
      <c r="I583" s="2">
        <v>45720</v>
      </c>
      <c r="J583" s="1">
        <v>45.36</v>
      </c>
      <c r="K583" s="4">
        <f t="shared" si="24"/>
        <v>418.56847199999999</v>
      </c>
      <c r="L583" s="4">
        <f t="shared" si="25"/>
        <v>504.201528</v>
      </c>
    </row>
    <row r="584" spans="1:12" x14ac:dyDescent="0.3">
      <c r="A584" s="1">
        <v>1582</v>
      </c>
      <c r="B584" s="2">
        <v>45808</v>
      </c>
      <c r="C584" s="1" t="s">
        <v>14</v>
      </c>
      <c r="D584" s="1" t="s">
        <v>69</v>
      </c>
      <c r="E584" s="1" t="s">
        <v>12</v>
      </c>
      <c r="F584" s="1">
        <v>4511.01</v>
      </c>
      <c r="G584" s="1" t="s">
        <v>39</v>
      </c>
      <c r="H584" s="2">
        <v>26282</v>
      </c>
      <c r="I584" s="2">
        <v>45812</v>
      </c>
      <c r="J584" s="1">
        <v>24.51</v>
      </c>
      <c r="K584" s="4">
        <f t="shared" si="24"/>
        <v>1105.648551</v>
      </c>
      <c r="L584" s="4">
        <f t="shared" si="25"/>
        <v>3405.361449</v>
      </c>
    </row>
    <row r="585" spans="1:12" x14ac:dyDescent="0.3">
      <c r="A585" s="1">
        <v>1583</v>
      </c>
      <c r="B585" s="2">
        <v>45423</v>
      </c>
      <c r="C585" s="1" t="s">
        <v>21</v>
      </c>
      <c r="D585" s="1" t="s">
        <v>58</v>
      </c>
      <c r="E585" s="1" t="s">
        <v>31</v>
      </c>
      <c r="F585" s="1">
        <v>3081.64</v>
      </c>
      <c r="G585" s="1" t="s">
        <v>120</v>
      </c>
      <c r="H585" s="2">
        <v>30820</v>
      </c>
      <c r="I585" s="2">
        <v>45430</v>
      </c>
      <c r="J585" s="1">
        <v>41.94</v>
      </c>
      <c r="K585" s="4">
        <f t="shared" si="24"/>
        <v>1292.4398159999998</v>
      </c>
      <c r="L585" s="4">
        <f t="shared" si="25"/>
        <v>1789.200184</v>
      </c>
    </row>
    <row r="586" spans="1:12" x14ac:dyDescent="0.3">
      <c r="A586" s="1">
        <v>1584</v>
      </c>
      <c r="B586" s="2">
        <v>44929</v>
      </c>
      <c r="C586" s="1" t="s">
        <v>10</v>
      </c>
      <c r="D586" s="1" t="s">
        <v>15</v>
      </c>
      <c r="E586" s="1" t="s">
        <v>16</v>
      </c>
      <c r="F586" s="1">
        <v>2668.64</v>
      </c>
      <c r="G586" s="1" t="s">
        <v>247</v>
      </c>
      <c r="H586" s="2">
        <v>23735</v>
      </c>
      <c r="I586" s="2">
        <v>44932</v>
      </c>
      <c r="J586" s="1">
        <v>16.489999999999998</v>
      </c>
      <c r="K586" s="4">
        <f t="shared" si="24"/>
        <v>440.05873599999995</v>
      </c>
      <c r="L586" s="4">
        <f t="shared" si="25"/>
        <v>2228.5812639999999</v>
      </c>
    </row>
    <row r="587" spans="1:12" x14ac:dyDescent="0.3">
      <c r="A587" s="1">
        <v>1585</v>
      </c>
      <c r="B587" s="2">
        <v>45316</v>
      </c>
      <c r="C587" s="1" t="s">
        <v>35</v>
      </c>
      <c r="D587" s="1" t="s">
        <v>22</v>
      </c>
      <c r="E587" s="1" t="s">
        <v>19</v>
      </c>
      <c r="F587" s="1">
        <v>3581.16</v>
      </c>
      <c r="G587" s="1" t="s">
        <v>199</v>
      </c>
      <c r="H587" s="2">
        <v>25341</v>
      </c>
      <c r="I587" s="2">
        <v>45323</v>
      </c>
      <c r="J587" s="1">
        <v>5.05</v>
      </c>
      <c r="K587" s="4">
        <f t="shared" si="24"/>
        <v>180.84857999999997</v>
      </c>
      <c r="L587" s="4">
        <f t="shared" si="25"/>
        <v>3400.31142</v>
      </c>
    </row>
    <row r="588" spans="1:12" x14ac:dyDescent="0.3">
      <c r="A588" s="1">
        <v>1586</v>
      </c>
      <c r="B588" s="2">
        <v>44354</v>
      </c>
      <c r="C588" s="1" t="s">
        <v>21</v>
      </c>
      <c r="D588" s="1" t="s">
        <v>18</v>
      </c>
      <c r="E588" s="1" t="s">
        <v>19</v>
      </c>
      <c r="F588" s="1">
        <v>1927.4</v>
      </c>
      <c r="G588" s="1" t="s">
        <v>256</v>
      </c>
      <c r="H588" s="2">
        <v>34537</v>
      </c>
      <c r="I588" s="2">
        <v>44362</v>
      </c>
      <c r="J588" s="1">
        <v>49.21</v>
      </c>
      <c r="K588" s="4">
        <f t="shared" si="24"/>
        <v>948.47353999999996</v>
      </c>
      <c r="L588" s="4">
        <f t="shared" si="25"/>
        <v>978.92646000000013</v>
      </c>
    </row>
    <row r="589" spans="1:12" x14ac:dyDescent="0.3">
      <c r="A589" s="1">
        <v>1587</v>
      </c>
      <c r="B589" s="2">
        <v>44896</v>
      </c>
      <c r="C589" s="1" t="s">
        <v>35</v>
      </c>
      <c r="D589" s="1" t="s">
        <v>58</v>
      </c>
      <c r="E589" s="1" t="s">
        <v>31</v>
      </c>
      <c r="F589" s="1">
        <v>3073.98</v>
      </c>
      <c r="G589" s="1" t="s">
        <v>276</v>
      </c>
      <c r="H589" s="2">
        <v>33394</v>
      </c>
      <c r="I589" s="2">
        <v>44899</v>
      </c>
      <c r="J589" s="1">
        <v>2.78</v>
      </c>
      <c r="K589" s="4">
        <f t="shared" si="24"/>
        <v>85.456643999999997</v>
      </c>
      <c r="L589" s="4">
        <f t="shared" si="25"/>
        <v>2988.5233560000001</v>
      </c>
    </row>
    <row r="590" spans="1:12" x14ac:dyDescent="0.3">
      <c r="A590" s="1">
        <v>1588</v>
      </c>
      <c r="B590" s="2">
        <v>44612</v>
      </c>
      <c r="C590" s="1" t="s">
        <v>35</v>
      </c>
      <c r="D590" s="1" t="s">
        <v>88</v>
      </c>
      <c r="E590" s="1" t="s">
        <v>16</v>
      </c>
      <c r="F590" s="1">
        <v>2770.97</v>
      </c>
      <c r="G590" s="1" t="s">
        <v>160</v>
      </c>
      <c r="H590" s="2">
        <v>35321</v>
      </c>
      <c r="I590" s="2">
        <v>44621</v>
      </c>
      <c r="J590" s="1">
        <v>13.64</v>
      </c>
      <c r="K590" s="4">
        <f t="shared" si="24"/>
        <v>377.96030799999994</v>
      </c>
      <c r="L590" s="4">
        <f t="shared" si="25"/>
        <v>2393.0096919999996</v>
      </c>
    </row>
    <row r="591" spans="1:12" x14ac:dyDescent="0.3">
      <c r="A591" s="1">
        <v>1589</v>
      </c>
      <c r="B591" s="2">
        <v>45390</v>
      </c>
      <c r="C591" s="1" t="s">
        <v>21</v>
      </c>
      <c r="D591" s="1" t="s">
        <v>69</v>
      </c>
      <c r="E591" s="1" t="s">
        <v>31</v>
      </c>
      <c r="F591" s="1">
        <v>2776.4</v>
      </c>
      <c r="G591" s="1" t="s">
        <v>176</v>
      </c>
      <c r="H591" s="2">
        <v>33282</v>
      </c>
      <c r="I591" s="2">
        <v>45392</v>
      </c>
      <c r="J591" s="1">
        <v>18.579999999999998</v>
      </c>
      <c r="K591" s="4">
        <f t="shared" si="24"/>
        <v>515.85511999999994</v>
      </c>
      <c r="L591" s="4">
        <f t="shared" si="25"/>
        <v>2260.5448800000004</v>
      </c>
    </row>
    <row r="592" spans="1:12" x14ac:dyDescent="0.3">
      <c r="A592" s="1">
        <v>1590</v>
      </c>
      <c r="B592" s="2">
        <v>44460</v>
      </c>
      <c r="C592" s="1" t="s">
        <v>21</v>
      </c>
      <c r="D592" s="1" t="s">
        <v>11</v>
      </c>
      <c r="E592" s="1" t="s">
        <v>12</v>
      </c>
      <c r="F592" s="1">
        <v>341.81</v>
      </c>
      <c r="G592" s="1" t="s">
        <v>139</v>
      </c>
      <c r="H592" s="2">
        <v>29381</v>
      </c>
      <c r="I592" s="2">
        <v>44466</v>
      </c>
      <c r="J592" s="1">
        <v>19.75</v>
      </c>
      <c r="K592" s="4">
        <f t="shared" si="24"/>
        <v>67.507474999999999</v>
      </c>
      <c r="L592" s="4">
        <f t="shared" si="25"/>
        <v>274.302525</v>
      </c>
    </row>
    <row r="593" spans="1:12" x14ac:dyDescent="0.3">
      <c r="A593" s="1">
        <v>1591</v>
      </c>
      <c r="B593" s="2">
        <v>44923</v>
      </c>
      <c r="C593" s="1" t="s">
        <v>35</v>
      </c>
      <c r="D593" s="1" t="s">
        <v>22</v>
      </c>
      <c r="E593" s="1" t="s">
        <v>19</v>
      </c>
      <c r="F593" s="1">
        <v>1301.82</v>
      </c>
      <c r="G593" s="1" t="s">
        <v>207</v>
      </c>
      <c r="H593" s="2">
        <v>23988</v>
      </c>
      <c r="I593" s="2">
        <v>44928</v>
      </c>
      <c r="J593" s="1">
        <v>30.44</v>
      </c>
      <c r="K593" s="4">
        <f t="shared" si="24"/>
        <v>396.27400799999998</v>
      </c>
      <c r="L593" s="4">
        <f t="shared" si="25"/>
        <v>905.54599199999996</v>
      </c>
    </row>
    <row r="594" spans="1:12" x14ac:dyDescent="0.3">
      <c r="A594" s="1">
        <v>1592</v>
      </c>
      <c r="B594" s="2">
        <v>45242</v>
      </c>
      <c r="C594" s="1" t="s">
        <v>35</v>
      </c>
      <c r="D594" s="1" t="s">
        <v>40</v>
      </c>
      <c r="E594" s="1" t="s">
        <v>16</v>
      </c>
      <c r="F594" s="1">
        <v>1354.64</v>
      </c>
      <c r="G594" s="1" t="s">
        <v>289</v>
      </c>
      <c r="H594" s="2">
        <v>21923</v>
      </c>
      <c r="I594" s="2">
        <v>45248</v>
      </c>
      <c r="J594" s="1">
        <v>49.02</v>
      </c>
      <c r="K594" s="4">
        <f t="shared" si="24"/>
        <v>664.04452800000013</v>
      </c>
      <c r="L594" s="4">
        <f t="shared" si="25"/>
        <v>690.59547199999997</v>
      </c>
    </row>
    <row r="595" spans="1:12" x14ac:dyDescent="0.3">
      <c r="A595" s="1">
        <v>1593</v>
      </c>
      <c r="B595" s="2">
        <v>45688</v>
      </c>
      <c r="C595" s="1" t="s">
        <v>26</v>
      </c>
      <c r="D595" s="1" t="s">
        <v>73</v>
      </c>
      <c r="E595" s="1" t="s">
        <v>28</v>
      </c>
      <c r="F595" s="1">
        <v>4679.8599999999997</v>
      </c>
      <c r="G595" s="1" t="s">
        <v>37</v>
      </c>
      <c r="H595" s="2">
        <v>27534</v>
      </c>
      <c r="I595" s="2">
        <v>45692</v>
      </c>
      <c r="J595" s="1">
        <v>10.66</v>
      </c>
      <c r="K595" s="4">
        <f t="shared" si="24"/>
        <v>498.87307599999997</v>
      </c>
      <c r="L595" s="4">
        <f t="shared" si="25"/>
        <v>4180.9869239999998</v>
      </c>
    </row>
    <row r="596" spans="1:12" x14ac:dyDescent="0.3">
      <c r="A596" s="1">
        <v>1594</v>
      </c>
      <c r="B596" s="2">
        <v>44911</v>
      </c>
      <c r="C596" s="1" t="s">
        <v>35</v>
      </c>
      <c r="D596" s="1" t="s">
        <v>33</v>
      </c>
      <c r="E596" s="1" t="s">
        <v>16</v>
      </c>
      <c r="F596" s="1">
        <v>2530.5</v>
      </c>
      <c r="G596" s="1" t="s">
        <v>276</v>
      </c>
      <c r="H596" s="2">
        <v>33394</v>
      </c>
      <c r="I596" s="2">
        <v>44917</v>
      </c>
      <c r="J596" s="1">
        <v>32.81</v>
      </c>
      <c r="K596" s="4">
        <f t="shared" si="24"/>
        <v>830.25705000000005</v>
      </c>
      <c r="L596" s="4">
        <f t="shared" si="25"/>
        <v>1700.2429499999998</v>
      </c>
    </row>
    <row r="597" spans="1:12" x14ac:dyDescent="0.3">
      <c r="A597" s="1">
        <v>1595</v>
      </c>
      <c r="B597" s="2">
        <v>45142</v>
      </c>
      <c r="C597" s="1" t="s">
        <v>35</v>
      </c>
      <c r="D597" s="1" t="s">
        <v>18</v>
      </c>
      <c r="E597" s="1" t="s">
        <v>19</v>
      </c>
      <c r="F597" s="1">
        <v>153.46</v>
      </c>
      <c r="G597" s="1" t="s">
        <v>120</v>
      </c>
      <c r="H597" s="2">
        <v>30820</v>
      </c>
      <c r="I597" s="2">
        <v>45145</v>
      </c>
      <c r="J597" s="1">
        <v>37.5</v>
      </c>
      <c r="K597" s="4">
        <f t="shared" si="24"/>
        <v>57.547499999999999</v>
      </c>
      <c r="L597" s="4">
        <f t="shared" si="25"/>
        <v>95.912500000000009</v>
      </c>
    </row>
    <row r="598" spans="1:12" x14ac:dyDescent="0.3">
      <c r="A598" s="1">
        <v>1596</v>
      </c>
      <c r="B598" s="2">
        <v>45749</v>
      </c>
      <c r="C598" s="1" t="s">
        <v>35</v>
      </c>
      <c r="D598" s="1" t="s">
        <v>58</v>
      </c>
      <c r="E598" s="1" t="s">
        <v>31</v>
      </c>
      <c r="F598" s="1">
        <v>3280.76</v>
      </c>
      <c r="G598" s="1" t="s">
        <v>215</v>
      </c>
      <c r="H598" s="2">
        <v>31386</v>
      </c>
      <c r="I598" s="2">
        <v>45763</v>
      </c>
      <c r="J598" s="1">
        <v>44.88</v>
      </c>
      <c r="K598" s="4">
        <f t="shared" si="24"/>
        <v>1472.4050880000002</v>
      </c>
      <c r="L598" s="4">
        <f t="shared" si="25"/>
        <v>1808.354912</v>
      </c>
    </row>
    <row r="599" spans="1:12" x14ac:dyDescent="0.3">
      <c r="A599" s="1">
        <v>1597</v>
      </c>
      <c r="B599" s="2">
        <v>45427</v>
      </c>
      <c r="C599" s="1" t="s">
        <v>21</v>
      </c>
      <c r="D599" s="1" t="s">
        <v>27</v>
      </c>
      <c r="E599" s="1" t="s">
        <v>28</v>
      </c>
      <c r="F599" s="1">
        <v>4720</v>
      </c>
      <c r="G599" s="1" t="s">
        <v>119</v>
      </c>
      <c r="H599" s="2">
        <v>34954</v>
      </c>
      <c r="I599" s="2">
        <v>45439</v>
      </c>
      <c r="J599" s="1">
        <v>0.59</v>
      </c>
      <c r="K599" s="4">
        <f t="shared" si="24"/>
        <v>27.847999999999999</v>
      </c>
      <c r="L599" s="4">
        <f t="shared" si="25"/>
        <v>4692.152</v>
      </c>
    </row>
    <row r="600" spans="1:12" x14ac:dyDescent="0.3">
      <c r="A600" s="1">
        <v>1598</v>
      </c>
      <c r="B600" s="2">
        <v>44229</v>
      </c>
      <c r="C600" s="1" t="s">
        <v>14</v>
      </c>
      <c r="D600" s="1" t="s">
        <v>53</v>
      </c>
      <c r="E600" s="1" t="s">
        <v>28</v>
      </c>
      <c r="F600" s="1">
        <v>4004.86</v>
      </c>
      <c r="G600" s="1" t="s">
        <v>188</v>
      </c>
      <c r="H600" s="2">
        <v>31467</v>
      </c>
      <c r="I600" s="2">
        <v>44234</v>
      </c>
      <c r="J600" s="1">
        <v>10.119999999999999</v>
      </c>
      <c r="K600" s="4">
        <f t="shared" si="24"/>
        <v>405.291832</v>
      </c>
      <c r="L600" s="4">
        <f t="shared" si="25"/>
        <v>3599.5681680000002</v>
      </c>
    </row>
    <row r="601" spans="1:12" x14ac:dyDescent="0.3">
      <c r="A601" s="1">
        <v>1599</v>
      </c>
      <c r="B601" s="2">
        <v>45019</v>
      </c>
      <c r="C601" s="1" t="s">
        <v>35</v>
      </c>
      <c r="D601" s="1" t="s">
        <v>38</v>
      </c>
      <c r="E601" s="1" t="s">
        <v>28</v>
      </c>
      <c r="F601" s="1">
        <v>4965.5600000000004</v>
      </c>
      <c r="G601" s="1" t="s">
        <v>121</v>
      </c>
      <c r="H601" s="2">
        <v>24580</v>
      </c>
      <c r="I601" s="2">
        <v>45026</v>
      </c>
      <c r="J601" s="1">
        <v>27.76</v>
      </c>
      <c r="K601" s="4">
        <f t="shared" si="24"/>
        <v>1378.4394560000003</v>
      </c>
      <c r="L601" s="4">
        <f t="shared" si="25"/>
        <v>3587.1205440000003</v>
      </c>
    </row>
    <row r="602" spans="1:12" x14ac:dyDescent="0.3">
      <c r="A602" s="1">
        <v>1600</v>
      </c>
      <c r="B602" s="2">
        <v>45120</v>
      </c>
      <c r="C602" s="1" t="s">
        <v>35</v>
      </c>
      <c r="D602" s="1" t="s">
        <v>61</v>
      </c>
      <c r="E602" s="1" t="s">
        <v>19</v>
      </c>
      <c r="F602" s="1">
        <v>4869.33</v>
      </c>
      <c r="G602" s="1" t="s">
        <v>230</v>
      </c>
      <c r="H602" s="2">
        <v>35642</v>
      </c>
      <c r="I602" s="2">
        <v>45125</v>
      </c>
      <c r="J602" s="1">
        <v>43.72</v>
      </c>
      <c r="K602" s="4">
        <f t="shared" si="24"/>
        <v>2128.8710759999999</v>
      </c>
      <c r="L602" s="4">
        <f t="shared" si="25"/>
        <v>2740.458924</v>
      </c>
    </row>
    <row r="603" spans="1:12" x14ac:dyDescent="0.3">
      <c r="A603" s="1">
        <v>1601</v>
      </c>
      <c r="B603" s="2">
        <v>45387</v>
      </c>
      <c r="C603" s="1" t="s">
        <v>26</v>
      </c>
      <c r="D603" s="1" t="s">
        <v>33</v>
      </c>
      <c r="E603" s="1" t="s">
        <v>16</v>
      </c>
      <c r="F603" s="1">
        <v>4672.42</v>
      </c>
      <c r="G603" s="1" t="s">
        <v>255</v>
      </c>
      <c r="H603" s="2">
        <v>22646</v>
      </c>
      <c r="I603" s="2">
        <v>45391</v>
      </c>
      <c r="J603" s="1">
        <v>31.77</v>
      </c>
      <c r="K603" s="4">
        <f t="shared" si="24"/>
        <v>1484.4278339999998</v>
      </c>
      <c r="L603" s="4">
        <f t="shared" si="25"/>
        <v>3187.992166</v>
      </c>
    </row>
    <row r="604" spans="1:12" x14ac:dyDescent="0.3">
      <c r="A604" s="1">
        <v>1602</v>
      </c>
      <c r="B604" s="2">
        <v>45090</v>
      </c>
      <c r="C604" s="1" t="s">
        <v>21</v>
      </c>
      <c r="D604" s="1" t="s">
        <v>22</v>
      </c>
      <c r="E604" s="1" t="s">
        <v>19</v>
      </c>
      <c r="F604" s="1">
        <v>3353.57</v>
      </c>
      <c r="G604" s="1" t="s">
        <v>118</v>
      </c>
      <c r="H604" s="2">
        <v>22599</v>
      </c>
      <c r="I604" s="2">
        <v>45095</v>
      </c>
      <c r="J604" s="1">
        <v>37.700000000000003</v>
      </c>
      <c r="K604" s="4">
        <f t="shared" si="24"/>
        <v>1264.2958900000001</v>
      </c>
      <c r="L604" s="4">
        <f t="shared" si="25"/>
        <v>2089.2741100000003</v>
      </c>
    </row>
    <row r="605" spans="1:12" x14ac:dyDescent="0.3">
      <c r="A605" s="1">
        <v>1603</v>
      </c>
      <c r="B605" s="2">
        <v>44250</v>
      </c>
      <c r="C605" s="1" t="s">
        <v>26</v>
      </c>
      <c r="D605" s="1" t="s">
        <v>27</v>
      </c>
      <c r="E605" s="1" t="s">
        <v>28</v>
      </c>
      <c r="F605" s="1">
        <v>3665.39</v>
      </c>
      <c r="G605" s="1" t="s">
        <v>103</v>
      </c>
      <c r="H605" s="2">
        <v>30923</v>
      </c>
      <c r="I605" s="2">
        <v>44254</v>
      </c>
      <c r="J605" s="1">
        <v>16.36</v>
      </c>
      <c r="K605" s="4">
        <f t="shared" si="24"/>
        <v>599.65780399999994</v>
      </c>
      <c r="L605" s="4">
        <f t="shared" si="25"/>
        <v>3065.7321959999999</v>
      </c>
    </row>
    <row r="606" spans="1:12" x14ac:dyDescent="0.3">
      <c r="A606" s="1">
        <v>1604</v>
      </c>
      <c r="B606" s="2">
        <v>44827</v>
      </c>
      <c r="C606" s="1" t="s">
        <v>35</v>
      </c>
      <c r="D606" s="1" t="s">
        <v>18</v>
      </c>
      <c r="E606" s="1" t="s">
        <v>19</v>
      </c>
      <c r="F606" s="1">
        <v>3004.02</v>
      </c>
      <c r="G606" s="1" t="s">
        <v>290</v>
      </c>
      <c r="H606" s="2">
        <v>31764</v>
      </c>
      <c r="I606" s="2">
        <v>44835</v>
      </c>
      <c r="J606" s="1">
        <v>44.09</v>
      </c>
      <c r="K606" s="4">
        <f t="shared" si="24"/>
        <v>1324.4724180000001</v>
      </c>
      <c r="L606" s="4">
        <f t="shared" si="25"/>
        <v>1679.5475819999999</v>
      </c>
    </row>
    <row r="607" spans="1:12" x14ac:dyDescent="0.3">
      <c r="A607" s="1">
        <v>1605</v>
      </c>
      <c r="B607" s="2">
        <v>45700</v>
      </c>
      <c r="C607" s="1" t="s">
        <v>10</v>
      </c>
      <c r="D607" s="1" t="s">
        <v>69</v>
      </c>
      <c r="E607" s="1" t="s">
        <v>31</v>
      </c>
      <c r="F607" s="1">
        <v>1214.72</v>
      </c>
      <c r="G607" s="1" t="s">
        <v>233</v>
      </c>
      <c r="H607" s="2">
        <v>38826</v>
      </c>
      <c r="I607" s="2">
        <v>45710</v>
      </c>
      <c r="J607" s="1">
        <v>5.04</v>
      </c>
      <c r="K607" s="4">
        <f t="shared" si="24"/>
        <v>61.221888</v>
      </c>
      <c r="L607" s="4">
        <f t="shared" si="25"/>
        <v>1153.498112</v>
      </c>
    </row>
    <row r="608" spans="1:12" x14ac:dyDescent="0.3">
      <c r="A608" s="1">
        <v>1606</v>
      </c>
      <c r="B608" s="2">
        <v>45887</v>
      </c>
      <c r="C608" s="1" t="s">
        <v>35</v>
      </c>
      <c r="D608" s="1" t="s">
        <v>73</v>
      </c>
      <c r="E608" s="1" t="s">
        <v>28</v>
      </c>
      <c r="F608" s="1">
        <v>2043.99</v>
      </c>
      <c r="G608" s="1" t="s">
        <v>146</v>
      </c>
      <c r="H608" s="2">
        <v>24961</v>
      </c>
      <c r="I608" s="2">
        <v>45891</v>
      </c>
      <c r="J608" s="1">
        <v>4.74</v>
      </c>
      <c r="K608" s="4">
        <f t="shared" si="24"/>
        <v>96.885126000000014</v>
      </c>
      <c r="L608" s="4">
        <f t="shared" si="25"/>
        <v>1947.1048740000001</v>
      </c>
    </row>
    <row r="609" spans="1:12" x14ac:dyDescent="0.3">
      <c r="A609" s="1">
        <v>1607</v>
      </c>
      <c r="B609" s="2">
        <v>45642</v>
      </c>
      <c r="C609" s="1" t="s">
        <v>10</v>
      </c>
      <c r="D609" s="1" t="s">
        <v>44</v>
      </c>
      <c r="E609" s="1" t="s">
        <v>16</v>
      </c>
      <c r="F609" s="1">
        <v>3540.67</v>
      </c>
      <c r="G609" s="1" t="s">
        <v>29</v>
      </c>
      <c r="H609" s="2">
        <v>24033</v>
      </c>
      <c r="I609" s="2">
        <v>45652</v>
      </c>
      <c r="J609" s="1">
        <v>24.78</v>
      </c>
      <c r="K609" s="4">
        <f t="shared" si="24"/>
        <v>877.37802600000009</v>
      </c>
      <c r="L609" s="4">
        <f t="shared" si="25"/>
        <v>2663.2919739999998</v>
      </c>
    </row>
    <row r="610" spans="1:12" x14ac:dyDescent="0.3">
      <c r="A610" s="1">
        <v>1608</v>
      </c>
      <c r="B610" s="2">
        <v>45403</v>
      </c>
      <c r="C610" s="1" t="s">
        <v>21</v>
      </c>
      <c r="D610" s="1" t="s">
        <v>30</v>
      </c>
      <c r="E610" s="1" t="s">
        <v>31</v>
      </c>
      <c r="F610" s="1">
        <v>2213.81</v>
      </c>
      <c r="G610" s="1" t="s">
        <v>166</v>
      </c>
      <c r="H610" s="2">
        <v>27879</v>
      </c>
      <c r="I610" s="2">
        <v>45414</v>
      </c>
      <c r="J610" s="1">
        <v>27.09</v>
      </c>
      <c r="K610" s="4">
        <f t="shared" si="24"/>
        <v>599.72112899999991</v>
      </c>
      <c r="L610" s="4">
        <f t="shared" si="25"/>
        <v>1614.0888709999999</v>
      </c>
    </row>
    <row r="611" spans="1:12" x14ac:dyDescent="0.3">
      <c r="A611" s="1">
        <v>1609</v>
      </c>
      <c r="B611" s="2">
        <v>45381</v>
      </c>
      <c r="C611" s="1" t="s">
        <v>14</v>
      </c>
      <c r="D611" s="1" t="s">
        <v>53</v>
      </c>
      <c r="E611" s="1" t="s">
        <v>28</v>
      </c>
      <c r="F611" s="1">
        <v>4495.8500000000004</v>
      </c>
      <c r="G611" s="1" t="s">
        <v>300</v>
      </c>
      <c r="H611" s="2">
        <v>24322</v>
      </c>
      <c r="I611" s="2">
        <v>45384</v>
      </c>
      <c r="J611" s="1">
        <v>20.09</v>
      </c>
      <c r="K611" s="4">
        <f t="shared" si="24"/>
        <v>903.21626500000002</v>
      </c>
      <c r="L611" s="4">
        <f t="shared" si="25"/>
        <v>3592.6337350000003</v>
      </c>
    </row>
    <row r="612" spans="1:12" x14ac:dyDescent="0.3">
      <c r="A612" s="1">
        <v>1610</v>
      </c>
      <c r="B612" s="2">
        <v>45786</v>
      </c>
      <c r="C612" s="1" t="s">
        <v>14</v>
      </c>
      <c r="D612" s="1" t="s">
        <v>73</v>
      </c>
      <c r="E612" s="1" t="s">
        <v>28</v>
      </c>
      <c r="F612" s="1">
        <v>1801.24</v>
      </c>
      <c r="G612" s="1" t="s">
        <v>190</v>
      </c>
      <c r="H612" s="2">
        <v>33354</v>
      </c>
      <c r="I612" s="2">
        <v>45796</v>
      </c>
      <c r="J612" s="1">
        <v>41.81</v>
      </c>
      <c r="K612" s="4">
        <f t="shared" si="24"/>
        <v>753.09844400000009</v>
      </c>
      <c r="L612" s="4">
        <f t="shared" si="25"/>
        <v>1048.141556</v>
      </c>
    </row>
    <row r="613" spans="1:12" x14ac:dyDescent="0.3">
      <c r="A613" s="1">
        <v>1611</v>
      </c>
      <c r="B613" s="2">
        <v>44397</v>
      </c>
      <c r="C613" s="1" t="s">
        <v>21</v>
      </c>
      <c r="D613" s="1" t="s">
        <v>11</v>
      </c>
      <c r="E613" s="1" t="s">
        <v>12</v>
      </c>
      <c r="F613" s="1">
        <v>2961.27</v>
      </c>
      <c r="G613" s="1" t="s">
        <v>279</v>
      </c>
      <c r="H613" s="2">
        <v>38934</v>
      </c>
      <c r="I613" s="2">
        <v>44399</v>
      </c>
      <c r="J613" s="1">
        <v>0.68</v>
      </c>
      <c r="K613" s="4">
        <f t="shared" si="24"/>
        <v>20.136636000000003</v>
      </c>
      <c r="L613" s="4">
        <f t="shared" si="25"/>
        <v>2941.1333639999998</v>
      </c>
    </row>
    <row r="614" spans="1:12" x14ac:dyDescent="0.3">
      <c r="A614" s="1">
        <v>1612</v>
      </c>
      <c r="B614" s="2">
        <v>45577</v>
      </c>
      <c r="C614" s="1" t="s">
        <v>10</v>
      </c>
      <c r="D614" s="1" t="s">
        <v>44</v>
      </c>
      <c r="E614" s="1" t="s">
        <v>16</v>
      </c>
      <c r="F614" s="1">
        <v>4247.75</v>
      </c>
      <c r="G614" s="1" t="s">
        <v>218</v>
      </c>
      <c r="H614" s="2">
        <v>29792</v>
      </c>
      <c r="I614" s="2">
        <v>45584</v>
      </c>
      <c r="J614" s="1">
        <v>5.75</v>
      </c>
      <c r="K614" s="4">
        <f t="shared" si="24"/>
        <v>244.24562500000002</v>
      </c>
      <c r="L614" s="4">
        <f t="shared" si="25"/>
        <v>4003.504375</v>
      </c>
    </row>
    <row r="615" spans="1:12" x14ac:dyDescent="0.3">
      <c r="A615" s="1">
        <v>1613</v>
      </c>
      <c r="B615" s="2">
        <v>44391</v>
      </c>
      <c r="C615" s="1" t="s">
        <v>10</v>
      </c>
      <c r="D615" s="1" t="s">
        <v>33</v>
      </c>
      <c r="E615" s="1" t="s">
        <v>16</v>
      </c>
      <c r="F615" s="1">
        <v>1981.39</v>
      </c>
      <c r="G615" s="1" t="s">
        <v>45</v>
      </c>
      <c r="H615" s="2">
        <v>34367</v>
      </c>
      <c r="I615" s="2">
        <v>44402</v>
      </c>
      <c r="J615" s="1">
        <v>38.67</v>
      </c>
      <c r="K615" s="4">
        <f t="shared" si="24"/>
        <v>766.20351300000016</v>
      </c>
      <c r="L615" s="4">
        <f t="shared" si="25"/>
        <v>1215.1864869999999</v>
      </c>
    </row>
    <row r="616" spans="1:12" x14ac:dyDescent="0.3">
      <c r="A616" s="1">
        <v>1614</v>
      </c>
      <c r="B616" s="2">
        <v>45413</v>
      </c>
      <c r="C616" s="1" t="s">
        <v>26</v>
      </c>
      <c r="D616" s="1" t="s">
        <v>71</v>
      </c>
      <c r="E616" s="1" t="s">
        <v>31</v>
      </c>
      <c r="F616" s="1">
        <v>747.04</v>
      </c>
      <c r="G616" s="1" t="s">
        <v>274</v>
      </c>
      <c r="H616" s="2">
        <v>34557</v>
      </c>
      <c r="I616" s="2">
        <v>45415</v>
      </c>
      <c r="J616" s="1">
        <v>8.34</v>
      </c>
      <c r="K616" s="4">
        <f t="shared" si="24"/>
        <v>62.303135999999995</v>
      </c>
      <c r="L616" s="4">
        <f t="shared" si="25"/>
        <v>684.73686399999997</v>
      </c>
    </row>
    <row r="617" spans="1:12" x14ac:dyDescent="0.3">
      <c r="A617" s="1">
        <v>1615</v>
      </c>
      <c r="B617" s="2">
        <v>44232</v>
      </c>
      <c r="C617" s="1" t="s">
        <v>21</v>
      </c>
      <c r="D617" s="1" t="s">
        <v>22</v>
      </c>
      <c r="E617" s="1" t="s">
        <v>19</v>
      </c>
      <c r="F617" s="1">
        <v>4743.6499999999996</v>
      </c>
      <c r="G617" s="1" t="s">
        <v>62</v>
      </c>
      <c r="H617" s="2">
        <v>22870</v>
      </c>
      <c r="I617" s="2">
        <v>44246</v>
      </c>
      <c r="J617" s="1">
        <v>6.24</v>
      </c>
      <c r="K617" s="4">
        <f t="shared" si="24"/>
        <v>296.00376</v>
      </c>
      <c r="L617" s="4">
        <f t="shared" si="25"/>
        <v>4447.64624</v>
      </c>
    </row>
    <row r="618" spans="1:12" x14ac:dyDescent="0.3">
      <c r="A618" s="1">
        <v>1616</v>
      </c>
      <c r="B618" s="2">
        <v>44472</v>
      </c>
      <c r="C618" s="1" t="s">
        <v>35</v>
      </c>
      <c r="D618" s="1" t="s">
        <v>61</v>
      </c>
      <c r="E618" s="1" t="s">
        <v>19</v>
      </c>
      <c r="F618" s="1">
        <v>4597.1000000000004</v>
      </c>
      <c r="G618" s="1" t="s">
        <v>301</v>
      </c>
      <c r="H618" s="2">
        <v>31775</v>
      </c>
      <c r="I618" s="2">
        <v>44482</v>
      </c>
      <c r="J618" s="1">
        <v>13.79</v>
      </c>
      <c r="K618" s="4">
        <f t="shared" si="24"/>
        <v>633.94009000000005</v>
      </c>
      <c r="L618" s="4">
        <f t="shared" si="25"/>
        <v>3963.1599100000003</v>
      </c>
    </row>
    <row r="619" spans="1:12" x14ac:dyDescent="0.3">
      <c r="A619" s="1">
        <v>1617</v>
      </c>
      <c r="B619" s="2">
        <v>44533</v>
      </c>
      <c r="C619" s="1" t="s">
        <v>21</v>
      </c>
      <c r="D619" s="1" t="s">
        <v>71</v>
      </c>
      <c r="E619" s="1" t="s">
        <v>31</v>
      </c>
      <c r="F619" s="1">
        <v>3648.56</v>
      </c>
      <c r="G619" s="1" t="s">
        <v>236</v>
      </c>
      <c r="H619" s="2">
        <v>36099</v>
      </c>
      <c r="I619" s="2">
        <v>44539</v>
      </c>
      <c r="J619" s="1">
        <v>26.36</v>
      </c>
      <c r="K619" s="4">
        <f t="shared" si="24"/>
        <v>961.76041599999996</v>
      </c>
      <c r="L619" s="4">
        <f t="shared" si="25"/>
        <v>2686.7995839999999</v>
      </c>
    </row>
    <row r="620" spans="1:12" x14ac:dyDescent="0.3">
      <c r="A620" s="1">
        <v>1618</v>
      </c>
      <c r="B620" s="2">
        <v>44117</v>
      </c>
      <c r="C620" s="1" t="s">
        <v>26</v>
      </c>
      <c r="D620" s="1" t="s">
        <v>49</v>
      </c>
      <c r="E620" s="1" t="s">
        <v>12</v>
      </c>
      <c r="F620" s="1">
        <v>2586.81</v>
      </c>
      <c r="G620" s="1" t="s">
        <v>270</v>
      </c>
      <c r="H620" s="2">
        <v>23245</v>
      </c>
      <c r="I620" s="2">
        <v>44122</v>
      </c>
      <c r="J620" s="1">
        <v>38.119999999999997</v>
      </c>
      <c r="K620" s="4">
        <f t="shared" si="24"/>
        <v>986.09197199999994</v>
      </c>
      <c r="L620" s="4">
        <f t="shared" si="25"/>
        <v>1600.718028</v>
      </c>
    </row>
    <row r="621" spans="1:12" x14ac:dyDescent="0.3">
      <c r="A621" s="1">
        <v>1619</v>
      </c>
      <c r="B621" s="2">
        <v>44190</v>
      </c>
      <c r="C621" s="1" t="s">
        <v>26</v>
      </c>
      <c r="D621" s="1" t="s">
        <v>61</v>
      </c>
      <c r="E621" s="1" t="s">
        <v>19</v>
      </c>
      <c r="F621" s="1">
        <v>3181.4</v>
      </c>
      <c r="G621" s="1" t="s">
        <v>257</v>
      </c>
      <c r="H621" s="2">
        <v>31685</v>
      </c>
      <c r="I621" s="2">
        <v>44198</v>
      </c>
      <c r="J621" s="1">
        <v>46.85</v>
      </c>
      <c r="K621" s="4">
        <f t="shared" si="24"/>
        <v>1490.4859000000001</v>
      </c>
      <c r="L621" s="4">
        <f t="shared" si="25"/>
        <v>1690.9141</v>
      </c>
    </row>
    <row r="622" spans="1:12" x14ac:dyDescent="0.3">
      <c r="A622" s="1">
        <v>1620</v>
      </c>
      <c r="B622" s="2">
        <v>44638</v>
      </c>
      <c r="C622" s="1" t="s">
        <v>35</v>
      </c>
      <c r="D622" s="1" t="s">
        <v>44</v>
      </c>
      <c r="E622" s="1" t="s">
        <v>16</v>
      </c>
      <c r="F622" s="1">
        <v>4939.3</v>
      </c>
      <c r="G622" s="1" t="s">
        <v>25</v>
      </c>
      <c r="H622" s="2">
        <v>33386</v>
      </c>
      <c r="I622" s="2">
        <v>44650</v>
      </c>
      <c r="J622" s="1">
        <v>46.46</v>
      </c>
      <c r="K622" s="4">
        <f t="shared" si="24"/>
        <v>2294.7987800000001</v>
      </c>
      <c r="L622" s="4">
        <f t="shared" si="25"/>
        <v>2644.5012200000001</v>
      </c>
    </row>
    <row r="623" spans="1:12" x14ac:dyDescent="0.3">
      <c r="A623" s="1">
        <v>1621</v>
      </c>
      <c r="B623" s="2">
        <v>45283</v>
      </c>
      <c r="C623" s="1" t="s">
        <v>21</v>
      </c>
      <c r="D623" s="1" t="s">
        <v>22</v>
      </c>
      <c r="E623" s="1" t="s">
        <v>19</v>
      </c>
      <c r="F623" s="1">
        <v>3704.72</v>
      </c>
      <c r="G623" s="1" t="s">
        <v>25</v>
      </c>
      <c r="H623" s="2">
        <v>33386</v>
      </c>
      <c r="I623" s="2">
        <v>45285</v>
      </c>
      <c r="J623" s="1">
        <v>15.38</v>
      </c>
      <c r="K623" s="4">
        <f t="shared" si="24"/>
        <v>569.78593599999999</v>
      </c>
      <c r="L623" s="4">
        <f t="shared" si="25"/>
        <v>3134.934064</v>
      </c>
    </row>
    <row r="624" spans="1:12" x14ac:dyDescent="0.3">
      <c r="A624" s="1">
        <v>1622</v>
      </c>
      <c r="B624" s="2">
        <v>45784</v>
      </c>
      <c r="C624" s="1" t="s">
        <v>21</v>
      </c>
      <c r="D624" s="1" t="s">
        <v>69</v>
      </c>
      <c r="E624" s="1" t="s">
        <v>31</v>
      </c>
      <c r="F624" s="1">
        <v>2113.2199999999998</v>
      </c>
      <c r="G624" s="1" t="s">
        <v>134</v>
      </c>
      <c r="H624" s="2">
        <v>30299</v>
      </c>
      <c r="I624" s="2">
        <v>45789</v>
      </c>
      <c r="J624" s="1">
        <v>47.05</v>
      </c>
      <c r="K624" s="4">
        <f t="shared" si="24"/>
        <v>994.27000999999984</v>
      </c>
      <c r="L624" s="4">
        <f t="shared" si="25"/>
        <v>1118.9499900000001</v>
      </c>
    </row>
    <row r="625" spans="1:12" x14ac:dyDescent="0.3">
      <c r="A625" s="1">
        <v>1623</v>
      </c>
      <c r="B625" s="2">
        <v>44110</v>
      </c>
      <c r="C625" s="1" t="s">
        <v>26</v>
      </c>
      <c r="D625" s="1" t="s">
        <v>33</v>
      </c>
      <c r="E625" s="1" t="s">
        <v>16</v>
      </c>
      <c r="F625" s="1">
        <v>3514.62</v>
      </c>
      <c r="G625" s="1" t="s">
        <v>233</v>
      </c>
      <c r="H625" s="2">
        <v>38826</v>
      </c>
      <c r="I625" s="2">
        <v>44121</v>
      </c>
      <c r="J625" s="1">
        <v>30.34</v>
      </c>
      <c r="K625" s="4">
        <f t="shared" si="24"/>
        <v>1066.3357080000001</v>
      </c>
      <c r="L625" s="4">
        <f t="shared" si="25"/>
        <v>2448.2842919999998</v>
      </c>
    </row>
    <row r="626" spans="1:12" x14ac:dyDescent="0.3">
      <c r="A626" s="1">
        <v>1624</v>
      </c>
      <c r="B626" s="2">
        <v>44248</v>
      </c>
      <c r="C626" s="1" t="s">
        <v>26</v>
      </c>
      <c r="D626" s="1" t="s">
        <v>69</v>
      </c>
      <c r="E626" s="1" t="s">
        <v>31</v>
      </c>
      <c r="F626" s="1">
        <v>628.28</v>
      </c>
      <c r="G626" s="1" t="s">
        <v>67</v>
      </c>
      <c r="H626" s="2">
        <v>34016</v>
      </c>
      <c r="I626" s="2">
        <v>44251</v>
      </c>
      <c r="J626" s="1">
        <v>48.63</v>
      </c>
      <c r="K626" s="4">
        <f t="shared" si="24"/>
        <v>305.53256399999998</v>
      </c>
      <c r="L626" s="4">
        <f t="shared" si="25"/>
        <v>322.74743599999999</v>
      </c>
    </row>
    <row r="627" spans="1:12" x14ac:dyDescent="0.3">
      <c r="A627" s="1">
        <v>1625</v>
      </c>
      <c r="B627" s="2">
        <v>45113</v>
      </c>
      <c r="C627" s="1" t="s">
        <v>14</v>
      </c>
      <c r="D627" s="1" t="s">
        <v>61</v>
      </c>
      <c r="E627" s="1" t="s">
        <v>19</v>
      </c>
      <c r="F627" s="1">
        <v>4914.7</v>
      </c>
      <c r="G627" s="1" t="s">
        <v>141</v>
      </c>
      <c r="H627" s="2">
        <v>35559</v>
      </c>
      <c r="I627" s="2">
        <v>45127</v>
      </c>
      <c r="J627" s="1">
        <v>31.73</v>
      </c>
      <c r="K627" s="4">
        <f t="shared" si="24"/>
        <v>1559.4343100000001</v>
      </c>
      <c r="L627" s="4">
        <f t="shared" si="25"/>
        <v>3355.2656899999997</v>
      </c>
    </row>
    <row r="628" spans="1:12" x14ac:dyDescent="0.3">
      <c r="A628" s="1">
        <v>1626</v>
      </c>
      <c r="B628" s="2">
        <v>44331</v>
      </c>
      <c r="C628" s="1" t="s">
        <v>35</v>
      </c>
      <c r="D628" s="1" t="s">
        <v>24</v>
      </c>
      <c r="E628" s="1" t="s">
        <v>19</v>
      </c>
      <c r="F628" s="1">
        <v>3711.17</v>
      </c>
      <c r="G628" s="1" t="s">
        <v>124</v>
      </c>
      <c r="H628" s="2">
        <v>30786</v>
      </c>
      <c r="I628" s="2">
        <v>44333</v>
      </c>
      <c r="J628" s="1">
        <v>2.41</v>
      </c>
      <c r="K628" s="4">
        <f t="shared" si="24"/>
        <v>89.439197000000007</v>
      </c>
      <c r="L628" s="4">
        <f t="shared" si="25"/>
        <v>3621.7308029999999</v>
      </c>
    </row>
    <row r="629" spans="1:12" x14ac:dyDescent="0.3">
      <c r="A629" s="1">
        <v>1627</v>
      </c>
      <c r="B629" s="2">
        <v>44274</v>
      </c>
      <c r="C629" s="1" t="s">
        <v>10</v>
      </c>
      <c r="D629" s="1" t="s">
        <v>69</v>
      </c>
      <c r="E629" s="1" t="s">
        <v>31</v>
      </c>
      <c r="F629" s="1">
        <v>639.01</v>
      </c>
      <c r="G629" s="1" t="s">
        <v>164</v>
      </c>
      <c r="H629" s="2">
        <v>28046</v>
      </c>
      <c r="I629" s="2">
        <v>44277</v>
      </c>
      <c r="J629" s="1">
        <v>25.46</v>
      </c>
      <c r="K629" s="4">
        <f t="shared" si="24"/>
        <v>162.691946</v>
      </c>
      <c r="L629" s="4">
        <f t="shared" si="25"/>
        <v>476.31805399999996</v>
      </c>
    </row>
    <row r="630" spans="1:12" x14ac:dyDescent="0.3">
      <c r="A630" s="1">
        <v>1628</v>
      </c>
      <c r="B630" s="2">
        <v>45783</v>
      </c>
      <c r="C630" s="1" t="s">
        <v>35</v>
      </c>
      <c r="D630" s="1" t="s">
        <v>49</v>
      </c>
      <c r="E630" s="1" t="s">
        <v>12</v>
      </c>
      <c r="F630" s="1">
        <v>1286.6300000000001</v>
      </c>
      <c r="G630" s="1" t="s">
        <v>302</v>
      </c>
      <c r="H630" s="2">
        <v>32940</v>
      </c>
      <c r="I630" s="2">
        <v>45790</v>
      </c>
      <c r="J630" s="1">
        <v>25.57</v>
      </c>
      <c r="K630" s="4">
        <f t="shared" si="24"/>
        <v>328.99129099999999</v>
      </c>
      <c r="L630" s="4">
        <f t="shared" si="25"/>
        <v>957.63870900000006</v>
      </c>
    </row>
    <row r="631" spans="1:12" x14ac:dyDescent="0.3">
      <c r="A631" s="1">
        <v>1629</v>
      </c>
      <c r="B631" s="2">
        <v>45475</v>
      </c>
      <c r="C631" s="1" t="s">
        <v>26</v>
      </c>
      <c r="D631" s="1" t="s">
        <v>49</v>
      </c>
      <c r="E631" s="1" t="s">
        <v>12</v>
      </c>
      <c r="F631" s="1">
        <v>363.78</v>
      </c>
      <c r="G631" s="1" t="s">
        <v>124</v>
      </c>
      <c r="H631" s="2">
        <v>30786</v>
      </c>
      <c r="I631" s="2">
        <v>45482</v>
      </c>
      <c r="J631" s="1">
        <v>34.58</v>
      </c>
      <c r="K631" s="4">
        <f t="shared" si="24"/>
        <v>125.79512399999999</v>
      </c>
      <c r="L631" s="4">
        <f t="shared" si="25"/>
        <v>237.98487599999999</v>
      </c>
    </row>
    <row r="632" spans="1:12" x14ac:dyDescent="0.3">
      <c r="A632" s="1">
        <v>1630</v>
      </c>
      <c r="B632" s="2">
        <v>45715</v>
      </c>
      <c r="C632" s="1" t="s">
        <v>21</v>
      </c>
      <c r="D632" s="1" t="s">
        <v>24</v>
      </c>
      <c r="E632" s="1" t="s">
        <v>19</v>
      </c>
      <c r="F632" s="1">
        <v>348.83</v>
      </c>
      <c r="G632" s="1" t="s">
        <v>269</v>
      </c>
      <c r="H632" s="2">
        <v>30976</v>
      </c>
      <c r="I632" s="2">
        <v>45718</v>
      </c>
      <c r="J632" s="1">
        <v>15.94</v>
      </c>
      <c r="K632" s="4">
        <f t="shared" si="24"/>
        <v>55.603501999999992</v>
      </c>
      <c r="L632" s="4">
        <f t="shared" si="25"/>
        <v>293.22649799999999</v>
      </c>
    </row>
    <row r="633" spans="1:12" x14ac:dyDescent="0.3">
      <c r="A633" s="1">
        <v>1631</v>
      </c>
      <c r="B633" s="2">
        <v>45537</v>
      </c>
      <c r="C633" s="1" t="s">
        <v>26</v>
      </c>
      <c r="D633" s="1" t="s">
        <v>27</v>
      </c>
      <c r="E633" s="1" t="s">
        <v>28</v>
      </c>
      <c r="F633" s="1">
        <v>3800.43</v>
      </c>
      <c r="G633" s="1" t="s">
        <v>143</v>
      </c>
      <c r="H633" s="2">
        <v>37490</v>
      </c>
      <c r="I633" s="2">
        <v>45538</v>
      </c>
      <c r="J633" s="1">
        <v>7.33</v>
      </c>
      <c r="K633" s="4">
        <f t="shared" si="24"/>
        <v>278.57151900000002</v>
      </c>
      <c r="L633" s="4">
        <f t="shared" si="25"/>
        <v>3521.8584809999998</v>
      </c>
    </row>
    <row r="634" spans="1:12" x14ac:dyDescent="0.3">
      <c r="A634" s="1">
        <v>1632</v>
      </c>
      <c r="B634" s="2">
        <v>44856</v>
      </c>
      <c r="C634" s="1" t="s">
        <v>14</v>
      </c>
      <c r="D634" s="1" t="s">
        <v>73</v>
      </c>
      <c r="E634" s="1" t="s">
        <v>28</v>
      </c>
      <c r="F634" s="1">
        <v>3721.15</v>
      </c>
      <c r="G634" s="1" t="s">
        <v>121</v>
      </c>
      <c r="H634" s="2">
        <v>24580</v>
      </c>
      <c r="I634" s="2">
        <v>44862</v>
      </c>
      <c r="J634" s="1">
        <v>36.840000000000003</v>
      </c>
      <c r="K634" s="4">
        <f t="shared" si="24"/>
        <v>1370.8716600000002</v>
      </c>
      <c r="L634" s="4">
        <f t="shared" si="25"/>
        <v>2350.2783399999998</v>
      </c>
    </row>
    <row r="635" spans="1:12" x14ac:dyDescent="0.3">
      <c r="A635" s="1">
        <v>1633</v>
      </c>
      <c r="B635" s="2">
        <v>45644</v>
      </c>
      <c r="C635" s="1" t="s">
        <v>35</v>
      </c>
      <c r="D635" s="1" t="s">
        <v>73</v>
      </c>
      <c r="E635" s="1" t="s">
        <v>28</v>
      </c>
      <c r="F635" s="1">
        <v>4920.09</v>
      </c>
      <c r="G635" s="1" t="s">
        <v>230</v>
      </c>
      <c r="H635" s="2">
        <v>35642</v>
      </c>
      <c r="I635" s="2">
        <v>45645</v>
      </c>
      <c r="J635" s="1">
        <v>33.64</v>
      </c>
      <c r="K635" s="4">
        <f t="shared" si="24"/>
        <v>1655.1182760000002</v>
      </c>
      <c r="L635" s="4">
        <f t="shared" si="25"/>
        <v>3264.971724</v>
      </c>
    </row>
    <row r="636" spans="1:12" x14ac:dyDescent="0.3">
      <c r="A636" s="1">
        <v>1634</v>
      </c>
      <c r="B636" s="2">
        <v>44307</v>
      </c>
      <c r="C636" s="1" t="s">
        <v>21</v>
      </c>
      <c r="D636" s="1" t="s">
        <v>36</v>
      </c>
      <c r="E636" s="1" t="s">
        <v>28</v>
      </c>
      <c r="F636" s="1">
        <v>2036.85</v>
      </c>
      <c r="G636" s="1" t="s">
        <v>264</v>
      </c>
      <c r="H636" s="2">
        <v>30232</v>
      </c>
      <c r="I636" s="2">
        <v>44315</v>
      </c>
      <c r="J636" s="1">
        <v>45.65</v>
      </c>
      <c r="K636" s="4">
        <f t="shared" si="24"/>
        <v>929.82202499999983</v>
      </c>
      <c r="L636" s="4">
        <f t="shared" si="25"/>
        <v>1107.027975</v>
      </c>
    </row>
    <row r="637" spans="1:12" x14ac:dyDescent="0.3">
      <c r="A637" s="1">
        <v>1635</v>
      </c>
      <c r="B637" s="2">
        <v>44704</v>
      </c>
      <c r="C637" s="1" t="s">
        <v>21</v>
      </c>
      <c r="D637" s="1" t="s">
        <v>73</v>
      </c>
      <c r="E637" s="1" t="s">
        <v>28</v>
      </c>
      <c r="F637" s="1">
        <v>792.31</v>
      </c>
      <c r="G637" s="1" t="s">
        <v>46</v>
      </c>
      <c r="H637" s="2">
        <v>24670</v>
      </c>
      <c r="I637" s="2">
        <v>44713</v>
      </c>
      <c r="J637" s="1">
        <v>10.91</v>
      </c>
      <c r="K637" s="4">
        <f t="shared" si="24"/>
        <v>86.441020999999992</v>
      </c>
      <c r="L637" s="4">
        <f t="shared" si="25"/>
        <v>705.86897899999997</v>
      </c>
    </row>
    <row r="638" spans="1:12" x14ac:dyDescent="0.3">
      <c r="A638" s="1">
        <v>1636</v>
      </c>
      <c r="B638" s="2">
        <v>45358</v>
      </c>
      <c r="C638" s="1" t="s">
        <v>14</v>
      </c>
      <c r="D638" s="1" t="s">
        <v>44</v>
      </c>
      <c r="E638" s="1" t="s">
        <v>16</v>
      </c>
      <c r="F638" s="1">
        <v>2263.83</v>
      </c>
      <c r="G638" s="1" t="s">
        <v>298</v>
      </c>
      <c r="H638" s="2">
        <v>30410</v>
      </c>
      <c r="I638" s="2">
        <v>45367</v>
      </c>
      <c r="J638" s="1">
        <v>22.05</v>
      </c>
      <c r="K638" s="4">
        <f t="shared" si="24"/>
        <v>499.17451499999999</v>
      </c>
      <c r="L638" s="4">
        <f t="shared" si="25"/>
        <v>1764.655485</v>
      </c>
    </row>
    <row r="639" spans="1:12" x14ac:dyDescent="0.3">
      <c r="A639" s="1">
        <v>1637</v>
      </c>
      <c r="B639" s="2">
        <v>45883</v>
      </c>
      <c r="C639" s="1" t="s">
        <v>21</v>
      </c>
      <c r="D639" s="1" t="s">
        <v>73</v>
      </c>
      <c r="E639" s="1" t="s">
        <v>28</v>
      </c>
      <c r="F639" s="1">
        <v>515.75</v>
      </c>
      <c r="G639" s="1" t="s">
        <v>293</v>
      </c>
      <c r="H639" s="2">
        <v>26379</v>
      </c>
      <c r="I639" s="2">
        <v>45892</v>
      </c>
      <c r="J639" s="1">
        <v>44.38</v>
      </c>
      <c r="K639" s="4">
        <f t="shared" si="24"/>
        <v>228.88985000000002</v>
      </c>
      <c r="L639" s="4">
        <f t="shared" si="25"/>
        <v>286.86014999999998</v>
      </c>
    </row>
    <row r="640" spans="1:12" x14ac:dyDescent="0.3">
      <c r="A640" s="1">
        <v>1638</v>
      </c>
      <c r="B640" s="2">
        <v>45552</v>
      </c>
      <c r="C640" s="1" t="s">
        <v>14</v>
      </c>
      <c r="D640" s="1" t="s">
        <v>15</v>
      </c>
      <c r="E640" s="1" t="s">
        <v>16</v>
      </c>
      <c r="F640" s="1">
        <v>2138.29</v>
      </c>
      <c r="G640" s="1" t="s">
        <v>119</v>
      </c>
      <c r="H640" s="2">
        <v>34954</v>
      </c>
      <c r="I640" s="2">
        <v>45558</v>
      </c>
      <c r="J640" s="1">
        <v>4.1399999999999997</v>
      </c>
      <c r="K640" s="4">
        <f t="shared" si="24"/>
        <v>88.525205999999997</v>
      </c>
      <c r="L640" s="4">
        <f t="shared" si="25"/>
        <v>2049.7647940000002</v>
      </c>
    </row>
    <row r="641" spans="1:12" x14ac:dyDescent="0.3">
      <c r="A641" s="1">
        <v>1639</v>
      </c>
      <c r="B641" s="2">
        <v>44586</v>
      </c>
      <c r="C641" s="1" t="s">
        <v>21</v>
      </c>
      <c r="D641" s="1" t="s">
        <v>24</v>
      </c>
      <c r="E641" s="1" t="s">
        <v>19</v>
      </c>
      <c r="F641" s="1">
        <v>2315.33</v>
      </c>
      <c r="G641" s="1" t="s">
        <v>180</v>
      </c>
      <c r="H641" s="2">
        <v>25163</v>
      </c>
      <c r="I641" s="2">
        <v>44597</v>
      </c>
      <c r="J641" s="1">
        <v>34.07</v>
      </c>
      <c r="K641" s="4">
        <f t="shared" si="24"/>
        <v>788.83293100000003</v>
      </c>
      <c r="L641" s="4">
        <f t="shared" si="25"/>
        <v>1526.497069</v>
      </c>
    </row>
    <row r="642" spans="1:12" x14ac:dyDescent="0.3">
      <c r="A642" s="1">
        <v>1640</v>
      </c>
      <c r="B642" s="2">
        <v>45661</v>
      </c>
      <c r="C642" s="1" t="s">
        <v>35</v>
      </c>
      <c r="D642" s="1" t="s">
        <v>15</v>
      </c>
      <c r="E642" s="1" t="s">
        <v>16</v>
      </c>
      <c r="F642" s="1">
        <v>3804.9</v>
      </c>
      <c r="G642" s="1" t="s">
        <v>298</v>
      </c>
      <c r="H642" s="2">
        <v>30410</v>
      </c>
      <c r="I642" s="2">
        <v>45663</v>
      </c>
      <c r="J642" s="1">
        <v>6.91</v>
      </c>
      <c r="K642" s="4">
        <f t="shared" si="24"/>
        <v>262.91858999999999</v>
      </c>
      <c r="L642" s="4">
        <f t="shared" si="25"/>
        <v>3541.9814100000003</v>
      </c>
    </row>
    <row r="643" spans="1:12" x14ac:dyDescent="0.3">
      <c r="A643" s="1">
        <v>1641</v>
      </c>
      <c r="B643" s="2">
        <v>45770</v>
      </c>
      <c r="C643" s="1" t="s">
        <v>26</v>
      </c>
      <c r="D643" s="1" t="s">
        <v>44</v>
      </c>
      <c r="E643" s="1" t="s">
        <v>16</v>
      </c>
      <c r="F643" s="1">
        <v>1233.6500000000001</v>
      </c>
      <c r="G643" s="1" t="s">
        <v>233</v>
      </c>
      <c r="H643" s="2">
        <v>38826</v>
      </c>
      <c r="I643" s="2">
        <v>45782</v>
      </c>
      <c r="J643" s="1">
        <v>7.16</v>
      </c>
      <c r="K643" s="4">
        <f t="shared" ref="K643:K706" si="26">F643*J643%</f>
        <v>88.329340000000002</v>
      </c>
      <c r="L643" s="4">
        <f t="shared" ref="L643:L706" si="27">F643-K643</f>
        <v>1145.3206600000001</v>
      </c>
    </row>
    <row r="644" spans="1:12" x14ac:dyDescent="0.3">
      <c r="A644" s="1">
        <v>1642</v>
      </c>
      <c r="B644" s="2">
        <v>45094</v>
      </c>
      <c r="C644" s="1" t="s">
        <v>35</v>
      </c>
      <c r="D644" s="1" t="s">
        <v>44</v>
      </c>
      <c r="E644" s="1" t="s">
        <v>16</v>
      </c>
      <c r="F644" s="1">
        <v>2282.48</v>
      </c>
      <c r="G644" s="1" t="s">
        <v>144</v>
      </c>
      <c r="H644" s="2">
        <v>34571</v>
      </c>
      <c r="I644" s="2">
        <v>45095</v>
      </c>
      <c r="J644" s="1">
        <v>1.72</v>
      </c>
      <c r="K644" s="4">
        <f t="shared" si="26"/>
        <v>39.258656000000002</v>
      </c>
      <c r="L644" s="4">
        <f t="shared" si="27"/>
        <v>2243.221344</v>
      </c>
    </row>
    <row r="645" spans="1:12" x14ac:dyDescent="0.3">
      <c r="A645" s="1">
        <v>1643</v>
      </c>
      <c r="B645" s="2">
        <v>44347</v>
      </c>
      <c r="C645" s="1" t="s">
        <v>26</v>
      </c>
      <c r="D645" s="1" t="s">
        <v>30</v>
      </c>
      <c r="E645" s="1" t="s">
        <v>31</v>
      </c>
      <c r="F645" s="1">
        <v>4221.93</v>
      </c>
      <c r="G645" s="1" t="s">
        <v>37</v>
      </c>
      <c r="H645" s="2">
        <v>27534</v>
      </c>
      <c r="I645" s="2">
        <v>44356</v>
      </c>
      <c r="J645" s="1">
        <v>31.97</v>
      </c>
      <c r="K645" s="4">
        <f t="shared" si="26"/>
        <v>1349.751021</v>
      </c>
      <c r="L645" s="4">
        <f t="shared" si="27"/>
        <v>2872.1789790000003</v>
      </c>
    </row>
    <row r="646" spans="1:12" x14ac:dyDescent="0.3">
      <c r="A646" s="1">
        <v>1644</v>
      </c>
      <c r="B646" s="2">
        <v>44353</v>
      </c>
      <c r="C646" s="1" t="s">
        <v>10</v>
      </c>
      <c r="D646" s="1" t="s">
        <v>65</v>
      </c>
      <c r="E646" s="1" t="s">
        <v>19</v>
      </c>
      <c r="F646" s="1">
        <v>2669.73</v>
      </c>
      <c r="G646" s="1" t="s">
        <v>301</v>
      </c>
      <c r="H646" s="2">
        <v>31775</v>
      </c>
      <c r="I646" s="2">
        <v>44358</v>
      </c>
      <c r="J646" s="1">
        <v>41.87</v>
      </c>
      <c r="K646" s="4">
        <f t="shared" si="26"/>
        <v>1117.8159509999998</v>
      </c>
      <c r="L646" s="4">
        <f t="shared" si="27"/>
        <v>1551.9140490000002</v>
      </c>
    </row>
    <row r="647" spans="1:12" x14ac:dyDescent="0.3">
      <c r="A647" s="1">
        <v>1645</v>
      </c>
      <c r="B647" s="2">
        <v>44100</v>
      </c>
      <c r="C647" s="1" t="s">
        <v>21</v>
      </c>
      <c r="D647" s="1" t="s">
        <v>38</v>
      </c>
      <c r="E647" s="1" t="s">
        <v>28</v>
      </c>
      <c r="F647" s="1">
        <v>1691.89</v>
      </c>
      <c r="G647" s="1" t="s">
        <v>191</v>
      </c>
      <c r="H647" s="2">
        <v>37495</v>
      </c>
      <c r="I647" s="2">
        <v>44107</v>
      </c>
      <c r="J647" s="1">
        <v>15.04</v>
      </c>
      <c r="K647" s="4">
        <f t="shared" si="26"/>
        <v>254.46025599999999</v>
      </c>
      <c r="L647" s="4">
        <f t="shared" si="27"/>
        <v>1437.429744</v>
      </c>
    </row>
    <row r="648" spans="1:12" x14ac:dyDescent="0.3">
      <c r="A648" s="1">
        <v>1646</v>
      </c>
      <c r="B648" s="2">
        <v>45630</v>
      </c>
      <c r="C648" s="1" t="s">
        <v>10</v>
      </c>
      <c r="D648" s="1" t="s">
        <v>33</v>
      </c>
      <c r="E648" s="1" t="s">
        <v>16</v>
      </c>
      <c r="F648" s="1">
        <v>830.37</v>
      </c>
      <c r="G648" s="1" t="s">
        <v>261</v>
      </c>
      <c r="H648" s="2">
        <v>23920</v>
      </c>
      <c r="I648" s="2">
        <v>45636</v>
      </c>
      <c r="J648" s="1">
        <v>4.28</v>
      </c>
      <c r="K648" s="4">
        <f t="shared" si="26"/>
        <v>35.539836000000001</v>
      </c>
      <c r="L648" s="4">
        <f t="shared" si="27"/>
        <v>794.83016399999997</v>
      </c>
    </row>
    <row r="649" spans="1:12" x14ac:dyDescent="0.3">
      <c r="A649" s="1">
        <v>1647</v>
      </c>
      <c r="B649" s="2">
        <v>45397</v>
      </c>
      <c r="C649" s="1" t="s">
        <v>10</v>
      </c>
      <c r="D649" s="1" t="s">
        <v>36</v>
      </c>
      <c r="E649" s="1" t="s">
        <v>28</v>
      </c>
      <c r="F649" s="1">
        <v>3017.29</v>
      </c>
      <c r="G649" s="1" t="s">
        <v>50</v>
      </c>
      <c r="H649" s="2">
        <v>22594</v>
      </c>
      <c r="I649" s="2">
        <v>45408</v>
      </c>
      <c r="J649" s="1">
        <v>40.770000000000003</v>
      </c>
      <c r="K649" s="4">
        <f t="shared" si="26"/>
        <v>1230.1491329999999</v>
      </c>
      <c r="L649" s="4">
        <f t="shared" si="27"/>
        <v>1787.1408670000001</v>
      </c>
    </row>
    <row r="650" spans="1:12" x14ac:dyDescent="0.3">
      <c r="A650" s="1">
        <v>1648</v>
      </c>
      <c r="B650" s="2">
        <v>44377</v>
      </c>
      <c r="C650" s="1" t="s">
        <v>35</v>
      </c>
      <c r="D650" s="1" t="s">
        <v>18</v>
      </c>
      <c r="E650" s="1" t="s">
        <v>19</v>
      </c>
      <c r="F650" s="1">
        <v>1210.22</v>
      </c>
      <c r="G650" s="1" t="s">
        <v>303</v>
      </c>
      <c r="H650" s="2">
        <v>30474</v>
      </c>
      <c r="I650" s="2">
        <v>44382</v>
      </c>
      <c r="J650" s="1">
        <v>46.37</v>
      </c>
      <c r="K650" s="4">
        <f t="shared" si="26"/>
        <v>561.17901400000005</v>
      </c>
      <c r="L650" s="4">
        <f t="shared" si="27"/>
        <v>649.04098599999998</v>
      </c>
    </row>
    <row r="651" spans="1:12" x14ac:dyDescent="0.3">
      <c r="A651" s="1">
        <v>1649</v>
      </c>
      <c r="B651" s="2">
        <v>44132</v>
      </c>
      <c r="C651" s="1" t="s">
        <v>35</v>
      </c>
      <c r="D651" s="1" t="s">
        <v>73</v>
      </c>
      <c r="E651" s="1" t="s">
        <v>28</v>
      </c>
      <c r="F651" s="1">
        <v>4753.34</v>
      </c>
      <c r="G651" s="1" t="s">
        <v>222</v>
      </c>
      <c r="H651" s="2">
        <v>28619</v>
      </c>
      <c r="I651" s="2">
        <v>44140</v>
      </c>
      <c r="J651" s="1">
        <v>6.29</v>
      </c>
      <c r="K651" s="4">
        <f t="shared" si="26"/>
        <v>298.98508600000002</v>
      </c>
      <c r="L651" s="4">
        <f t="shared" si="27"/>
        <v>4454.3549140000005</v>
      </c>
    </row>
    <row r="652" spans="1:12" x14ac:dyDescent="0.3">
      <c r="A652" s="1">
        <v>1650</v>
      </c>
      <c r="B652" s="2">
        <v>44820</v>
      </c>
      <c r="C652" s="1" t="s">
        <v>26</v>
      </c>
      <c r="D652" s="1" t="s">
        <v>33</v>
      </c>
      <c r="E652" s="1" t="s">
        <v>16</v>
      </c>
      <c r="F652" s="1">
        <v>981.87</v>
      </c>
      <c r="G652" s="1" t="s">
        <v>165</v>
      </c>
      <c r="H652" s="2">
        <v>29887</v>
      </c>
      <c r="I652" s="2">
        <v>44827</v>
      </c>
      <c r="J652" s="1">
        <v>0.65</v>
      </c>
      <c r="K652" s="4">
        <f t="shared" si="26"/>
        <v>6.3821550000000009</v>
      </c>
      <c r="L652" s="4">
        <f t="shared" si="27"/>
        <v>975.48784499999999</v>
      </c>
    </row>
    <row r="653" spans="1:12" x14ac:dyDescent="0.3">
      <c r="A653" s="1">
        <v>1651</v>
      </c>
      <c r="B653" s="2">
        <v>44720</v>
      </c>
      <c r="C653" s="1" t="s">
        <v>10</v>
      </c>
      <c r="D653" s="1" t="s">
        <v>65</v>
      </c>
      <c r="E653" s="1" t="s">
        <v>19</v>
      </c>
      <c r="F653" s="1">
        <v>563.67999999999995</v>
      </c>
      <c r="G653" s="1" t="s">
        <v>143</v>
      </c>
      <c r="H653" s="2">
        <v>37490</v>
      </c>
      <c r="I653" s="2">
        <v>44724</v>
      </c>
      <c r="J653" s="1">
        <v>18.170000000000002</v>
      </c>
      <c r="K653" s="4">
        <f t="shared" si="26"/>
        <v>102.42065600000001</v>
      </c>
      <c r="L653" s="4">
        <f t="shared" si="27"/>
        <v>461.25934399999994</v>
      </c>
    </row>
    <row r="654" spans="1:12" x14ac:dyDescent="0.3">
      <c r="A654" s="1">
        <v>1652</v>
      </c>
      <c r="B654" s="2">
        <v>44476</v>
      </c>
      <c r="C654" s="1" t="s">
        <v>10</v>
      </c>
      <c r="D654" s="1" t="s">
        <v>58</v>
      </c>
      <c r="E654" s="1" t="s">
        <v>31</v>
      </c>
      <c r="F654" s="1">
        <v>1065.97</v>
      </c>
      <c r="G654" s="1" t="s">
        <v>135</v>
      </c>
      <c r="H654" s="2">
        <v>38018</v>
      </c>
      <c r="I654" s="2">
        <v>44489</v>
      </c>
      <c r="J654" s="1">
        <v>16.690000000000001</v>
      </c>
      <c r="K654" s="4">
        <f t="shared" si="26"/>
        <v>177.91039300000003</v>
      </c>
      <c r="L654" s="4">
        <f t="shared" si="27"/>
        <v>888.05960700000003</v>
      </c>
    </row>
    <row r="655" spans="1:12" x14ac:dyDescent="0.3">
      <c r="A655" s="1">
        <v>1653</v>
      </c>
      <c r="B655" s="2">
        <v>44374</v>
      </c>
      <c r="C655" s="1" t="s">
        <v>14</v>
      </c>
      <c r="D655" s="1" t="s">
        <v>36</v>
      </c>
      <c r="E655" s="1" t="s">
        <v>28</v>
      </c>
      <c r="F655" s="1">
        <v>1898.29</v>
      </c>
      <c r="G655" s="1" t="s">
        <v>304</v>
      </c>
      <c r="H655" s="2">
        <v>36246</v>
      </c>
      <c r="I655" s="2">
        <v>44386</v>
      </c>
      <c r="J655" s="1">
        <v>30.32</v>
      </c>
      <c r="K655" s="4">
        <f t="shared" si="26"/>
        <v>575.56152800000007</v>
      </c>
      <c r="L655" s="4">
        <f t="shared" si="27"/>
        <v>1322.7284719999998</v>
      </c>
    </row>
    <row r="656" spans="1:12" x14ac:dyDescent="0.3">
      <c r="A656" s="1">
        <v>1654</v>
      </c>
      <c r="B656" s="2">
        <v>44437</v>
      </c>
      <c r="C656" s="1" t="s">
        <v>26</v>
      </c>
      <c r="D656" s="1" t="s">
        <v>30</v>
      </c>
      <c r="E656" s="1" t="s">
        <v>31</v>
      </c>
      <c r="F656" s="1">
        <v>2209.92</v>
      </c>
      <c r="G656" s="1" t="s">
        <v>238</v>
      </c>
      <c r="H656" s="2">
        <v>31880</v>
      </c>
      <c r="I656" s="2">
        <v>44450</v>
      </c>
      <c r="J656" s="1">
        <v>4.3099999999999996</v>
      </c>
      <c r="K656" s="4">
        <f t="shared" si="26"/>
        <v>95.247551999999999</v>
      </c>
      <c r="L656" s="4">
        <f t="shared" si="27"/>
        <v>2114.6724480000003</v>
      </c>
    </row>
    <row r="657" spans="1:12" x14ac:dyDescent="0.3">
      <c r="A657" s="1">
        <v>1655</v>
      </c>
      <c r="B657" s="2">
        <v>44345</v>
      </c>
      <c r="C657" s="1" t="s">
        <v>26</v>
      </c>
      <c r="D657" s="1" t="s">
        <v>22</v>
      </c>
      <c r="E657" s="1" t="s">
        <v>19</v>
      </c>
      <c r="F657" s="1">
        <v>2307.13</v>
      </c>
      <c r="G657" s="1" t="s">
        <v>171</v>
      </c>
      <c r="H657" s="2">
        <v>31261</v>
      </c>
      <c r="I657" s="2">
        <v>44354</v>
      </c>
      <c r="J657" s="1">
        <v>37.06</v>
      </c>
      <c r="K657" s="4">
        <f t="shared" si="26"/>
        <v>855.02237800000012</v>
      </c>
      <c r="L657" s="4">
        <f t="shared" si="27"/>
        <v>1452.107622</v>
      </c>
    </row>
    <row r="658" spans="1:12" x14ac:dyDescent="0.3">
      <c r="A658" s="1">
        <v>1656</v>
      </c>
      <c r="B658" s="2">
        <v>44918</v>
      </c>
      <c r="C658" s="1" t="s">
        <v>35</v>
      </c>
      <c r="D658" s="1" t="s">
        <v>88</v>
      </c>
      <c r="E658" s="1" t="s">
        <v>16</v>
      </c>
      <c r="F658" s="1">
        <v>1309.18</v>
      </c>
      <c r="G658" s="1" t="s">
        <v>130</v>
      </c>
      <c r="H658" s="2">
        <v>38750</v>
      </c>
      <c r="I658" s="2">
        <v>44928</v>
      </c>
      <c r="J658" s="1">
        <v>26.82</v>
      </c>
      <c r="K658" s="4">
        <f t="shared" si="26"/>
        <v>351.12207599999999</v>
      </c>
      <c r="L658" s="4">
        <f t="shared" si="27"/>
        <v>958.05792400000007</v>
      </c>
    </row>
    <row r="659" spans="1:12" x14ac:dyDescent="0.3">
      <c r="A659" s="1">
        <v>1657</v>
      </c>
      <c r="B659" s="2">
        <v>44362</v>
      </c>
      <c r="C659" s="1" t="s">
        <v>10</v>
      </c>
      <c r="D659" s="1" t="s">
        <v>55</v>
      </c>
      <c r="E659" s="1" t="s">
        <v>31</v>
      </c>
      <c r="F659" s="1">
        <v>528.41999999999996</v>
      </c>
      <c r="G659" s="1" t="s">
        <v>108</v>
      </c>
      <c r="H659" s="2">
        <v>33413</v>
      </c>
      <c r="I659" s="2">
        <v>44371</v>
      </c>
      <c r="J659" s="1">
        <v>23.23</v>
      </c>
      <c r="K659" s="4">
        <f t="shared" si="26"/>
        <v>122.751966</v>
      </c>
      <c r="L659" s="4">
        <f t="shared" si="27"/>
        <v>405.66803399999998</v>
      </c>
    </row>
    <row r="660" spans="1:12" x14ac:dyDescent="0.3">
      <c r="A660" s="1">
        <v>1658</v>
      </c>
      <c r="B660" s="2">
        <v>44430</v>
      </c>
      <c r="C660" s="1" t="s">
        <v>35</v>
      </c>
      <c r="D660" s="1" t="s">
        <v>49</v>
      </c>
      <c r="E660" s="1" t="s">
        <v>12</v>
      </c>
      <c r="F660" s="1">
        <v>2670.17</v>
      </c>
      <c r="G660" s="1" t="s">
        <v>288</v>
      </c>
      <c r="H660" s="2">
        <v>29810</v>
      </c>
      <c r="I660" s="2">
        <v>44441</v>
      </c>
      <c r="J660" s="1">
        <v>15.3</v>
      </c>
      <c r="K660" s="4">
        <f t="shared" si="26"/>
        <v>408.53600999999998</v>
      </c>
      <c r="L660" s="4">
        <f t="shared" si="27"/>
        <v>2261.6339900000003</v>
      </c>
    </row>
    <row r="661" spans="1:12" x14ac:dyDescent="0.3">
      <c r="A661" s="1">
        <v>1659</v>
      </c>
      <c r="B661" s="2">
        <v>45036</v>
      </c>
      <c r="C661" s="1" t="s">
        <v>21</v>
      </c>
      <c r="D661" s="1" t="s">
        <v>71</v>
      </c>
      <c r="E661" s="1" t="s">
        <v>31</v>
      </c>
      <c r="F661" s="1">
        <v>2555.38</v>
      </c>
      <c r="G661" s="1" t="s">
        <v>305</v>
      </c>
      <c r="H661" s="2">
        <v>21940</v>
      </c>
      <c r="I661" s="2">
        <v>45041</v>
      </c>
      <c r="J661" s="1">
        <v>19.41</v>
      </c>
      <c r="K661" s="4">
        <f t="shared" si="26"/>
        <v>495.999258</v>
      </c>
      <c r="L661" s="4">
        <f t="shared" si="27"/>
        <v>2059.3807420000003</v>
      </c>
    </row>
    <row r="662" spans="1:12" x14ac:dyDescent="0.3">
      <c r="A662" s="1">
        <v>1660</v>
      </c>
      <c r="B662" s="2">
        <v>44120</v>
      </c>
      <c r="C662" s="1" t="s">
        <v>26</v>
      </c>
      <c r="D662" s="1" t="s">
        <v>55</v>
      </c>
      <c r="E662" s="1" t="s">
        <v>31</v>
      </c>
      <c r="F662" s="1">
        <v>4831.3999999999996</v>
      </c>
      <c r="G662" s="1" t="s">
        <v>163</v>
      </c>
      <c r="H662" s="2">
        <v>30364</v>
      </c>
      <c r="I662" s="2">
        <v>44127</v>
      </c>
      <c r="J662" s="1">
        <v>19.36</v>
      </c>
      <c r="K662" s="4">
        <f t="shared" si="26"/>
        <v>935.35903999999994</v>
      </c>
      <c r="L662" s="4">
        <f t="shared" si="27"/>
        <v>3896.0409599999998</v>
      </c>
    </row>
    <row r="663" spans="1:12" x14ac:dyDescent="0.3">
      <c r="A663" s="1">
        <v>1661</v>
      </c>
      <c r="B663" s="2">
        <v>45816</v>
      </c>
      <c r="C663" s="1" t="s">
        <v>14</v>
      </c>
      <c r="D663" s="1" t="s">
        <v>22</v>
      </c>
      <c r="E663" s="1" t="s">
        <v>19</v>
      </c>
      <c r="F663" s="1">
        <v>4672.3599999999997</v>
      </c>
      <c r="G663" s="1" t="s">
        <v>189</v>
      </c>
      <c r="H663" s="2">
        <v>34164</v>
      </c>
      <c r="I663" s="2">
        <v>45827</v>
      </c>
      <c r="J663" s="1">
        <v>14.4</v>
      </c>
      <c r="K663" s="4">
        <f t="shared" si="26"/>
        <v>672.81984</v>
      </c>
      <c r="L663" s="4">
        <f t="shared" si="27"/>
        <v>3999.5401599999996</v>
      </c>
    </row>
    <row r="664" spans="1:12" x14ac:dyDescent="0.3">
      <c r="A664" s="1">
        <v>1662</v>
      </c>
      <c r="B664" s="2">
        <v>44407</v>
      </c>
      <c r="C664" s="1" t="s">
        <v>26</v>
      </c>
      <c r="D664" s="1" t="s">
        <v>38</v>
      </c>
      <c r="E664" s="1" t="s">
        <v>28</v>
      </c>
      <c r="F664" s="1">
        <v>849.78</v>
      </c>
      <c r="G664" s="1" t="s">
        <v>262</v>
      </c>
      <c r="H664" s="2">
        <v>36590</v>
      </c>
      <c r="I664" s="2">
        <v>44420</v>
      </c>
      <c r="J664" s="1">
        <v>1.58</v>
      </c>
      <c r="K664" s="4">
        <f t="shared" si="26"/>
        <v>13.426524000000001</v>
      </c>
      <c r="L664" s="4">
        <f t="shared" si="27"/>
        <v>836.353476</v>
      </c>
    </row>
    <row r="665" spans="1:12" x14ac:dyDescent="0.3">
      <c r="A665" s="1">
        <v>1663</v>
      </c>
      <c r="B665" s="2">
        <v>44120</v>
      </c>
      <c r="C665" s="1" t="s">
        <v>21</v>
      </c>
      <c r="D665" s="1" t="s">
        <v>88</v>
      </c>
      <c r="E665" s="1" t="s">
        <v>16</v>
      </c>
      <c r="F665" s="1">
        <v>1174.31</v>
      </c>
      <c r="G665" s="1" t="s">
        <v>300</v>
      </c>
      <c r="H665" s="2">
        <v>24322</v>
      </c>
      <c r="I665" s="2">
        <v>44129</v>
      </c>
      <c r="J665" s="1">
        <v>14.95</v>
      </c>
      <c r="K665" s="4">
        <f t="shared" si="26"/>
        <v>175.55934499999998</v>
      </c>
      <c r="L665" s="4">
        <f t="shared" si="27"/>
        <v>998.75065499999994</v>
      </c>
    </row>
    <row r="666" spans="1:12" x14ac:dyDescent="0.3">
      <c r="A666" s="1">
        <v>1664</v>
      </c>
      <c r="B666" s="2">
        <v>45789</v>
      </c>
      <c r="C666" s="1" t="s">
        <v>14</v>
      </c>
      <c r="D666" s="1" t="s">
        <v>27</v>
      </c>
      <c r="E666" s="1" t="s">
        <v>28</v>
      </c>
      <c r="F666" s="1">
        <v>209.13</v>
      </c>
      <c r="G666" s="1" t="s">
        <v>149</v>
      </c>
      <c r="H666" s="2">
        <v>26155</v>
      </c>
      <c r="I666" s="2">
        <v>45793</v>
      </c>
      <c r="J666" s="1">
        <v>19.75</v>
      </c>
      <c r="K666" s="4">
        <f t="shared" si="26"/>
        <v>41.303175000000003</v>
      </c>
      <c r="L666" s="4">
        <f t="shared" si="27"/>
        <v>167.82682499999999</v>
      </c>
    </row>
    <row r="667" spans="1:12" x14ac:dyDescent="0.3">
      <c r="A667" s="1">
        <v>1665</v>
      </c>
      <c r="B667" s="2">
        <v>44583</v>
      </c>
      <c r="C667" s="1" t="s">
        <v>26</v>
      </c>
      <c r="D667" s="1" t="s">
        <v>11</v>
      </c>
      <c r="E667" s="1" t="s">
        <v>12</v>
      </c>
      <c r="F667" s="1">
        <v>4882.18</v>
      </c>
      <c r="G667" s="1" t="s">
        <v>169</v>
      </c>
      <c r="H667" s="2">
        <v>37894</v>
      </c>
      <c r="I667" s="2">
        <v>44590</v>
      </c>
      <c r="J667" s="1">
        <v>28.88</v>
      </c>
      <c r="K667" s="4">
        <f t="shared" si="26"/>
        <v>1409.9735840000001</v>
      </c>
      <c r="L667" s="4">
        <f t="shared" si="27"/>
        <v>3472.206416</v>
      </c>
    </row>
    <row r="668" spans="1:12" x14ac:dyDescent="0.3">
      <c r="A668" s="1">
        <v>1666</v>
      </c>
      <c r="B668" s="2">
        <v>45636</v>
      </c>
      <c r="C668" s="1" t="s">
        <v>10</v>
      </c>
      <c r="D668" s="1" t="s">
        <v>71</v>
      </c>
      <c r="E668" s="1" t="s">
        <v>31</v>
      </c>
      <c r="F668" s="1">
        <v>639.63</v>
      </c>
      <c r="G668" s="1" t="s">
        <v>301</v>
      </c>
      <c r="H668" s="2">
        <v>31775</v>
      </c>
      <c r="I668" s="2">
        <v>45641</v>
      </c>
      <c r="J668" s="1">
        <v>41.11</v>
      </c>
      <c r="K668" s="4">
        <f t="shared" si="26"/>
        <v>262.95189299999998</v>
      </c>
      <c r="L668" s="4">
        <f t="shared" si="27"/>
        <v>376.67810700000001</v>
      </c>
    </row>
    <row r="669" spans="1:12" x14ac:dyDescent="0.3">
      <c r="A669" s="1">
        <v>1667</v>
      </c>
      <c r="B669" s="2">
        <v>44932</v>
      </c>
      <c r="C669" s="1" t="s">
        <v>35</v>
      </c>
      <c r="D669" s="1" t="s">
        <v>24</v>
      </c>
      <c r="E669" s="1" t="s">
        <v>19</v>
      </c>
      <c r="F669" s="1">
        <v>2188.62</v>
      </c>
      <c r="G669" s="1" t="s">
        <v>136</v>
      </c>
      <c r="H669" s="2">
        <v>23704</v>
      </c>
      <c r="I669" s="2">
        <v>44942</v>
      </c>
      <c r="J669" s="1">
        <v>30.97</v>
      </c>
      <c r="K669" s="4">
        <f t="shared" si="26"/>
        <v>677.81561399999987</v>
      </c>
      <c r="L669" s="4">
        <f t="shared" si="27"/>
        <v>1510.804386</v>
      </c>
    </row>
    <row r="670" spans="1:12" x14ac:dyDescent="0.3">
      <c r="A670" s="1">
        <v>1668</v>
      </c>
      <c r="B670" s="2">
        <v>44744</v>
      </c>
      <c r="C670" s="1" t="s">
        <v>35</v>
      </c>
      <c r="D670" s="1" t="s">
        <v>69</v>
      </c>
      <c r="E670" s="1" t="s">
        <v>12</v>
      </c>
      <c r="F670" s="1">
        <v>789.74</v>
      </c>
      <c r="G670" s="1" t="s">
        <v>89</v>
      </c>
      <c r="H670" s="2">
        <v>37141</v>
      </c>
      <c r="I670" s="2">
        <v>44749</v>
      </c>
      <c r="J670" s="1">
        <v>5.84</v>
      </c>
      <c r="K670" s="4">
        <f t="shared" si="26"/>
        <v>46.120815999999998</v>
      </c>
      <c r="L670" s="4">
        <f t="shared" si="27"/>
        <v>743.61918400000002</v>
      </c>
    </row>
    <row r="671" spans="1:12" x14ac:dyDescent="0.3">
      <c r="A671" s="1">
        <v>1669</v>
      </c>
      <c r="B671" s="2">
        <v>44270</v>
      </c>
      <c r="C671" s="1" t="s">
        <v>26</v>
      </c>
      <c r="D671" s="1" t="s">
        <v>65</v>
      </c>
      <c r="E671" s="1" t="s">
        <v>19</v>
      </c>
      <c r="F671" s="1">
        <v>3669.41</v>
      </c>
      <c r="G671" s="1" t="s">
        <v>207</v>
      </c>
      <c r="H671" s="2">
        <v>23988</v>
      </c>
      <c r="I671" s="2">
        <v>44284</v>
      </c>
      <c r="J671" s="1">
        <v>42.15</v>
      </c>
      <c r="K671" s="4">
        <f t="shared" si="26"/>
        <v>1546.6563149999999</v>
      </c>
      <c r="L671" s="4">
        <f t="shared" si="27"/>
        <v>2122.7536849999997</v>
      </c>
    </row>
    <row r="672" spans="1:12" x14ac:dyDescent="0.3">
      <c r="A672" s="1">
        <v>1670</v>
      </c>
      <c r="B672" s="2">
        <v>45041</v>
      </c>
      <c r="C672" s="1" t="s">
        <v>21</v>
      </c>
      <c r="D672" s="1" t="s">
        <v>69</v>
      </c>
      <c r="E672" s="1" t="s">
        <v>31</v>
      </c>
      <c r="F672" s="1">
        <v>2238.67</v>
      </c>
      <c r="G672" s="1" t="s">
        <v>142</v>
      </c>
      <c r="H672" s="2">
        <v>29541</v>
      </c>
      <c r="I672" s="2">
        <v>45049</v>
      </c>
      <c r="J672" s="1">
        <v>12.27</v>
      </c>
      <c r="K672" s="4">
        <f t="shared" si="26"/>
        <v>274.68480899999997</v>
      </c>
      <c r="L672" s="4">
        <f t="shared" si="27"/>
        <v>1963.9851910000002</v>
      </c>
    </row>
    <row r="673" spans="1:12" x14ac:dyDescent="0.3">
      <c r="A673" s="1">
        <v>1671</v>
      </c>
      <c r="B673" s="2">
        <v>45412</v>
      </c>
      <c r="C673" s="1" t="s">
        <v>10</v>
      </c>
      <c r="D673" s="1" t="s">
        <v>15</v>
      </c>
      <c r="E673" s="1" t="s">
        <v>16</v>
      </c>
      <c r="F673" s="1">
        <v>1138.79</v>
      </c>
      <c r="G673" s="1" t="s">
        <v>85</v>
      </c>
      <c r="H673" s="2">
        <v>37236</v>
      </c>
      <c r="I673" s="2">
        <v>45422</v>
      </c>
      <c r="J673" s="1">
        <v>32.72</v>
      </c>
      <c r="K673" s="4">
        <f t="shared" si="26"/>
        <v>372.61208799999997</v>
      </c>
      <c r="L673" s="4">
        <f t="shared" si="27"/>
        <v>766.17791199999999</v>
      </c>
    </row>
    <row r="674" spans="1:12" x14ac:dyDescent="0.3">
      <c r="A674" s="1">
        <v>1672</v>
      </c>
      <c r="B674" s="2">
        <v>45872</v>
      </c>
      <c r="C674" s="1" t="s">
        <v>21</v>
      </c>
      <c r="D674" s="1" t="s">
        <v>11</v>
      </c>
      <c r="E674" s="1" t="s">
        <v>12</v>
      </c>
      <c r="F674" s="1">
        <v>1098.3800000000001</v>
      </c>
      <c r="G674" s="1" t="s">
        <v>133</v>
      </c>
      <c r="H674" s="2">
        <v>23264</v>
      </c>
      <c r="I674" s="2">
        <v>45875</v>
      </c>
      <c r="J674" s="1">
        <v>9.08</v>
      </c>
      <c r="K674" s="4">
        <f t="shared" si="26"/>
        <v>99.732904000000019</v>
      </c>
      <c r="L674" s="4">
        <f t="shared" si="27"/>
        <v>998.64709600000015</v>
      </c>
    </row>
    <row r="675" spans="1:12" x14ac:dyDescent="0.3">
      <c r="A675" s="1">
        <v>1673</v>
      </c>
      <c r="B675" s="2">
        <v>44190</v>
      </c>
      <c r="C675" s="1" t="s">
        <v>35</v>
      </c>
      <c r="D675" s="1" t="s">
        <v>44</v>
      </c>
      <c r="E675" s="1" t="s">
        <v>16</v>
      </c>
      <c r="F675" s="1">
        <v>1502.05</v>
      </c>
      <c r="G675" s="1" t="s">
        <v>95</v>
      </c>
      <c r="H675" s="2">
        <v>25821</v>
      </c>
      <c r="I675" s="2">
        <v>44201</v>
      </c>
      <c r="J675" s="1">
        <v>10.3</v>
      </c>
      <c r="K675" s="4">
        <f t="shared" si="26"/>
        <v>154.71115</v>
      </c>
      <c r="L675" s="4">
        <f t="shared" si="27"/>
        <v>1347.3388499999999</v>
      </c>
    </row>
    <row r="676" spans="1:12" x14ac:dyDescent="0.3">
      <c r="A676" s="1">
        <v>1674</v>
      </c>
      <c r="B676" s="2">
        <v>45177</v>
      </c>
      <c r="C676" s="1" t="s">
        <v>14</v>
      </c>
      <c r="D676" s="1" t="s">
        <v>18</v>
      </c>
      <c r="E676" s="1" t="s">
        <v>19</v>
      </c>
      <c r="F676" s="1">
        <v>542.29999999999995</v>
      </c>
      <c r="G676" s="1" t="s">
        <v>190</v>
      </c>
      <c r="H676" s="2">
        <v>33354</v>
      </c>
      <c r="I676" s="2">
        <v>45190</v>
      </c>
      <c r="J676" s="1">
        <v>41.18</v>
      </c>
      <c r="K676" s="4">
        <f t="shared" si="26"/>
        <v>223.31913999999998</v>
      </c>
      <c r="L676" s="4">
        <f t="shared" si="27"/>
        <v>318.98086000000001</v>
      </c>
    </row>
    <row r="677" spans="1:12" x14ac:dyDescent="0.3">
      <c r="A677" s="1">
        <v>1675</v>
      </c>
      <c r="B677" s="2">
        <v>45015</v>
      </c>
      <c r="C677" s="1" t="s">
        <v>35</v>
      </c>
      <c r="D677" s="1" t="s">
        <v>33</v>
      </c>
      <c r="E677" s="1" t="s">
        <v>16</v>
      </c>
      <c r="F677" s="1">
        <v>1210.26</v>
      </c>
      <c r="G677" s="1" t="s">
        <v>306</v>
      </c>
      <c r="H677" s="2">
        <v>23652</v>
      </c>
      <c r="I677" s="2">
        <v>45027</v>
      </c>
      <c r="J677" s="1">
        <v>45.32</v>
      </c>
      <c r="K677" s="4">
        <f t="shared" si="26"/>
        <v>548.48983199999998</v>
      </c>
      <c r="L677" s="4">
        <f t="shared" si="27"/>
        <v>661.77016800000001</v>
      </c>
    </row>
    <row r="678" spans="1:12" x14ac:dyDescent="0.3">
      <c r="A678" s="1">
        <v>1676</v>
      </c>
      <c r="B678" s="2">
        <v>44325</v>
      </c>
      <c r="C678" s="1" t="s">
        <v>10</v>
      </c>
      <c r="D678" s="1" t="s">
        <v>11</v>
      </c>
      <c r="E678" s="1" t="s">
        <v>12</v>
      </c>
      <c r="F678" s="1">
        <v>1155.43</v>
      </c>
      <c r="G678" s="1" t="s">
        <v>37</v>
      </c>
      <c r="H678" s="2">
        <v>27534</v>
      </c>
      <c r="I678" s="2">
        <v>44326</v>
      </c>
      <c r="J678" s="1">
        <v>36.01</v>
      </c>
      <c r="K678" s="4">
        <f t="shared" si="26"/>
        <v>416.07034299999998</v>
      </c>
      <c r="L678" s="4">
        <f t="shared" si="27"/>
        <v>739.35965700000008</v>
      </c>
    </row>
    <row r="679" spans="1:12" x14ac:dyDescent="0.3">
      <c r="A679" s="1">
        <v>1677</v>
      </c>
      <c r="B679" s="2">
        <v>44508</v>
      </c>
      <c r="C679" s="1" t="s">
        <v>35</v>
      </c>
      <c r="D679" s="1" t="s">
        <v>58</v>
      </c>
      <c r="E679" s="1" t="s">
        <v>31</v>
      </c>
      <c r="F679" s="1">
        <v>4727.7700000000004</v>
      </c>
      <c r="G679" s="1" t="s">
        <v>307</v>
      </c>
      <c r="H679" s="2">
        <v>30321</v>
      </c>
      <c r="I679" s="2">
        <v>44513</v>
      </c>
      <c r="J679" s="1">
        <v>7.46</v>
      </c>
      <c r="K679" s="4">
        <f t="shared" si="26"/>
        <v>352.69164200000006</v>
      </c>
      <c r="L679" s="4">
        <f t="shared" si="27"/>
        <v>4375.0783580000007</v>
      </c>
    </row>
    <row r="680" spans="1:12" x14ac:dyDescent="0.3">
      <c r="A680" s="1">
        <v>1678</v>
      </c>
      <c r="B680" s="2">
        <v>44869</v>
      </c>
      <c r="C680" s="1" t="s">
        <v>26</v>
      </c>
      <c r="D680" s="1" t="s">
        <v>58</v>
      </c>
      <c r="E680" s="1" t="s">
        <v>31</v>
      </c>
      <c r="F680" s="1">
        <v>542.16999999999996</v>
      </c>
      <c r="G680" s="1" t="s">
        <v>159</v>
      </c>
      <c r="H680" s="2">
        <v>38194</v>
      </c>
      <c r="I680" s="2">
        <v>44870</v>
      </c>
      <c r="J680" s="1">
        <v>12.99</v>
      </c>
      <c r="K680" s="4">
        <f t="shared" si="26"/>
        <v>70.427883000000008</v>
      </c>
      <c r="L680" s="4">
        <f t="shared" si="27"/>
        <v>471.74211699999995</v>
      </c>
    </row>
    <row r="681" spans="1:12" x14ac:dyDescent="0.3">
      <c r="A681" s="1">
        <v>1679</v>
      </c>
      <c r="B681" s="2">
        <v>44505</v>
      </c>
      <c r="C681" s="1" t="s">
        <v>35</v>
      </c>
      <c r="D681" s="1" t="s">
        <v>55</v>
      </c>
      <c r="E681" s="1" t="s">
        <v>31</v>
      </c>
      <c r="F681" s="1">
        <v>4303.21</v>
      </c>
      <c r="G681" s="1" t="s">
        <v>139</v>
      </c>
      <c r="H681" s="2">
        <v>29381</v>
      </c>
      <c r="I681" s="2">
        <v>44512</v>
      </c>
      <c r="J681" s="1">
        <v>33.68</v>
      </c>
      <c r="K681" s="4">
        <f t="shared" si="26"/>
        <v>1449.321128</v>
      </c>
      <c r="L681" s="4">
        <f t="shared" si="27"/>
        <v>2853.888872</v>
      </c>
    </row>
    <row r="682" spans="1:12" x14ac:dyDescent="0.3">
      <c r="A682" s="1">
        <v>1680</v>
      </c>
      <c r="B682" s="2">
        <v>45161</v>
      </c>
      <c r="C682" s="1" t="s">
        <v>35</v>
      </c>
      <c r="D682" s="1" t="s">
        <v>71</v>
      </c>
      <c r="E682" s="1" t="s">
        <v>31</v>
      </c>
      <c r="F682" s="1">
        <v>4991.41</v>
      </c>
      <c r="G682" s="1" t="s">
        <v>308</v>
      </c>
      <c r="H682" s="2">
        <v>35336</v>
      </c>
      <c r="I682" s="2">
        <v>45167</v>
      </c>
      <c r="J682" s="1">
        <v>41.94</v>
      </c>
      <c r="K682" s="4">
        <f t="shared" si="26"/>
        <v>2093.3973539999997</v>
      </c>
      <c r="L682" s="4">
        <f t="shared" si="27"/>
        <v>2898.0126460000001</v>
      </c>
    </row>
    <row r="683" spans="1:12" x14ac:dyDescent="0.3">
      <c r="A683" s="1">
        <v>1681</v>
      </c>
      <c r="B683" s="2">
        <v>44233</v>
      </c>
      <c r="C683" s="1" t="s">
        <v>26</v>
      </c>
      <c r="D683" s="1" t="s">
        <v>69</v>
      </c>
      <c r="E683" s="1" t="s">
        <v>12</v>
      </c>
      <c r="F683" s="1">
        <v>3113.17</v>
      </c>
      <c r="G683" s="1" t="s">
        <v>276</v>
      </c>
      <c r="H683" s="2">
        <v>33394</v>
      </c>
      <c r="I683" s="2">
        <v>44244</v>
      </c>
      <c r="J683" s="1">
        <v>1.17</v>
      </c>
      <c r="K683" s="4">
        <f t="shared" si="26"/>
        <v>36.424088999999995</v>
      </c>
      <c r="L683" s="4">
        <f t="shared" si="27"/>
        <v>3076.745911</v>
      </c>
    </row>
    <row r="684" spans="1:12" x14ac:dyDescent="0.3">
      <c r="A684" s="1">
        <v>1682</v>
      </c>
      <c r="B684" s="2">
        <v>44756</v>
      </c>
      <c r="C684" s="1" t="s">
        <v>21</v>
      </c>
      <c r="D684" s="1" t="s">
        <v>71</v>
      </c>
      <c r="E684" s="1" t="s">
        <v>31</v>
      </c>
      <c r="F684" s="1">
        <v>1401.86</v>
      </c>
      <c r="G684" s="1" t="s">
        <v>140</v>
      </c>
      <c r="H684" s="2">
        <v>24579</v>
      </c>
      <c r="I684" s="2">
        <v>44764</v>
      </c>
      <c r="J684" s="1">
        <v>46.91</v>
      </c>
      <c r="K684" s="4">
        <f t="shared" si="26"/>
        <v>657.61252599999989</v>
      </c>
      <c r="L684" s="4">
        <f t="shared" si="27"/>
        <v>744.24747400000001</v>
      </c>
    </row>
    <row r="685" spans="1:12" x14ac:dyDescent="0.3">
      <c r="A685" s="1">
        <v>1683</v>
      </c>
      <c r="B685" s="2">
        <v>44229</v>
      </c>
      <c r="C685" s="1" t="s">
        <v>35</v>
      </c>
      <c r="D685" s="1" t="s">
        <v>18</v>
      </c>
      <c r="E685" s="1" t="s">
        <v>19</v>
      </c>
      <c r="F685" s="1">
        <v>2109.39</v>
      </c>
      <c r="G685" s="1" t="s">
        <v>261</v>
      </c>
      <c r="H685" s="2">
        <v>23920</v>
      </c>
      <c r="I685" s="2">
        <v>44235</v>
      </c>
      <c r="J685" s="1">
        <v>19.059999999999999</v>
      </c>
      <c r="K685" s="4">
        <f t="shared" si="26"/>
        <v>402.04973399999994</v>
      </c>
      <c r="L685" s="4">
        <f t="shared" si="27"/>
        <v>1707.3402659999999</v>
      </c>
    </row>
    <row r="686" spans="1:12" x14ac:dyDescent="0.3">
      <c r="A686" s="1">
        <v>1684</v>
      </c>
      <c r="B686" s="2">
        <v>45114</v>
      </c>
      <c r="C686" s="1" t="s">
        <v>21</v>
      </c>
      <c r="D686" s="1" t="s">
        <v>15</v>
      </c>
      <c r="E686" s="1" t="s">
        <v>16</v>
      </c>
      <c r="F686" s="1">
        <v>3439.5</v>
      </c>
      <c r="G686" s="1" t="s">
        <v>64</v>
      </c>
      <c r="H686" s="2">
        <v>32375</v>
      </c>
      <c r="I686" s="2">
        <v>45126</v>
      </c>
      <c r="J686" s="1">
        <v>16.34</v>
      </c>
      <c r="K686" s="4">
        <f t="shared" si="26"/>
        <v>562.01429999999993</v>
      </c>
      <c r="L686" s="4">
        <f t="shared" si="27"/>
        <v>2877.4857000000002</v>
      </c>
    </row>
    <row r="687" spans="1:12" x14ac:dyDescent="0.3">
      <c r="A687" s="1">
        <v>1685</v>
      </c>
      <c r="B687" s="2">
        <v>44226</v>
      </c>
      <c r="C687" s="1" t="s">
        <v>14</v>
      </c>
      <c r="D687" s="1" t="s">
        <v>61</v>
      </c>
      <c r="E687" s="1" t="s">
        <v>19</v>
      </c>
      <c r="F687" s="1">
        <v>3971.47</v>
      </c>
      <c r="G687" s="1" t="s">
        <v>309</v>
      </c>
      <c r="H687" s="2">
        <v>23838</v>
      </c>
      <c r="I687" s="2">
        <v>44227</v>
      </c>
      <c r="J687" s="1">
        <v>0.9</v>
      </c>
      <c r="K687" s="4">
        <f t="shared" si="26"/>
        <v>35.743230000000004</v>
      </c>
      <c r="L687" s="4">
        <f t="shared" si="27"/>
        <v>3935.7267699999998</v>
      </c>
    </row>
    <row r="688" spans="1:12" x14ac:dyDescent="0.3">
      <c r="A688" s="1">
        <v>1686</v>
      </c>
      <c r="B688" s="2">
        <v>44632</v>
      </c>
      <c r="C688" s="1" t="s">
        <v>14</v>
      </c>
      <c r="D688" s="1" t="s">
        <v>71</v>
      </c>
      <c r="E688" s="1" t="s">
        <v>31</v>
      </c>
      <c r="F688" s="1">
        <v>1083.4100000000001</v>
      </c>
      <c r="G688" s="1" t="s">
        <v>117</v>
      </c>
      <c r="H688" s="2">
        <v>23513</v>
      </c>
      <c r="I688" s="2">
        <v>44633</v>
      </c>
      <c r="J688" s="1">
        <v>36.5</v>
      </c>
      <c r="K688" s="4">
        <f t="shared" si="26"/>
        <v>395.44465000000002</v>
      </c>
      <c r="L688" s="4">
        <f t="shared" si="27"/>
        <v>687.96535000000006</v>
      </c>
    </row>
    <row r="689" spans="1:12" x14ac:dyDescent="0.3">
      <c r="A689" s="1">
        <v>1687</v>
      </c>
      <c r="B689" s="2">
        <v>45763</v>
      </c>
      <c r="C689" s="1" t="s">
        <v>21</v>
      </c>
      <c r="D689" s="1" t="s">
        <v>69</v>
      </c>
      <c r="E689" s="1" t="s">
        <v>12</v>
      </c>
      <c r="F689" s="1">
        <v>2262.52</v>
      </c>
      <c r="G689" s="1" t="s">
        <v>303</v>
      </c>
      <c r="H689" s="2">
        <v>30474</v>
      </c>
      <c r="I689" s="2">
        <v>45775</v>
      </c>
      <c r="J689" s="1">
        <v>4.95</v>
      </c>
      <c r="K689" s="4">
        <f t="shared" si="26"/>
        <v>111.99474000000001</v>
      </c>
      <c r="L689" s="4">
        <f t="shared" si="27"/>
        <v>2150.5252599999999</v>
      </c>
    </row>
    <row r="690" spans="1:12" x14ac:dyDescent="0.3">
      <c r="A690" s="1">
        <v>1688</v>
      </c>
      <c r="B690" s="2">
        <v>44973</v>
      </c>
      <c r="C690" s="1" t="s">
        <v>21</v>
      </c>
      <c r="D690" s="1" t="s">
        <v>71</v>
      </c>
      <c r="E690" s="1" t="s">
        <v>31</v>
      </c>
      <c r="F690" s="1">
        <v>4036.71</v>
      </c>
      <c r="G690" s="1" t="s">
        <v>260</v>
      </c>
      <c r="H690" s="2">
        <v>38628</v>
      </c>
      <c r="I690" s="2">
        <v>44976</v>
      </c>
      <c r="J690" s="1">
        <v>30.2</v>
      </c>
      <c r="K690" s="4">
        <f t="shared" si="26"/>
        <v>1219.0864199999999</v>
      </c>
      <c r="L690" s="4">
        <f t="shared" si="27"/>
        <v>2817.6235800000004</v>
      </c>
    </row>
    <row r="691" spans="1:12" x14ac:dyDescent="0.3">
      <c r="A691" s="1">
        <v>1689</v>
      </c>
      <c r="B691" s="2">
        <v>44624</v>
      </c>
      <c r="C691" s="1" t="s">
        <v>14</v>
      </c>
      <c r="D691" s="1" t="s">
        <v>53</v>
      </c>
      <c r="E691" s="1" t="s">
        <v>28</v>
      </c>
      <c r="F691" s="1">
        <v>2762.66</v>
      </c>
      <c r="G691" s="1" t="s">
        <v>310</v>
      </c>
      <c r="H691" s="2">
        <v>23309</v>
      </c>
      <c r="I691" s="2">
        <v>44631</v>
      </c>
      <c r="J691" s="1">
        <v>21.79</v>
      </c>
      <c r="K691" s="4">
        <f t="shared" si="26"/>
        <v>601.98361399999987</v>
      </c>
      <c r="L691" s="4">
        <f t="shared" si="27"/>
        <v>2160.6763860000001</v>
      </c>
    </row>
    <row r="692" spans="1:12" x14ac:dyDescent="0.3">
      <c r="A692" s="1">
        <v>1690</v>
      </c>
      <c r="B692" s="2">
        <v>44526</v>
      </c>
      <c r="C692" s="1" t="s">
        <v>14</v>
      </c>
      <c r="D692" s="1" t="s">
        <v>24</v>
      </c>
      <c r="E692" s="1" t="s">
        <v>19</v>
      </c>
      <c r="F692" s="1">
        <v>2795.54</v>
      </c>
      <c r="G692" s="1" t="s">
        <v>32</v>
      </c>
      <c r="H692" s="2">
        <v>27166</v>
      </c>
      <c r="I692" s="2">
        <v>44537</v>
      </c>
      <c r="J692" s="1">
        <v>14.81</v>
      </c>
      <c r="K692" s="4">
        <f t="shared" si="26"/>
        <v>414.019474</v>
      </c>
      <c r="L692" s="4">
        <f t="shared" si="27"/>
        <v>2381.5205259999998</v>
      </c>
    </row>
    <row r="693" spans="1:12" x14ac:dyDescent="0.3">
      <c r="A693" s="1">
        <v>1691</v>
      </c>
      <c r="B693" s="2">
        <v>44396</v>
      </c>
      <c r="C693" s="1" t="s">
        <v>21</v>
      </c>
      <c r="D693" s="1" t="s">
        <v>61</v>
      </c>
      <c r="E693" s="1" t="s">
        <v>19</v>
      </c>
      <c r="F693" s="1">
        <v>2136.2600000000002</v>
      </c>
      <c r="G693" s="1" t="s">
        <v>264</v>
      </c>
      <c r="H693" s="2">
        <v>30232</v>
      </c>
      <c r="I693" s="2">
        <v>44404</v>
      </c>
      <c r="J693" s="1">
        <v>4</v>
      </c>
      <c r="K693" s="4">
        <f t="shared" si="26"/>
        <v>85.450400000000016</v>
      </c>
      <c r="L693" s="4">
        <f t="shared" si="27"/>
        <v>2050.8096</v>
      </c>
    </row>
    <row r="694" spans="1:12" x14ac:dyDescent="0.3">
      <c r="A694" s="1">
        <v>1692</v>
      </c>
      <c r="B694" s="2">
        <v>45302</v>
      </c>
      <c r="C694" s="1" t="s">
        <v>21</v>
      </c>
      <c r="D694" s="1" t="s">
        <v>40</v>
      </c>
      <c r="E694" s="1" t="s">
        <v>16</v>
      </c>
      <c r="F694" s="1">
        <v>4150.93</v>
      </c>
      <c r="G694" s="1" t="s">
        <v>223</v>
      </c>
      <c r="H694" s="2">
        <v>35407</v>
      </c>
      <c r="I694" s="2">
        <v>45315</v>
      </c>
      <c r="J694" s="1">
        <v>46.04</v>
      </c>
      <c r="K694" s="4">
        <f t="shared" si="26"/>
        <v>1911.088172</v>
      </c>
      <c r="L694" s="4">
        <f t="shared" si="27"/>
        <v>2239.8418280000005</v>
      </c>
    </row>
    <row r="695" spans="1:12" x14ac:dyDescent="0.3">
      <c r="A695" s="1">
        <v>1693</v>
      </c>
      <c r="B695" s="2">
        <v>44528</v>
      </c>
      <c r="C695" s="1" t="s">
        <v>21</v>
      </c>
      <c r="D695" s="1" t="s">
        <v>40</v>
      </c>
      <c r="E695" s="1" t="s">
        <v>16</v>
      </c>
      <c r="F695" s="1">
        <v>3648.4</v>
      </c>
      <c r="G695" s="1" t="s">
        <v>221</v>
      </c>
      <c r="H695" s="2">
        <v>35658</v>
      </c>
      <c r="I695" s="2">
        <v>44542</v>
      </c>
      <c r="J695" s="1">
        <v>42.7</v>
      </c>
      <c r="K695" s="4">
        <f t="shared" si="26"/>
        <v>1557.8668000000002</v>
      </c>
      <c r="L695" s="4">
        <f t="shared" si="27"/>
        <v>2090.5331999999999</v>
      </c>
    </row>
    <row r="696" spans="1:12" x14ac:dyDescent="0.3">
      <c r="A696" s="1">
        <v>1694</v>
      </c>
      <c r="B696" s="2">
        <v>45503</v>
      </c>
      <c r="C696" s="1" t="s">
        <v>26</v>
      </c>
      <c r="D696" s="1" t="s">
        <v>15</v>
      </c>
      <c r="E696" s="1" t="s">
        <v>16</v>
      </c>
      <c r="F696" s="1">
        <v>4655.5200000000004</v>
      </c>
      <c r="G696" s="1" t="s">
        <v>128</v>
      </c>
      <c r="H696" s="2">
        <v>37961</v>
      </c>
      <c r="I696" s="2">
        <v>45516</v>
      </c>
      <c r="J696" s="1">
        <v>14.23</v>
      </c>
      <c r="K696" s="4">
        <f t="shared" si="26"/>
        <v>662.48049600000013</v>
      </c>
      <c r="L696" s="4">
        <f t="shared" si="27"/>
        <v>3993.0395040000003</v>
      </c>
    </row>
    <row r="697" spans="1:12" x14ac:dyDescent="0.3">
      <c r="A697" s="1">
        <v>1695</v>
      </c>
      <c r="B697" s="2">
        <v>44766</v>
      </c>
      <c r="C697" s="1" t="s">
        <v>10</v>
      </c>
      <c r="D697" s="1" t="s">
        <v>38</v>
      </c>
      <c r="E697" s="1" t="s">
        <v>28</v>
      </c>
      <c r="F697" s="1">
        <v>1621.73</v>
      </c>
      <c r="G697" s="1" t="s">
        <v>237</v>
      </c>
      <c r="H697" s="2">
        <v>27455</v>
      </c>
      <c r="I697" s="2">
        <v>44773</v>
      </c>
      <c r="J697" s="1">
        <v>28.48</v>
      </c>
      <c r="K697" s="4">
        <f t="shared" si="26"/>
        <v>461.86870399999998</v>
      </c>
      <c r="L697" s="4">
        <f t="shared" si="27"/>
        <v>1159.861296</v>
      </c>
    </row>
    <row r="698" spans="1:12" x14ac:dyDescent="0.3">
      <c r="A698" s="1">
        <v>1696</v>
      </c>
      <c r="B698" s="2">
        <v>44546</v>
      </c>
      <c r="C698" s="1" t="s">
        <v>14</v>
      </c>
      <c r="D698" s="1" t="s">
        <v>73</v>
      </c>
      <c r="E698" s="1" t="s">
        <v>28</v>
      </c>
      <c r="F698" s="1">
        <v>4970.46</v>
      </c>
      <c r="G698" s="1" t="s">
        <v>271</v>
      </c>
      <c r="H698" s="2">
        <v>22796</v>
      </c>
      <c r="I698" s="2">
        <v>44554</v>
      </c>
      <c r="J698" s="1">
        <v>7.16</v>
      </c>
      <c r="K698" s="4">
        <f t="shared" si="26"/>
        <v>355.88493599999998</v>
      </c>
      <c r="L698" s="4">
        <f t="shared" si="27"/>
        <v>4614.5750639999997</v>
      </c>
    </row>
    <row r="699" spans="1:12" x14ac:dyDescent="0.3">
      <c r="A699" s="1">
        <v>1697</v>
      </c>
      <c r="B699" s="2">
        <v>44208</v>
      </c>
      <c r="C699" s="1" t="s">
        <v>26</v>
      </c>
      <c r="D699" s="1" t="s">
        <v>49</v>
      </c>
      <c r="E699" s="1" t="s">
        <v>12</v>
      </c>
      <c r="F699" s="1">
        <v>3077.28</v>
      </c>
      <c r="G699" s="1" t="s">
        <v>60</v>
      </c>
      <c r="H699" s="2">
        <v>33482</v>
      </c>
      <c r="I699" s="2">
        <v>44211</v>
      </c>
      <c r="J699" s="1">
        <v>8.57</v>
      </c>
      <c r="K699" s="4">
        <f t="shared" si="26"/>
        <v>263.72289599999999</v>
      </c>
      <c r="L699" s="4">
        <f t="shared" si="27"/>
        <v>2813.5571040000004</v>
      </c>
    </row>
    <row r="700" spans="1:12" x14ac:dyDescent="0.3">
      <c r="A700" s="1">
        <v>1698</v>
      </c>
      <c r="B700" s="2">
        <v>45490</v>
      </c>
      <c r="C700" s="1" t="s">
        <v>10</v>
      </c>
      <c r="D700" s="1" t="s">
        <v>73</v>
      </c>
      <c r="E700" s="1" t="s">
        <v>28</v>
      </c>
      <c r="F700" s="1">
        <v>4876.51</v>
      </c>
      <c r="G700" s="1" t="s">
        <v>121</v>
      </c>
      <c r="H700" s="2">
        <v>24580</v>
      </c>
      <c r="I700" s="2">
        <v>45501</v>
      </c>
      <c r="J700" s="1">
        <v>10.16</v>
      </c>
      <c r="K700" s="4">
        <f t="shared" si="26"/>
        <v>495.453416</v>
      </c>
      <c r="L700" s="4">
        <f t="shared" si="27"/>
        <v>4381.0565839999999</v>
      </c>
    </row>
    <row r="701" spans="1:12" x14ac:dyDescent="0.3">
      <c r="A701" s="1">
        <v>1699</v>
      </c>
      <c r="B701" s="2">
        <v>45506</v>
      </c>
      <c r="C701" s="1" t="s">
        <v>21</v>
      </c>
      <c r="D701" s="1" t="s">
        <v>36</v>
      </c>
      <c r="E701" s="1" t="s">
        <v>28</v>
      </c>
      <c r="F701" s="1">
        <v>482.18</v>
      </c>
      <c r="G701" s="1" t="s">
        <v>278</v>
      </c>
      <c r="H701" s="2">
        <v>36036</v>
      </c>
      <c r="I701" s="2">
        <v>45517</v>
      </c>
      <c r="J701" s="1">
        <v>11.55</v>
      </c>
      <c r="K701" s="4">
        <f t="shared" si="26"/>
        <v>55.691790000000005</v>
      </c>
      <c r="L701" s="4">
        <f t="shared" si="27"/>
        <v>426.48820999999998</v>
      </c>
    </row>
    <row r="702" spans="1:12" x14ac:dyDescent="0.3">
      <c r="A702" s="1">
        <v>1700</v>
      </c>
      <c r="B702" s="2">
        <v>44706</v>
      </c>
      <c r="C702" s="1" t="s">
        <v>35</v>
      </c>
      <c r="D702" s="1" t="s">
        <v>69</v>
      </c>
      <c r="E702" s="1" t="s">
        <v>12</v>
      </c>
      <c r="F702" s="1">
        <v>842.12</v>
      </c>
      <c r="G702" s="1" t="s">
        <v>196</v>
      </c>
      <c r="H702" s="2">
        <v>26300</v>
      </c>
      <c r="I702" s="2">
        <v>44714</v>
      </c>
      <c r="J702" s="1">
        <v>1.36</v>
      </c>
      <c r="K702" s="4">
        <f t="shared" si="26"/>
        <v>11.452832000000001</v>
      </c>
      <c r="L702" s="4">
        <f t="shared" si="27"/>
        <v>830.66716799999995</v>
      </c>
    </row>
    <row r="703" spans="1:12" x14ac:dyDescent="0.3">
      <c r="A703" s="1">
        <v>1701</v>
      </c>
      <c r="B703" s="2">
        <v>44103</v>
      </c>
      <c r="C703" s="1" t="s">
        <v>35</v>
      </c>
      <c r="D703" s="1" t="s">
        <v>24</v>
      </c>
      <c r="E703" s="1" t="s">
        <v>19</v>
      </c>
      <c r="F703" s="1">
        <v>970.42</v>
      </c>
      <c r="G703" s="1" t="s">
        <v>249</v>
      </c>
      <c r="H703" s="2">
        <v>28555</v>
      </c>
      <c r="I703" s="2">
        <v>44106</v>
      </c>
      <c r="J703" s="1">
        <v>23.45</v>
      </c>
      <c r="K703" s="4">
        <f t="shared" si="26"/>
        <v>227.56348999999997</v>
      </c>
      <c r="L703" s="4">
        <f t="shared" si="27"/>
        <v>742.85650999999996</v>
      </c>
    </row>
    <row r="704" spans="1:12" x14ac:dyDescent="0.3">
      <c r="A704" s="1">
        <v>1702</v>
      </c>
      <c r="B704" s="2">
        <v>44907</v>
      </c>
      <c r="C704" s="1" t="s">
        <v>14</v>
      </c>
      <c r="D704" s="1" t="s">
        <v>61</v>
      </c>
      <c r="E704" s="1" t="s">
        <v>19</v>
      </c>
      <c r="F704" s="1">
        <v>1928.08</v>
      </c>
      <c r="G704" s="1" t="s">
        <v>13</v>
      </c>
      <c r="H704" s="2">
        <v>24348</v>
      </c>
      <c r="I704" s="2">
        <v>44908</v>
      </c>
      <c r="J704" s="1">
        <v>2.2200000000000002</v>
      </c>
      <c r="K704" s="4">
        <f t="shared" si="26"/>
        <v>42.803376</v>
      </c>
      <c r="L704" s="4">
        <f t="shared" si="27"/>
        <v>1885.2766239999999</v>
      </c>
    </row>
    <row r="705" spans="1:12" x14ac:dyDescent="0.3">
      <c r="A705" s="1">
        <v>1703</v>
      </c>
      <c r="B705" s="2">
        <v>44329</v>
      </c>
      <c r="C705" s="1" t="s">
        <v>14</v>
      </c>
      <c r="D705" s="1" t="s">
        <v>55</v>
      </c>
      <c r="E705" s="1" t="s">
        <v>31</v>
      </c>
      <c r="F705" s="1">
        <v>710.4</v>
      </c>
      <c r="G705" s="1" t="s">
        <v>137</v>
      </c>
      <c r="H705" s="2">
        <v>36905</v>
      </c>
      <c r="I705" s="2">
        <v>44333</v>
      </c>
      <c r="J705" s="1">
        <v>6.09</v>
      </c>
      <c r="K705" s="4">
        <f t="shared" si="26"/>
        <v>43.263359999999999</v>
      </c>
      <c r="L705" s="4">
        <f t="shared" si="27"/>
        <v>667.13663999999994</v>
      </c>
    </row>
    <row r="706" spans="1:12" x14ac:dyDescent="0.3">
      <c r="A706" s="1">
        <v>1704</v>
      </c>
      <c r="B706" s="2">
        <v>44120</v>
      </c>
      <c r="C706" s="1" t="s">
        <v>21</v>
      </c>
      <c r="D706" s="1" t="s">
        <v>36</v>
      </c>
      <c r="E706" s="1" t="s">
        <v>28</v>
      </c>
      <c r="F706" s="1">
        <v>1451.27</v>
      </c>
      <c r="G706" s="1" t="s">
        <v>56</v>
      </c>
      <c r="H706" s="2">
        <v>25712</v>
      </c>
      <c r="I706" s="2">
        <v>44128</v>
      </c>
      <c r="J706" s="1">
        <v>24.93</v>
      </c>
      <c r="K706" s="4">
        <f t="shared" si="26"/>
        <v>361.80161099999998</v>
      </c>
      <c r="L706" s="4">
        <f t="shared" si="27"/>
        <v>1089.4683890000001</v>
      </c>
    </row>
    <row r="707" spans="1:12" x14ac:dyDescent="0.3">
      <c r="A707" s="1">
        <v>1705</v>
      </c>
      <c r="B707" s="2">
        <v>45019</v>
      </c>
      <c r="C707" s="1" t="s">
        <v>21</v>
      </c>
      <c r="D707" s="1" t="s">
        <v>55</v>
      </c>
      <c r="E707" s="1" t="s">
        <v>31</v>
      </c>
      <c r="F707" s="1">
        <v>4397.05</v>
      </c>
      <c r="G707" s="1" t="s">
        <v>216</v>
      </c>
      <c r="H707" s="2">
        <v>31419</v>
      </c>
      <c r="I707" s="2">
        <v>45022</v>
      </c>
      <c r="J707" s="1">
        <v>18.420000000000002</v>
      </c>
      <c r="K707" s="4">
        <f t="shared" ref="K707:K770" si="28">F707*J707%</f>
        <v>809.9366100000002</v>
      </c>
      <c r="L707" s="4">
        <f t="shared" ref="L707:L770" si="29">F707-K707</f>
        <v>3587.11339</v>
      </c>
    </row>
    <row r="708" spans="1:12" x14ac:dyDescent="0.3">
      <c r="A708" s="1">
        <v>1706</v>
      </c>
      <c r="B708" s="2">
        <v>45165</v>
      </c>
      <c r="C708" s="1" t="s">
        <v>35</v>
      </c>
      <c r="D708" s="1" t="s">
        <v>38</v>
      </c>
      <c r="E708" s="1" t="s">
        <v>28</v>
      </c>
      <c r="F708" s="1">
        <v>3244.23</v>
      </c>
      <c r="G708" s="1" t="s">
        <v>282</v>
      </c>
      <c r="H708" s="2">
        <v>38073</v>
      </c>
      <c r="I708" s="2">
        <v>45171</v>
      </c>
      <c r="J708" s="1">
        <v>48.8</v>
      </c>
      <c r="K708" s="4">
        <f t="shared" si="28"/>
        <v>1583.18424</v>
      </c>
      <c r="L708" s="4">
        <f t="shared" si="29"/>
        <v>1661.04576</v>
      </c>
    </row>
    <row r="709" spans="1:12" x14ac:dyDescent="0.3">
      <c r="A709" s="1">
        <v>1707</v>
      </c>
      <c r="B709" s="2">
        <v>45213</v>
      </c>
      <c r="C709" s="1" t="s">
        <v>35</v>
      </c>
      <c r="D709" s="1" t="s">
        <v>73</v>
      </c>
      <c r="E709" s="1" t="s">
        <v>28</v>
      </c>
      <c r="F709" s="1">
        <v>963.24</v>
      </c>
      <c r="G709" s="1" t="s">
        <v>78</v>
      </c>
      <c r="H709" s="2">
        <v>25099</v>
      </c>
      <c r="I709" s="2">
        <v>45218</v>
      </c>
      <c r="J709" s="1">
        <v>46.92</v>
      </c>
      <c r="K709" s="4">
        <f t="shared" si="28"/>
        <v>451.95220799999998</v>
      </c>
      <c r="L709" s="4">
        <f t="shared" si="29"/>
        <v>511.28779200000002</v>
      </c>
    </row>
    <row r="710" spans="1:12" x14ac:dyDescent="0.3">
      <c r="A710" s="1">
        <v>1708</v>
      </c>
      <c r="B710" s="2">
        <v>45285</v>
      </c>
      <c r="C710" s="1" t="s">
        <v>26</v>
      </c>
      <c r="D710" s="1" t="s">
        <v>58</v>
      </c>
      <c r="E710" s="1" t="s">
        <v>31</v>
      </c>
      <c r="F710" s="1">
        <v>4234.68</v>
      </c>
      <c r="G710" s="1" t="s">
        <v>87</v>
      </c>
      <c r="H710" s="2">
        <v>36012</v>
      </c>
      <c r="I710" s="2">
        <v>45299</v>
      </c>
      <c r="J710" s="1">
        <v>44.06</v>
      </c>
      <c r="K710" s="4">
        <f t="shared" si="28"/>
        <v>1865.8000080000004</v>
      </c>
      <c r="L710" s="4">
        <f t="shared" si="29"/>
        <v>2368.8799920000001</v>
      </c>
    </row>
    <row r="711" spans="1:12" x14ac:dyDescent="0.3">
      <c r="A711" s="1">
        <v>1709</v>
      </c>
      <c r="B711" s="2">
        <v>45795</v>
      </c>
      <c r="C711" s="1" t="s">
        <v>14</v>
      </c>
      <c r="D711" s="1" t="s">
        <v>71</v>
      </c>
      <c r="E711" s="1" t="s">
        <v>31</v>
      </c>
      <c r="F711" s="1">
        <v>549.34</v>
      </c>
      <c r="G711" s="1" t="s">
        <v>81</v>
      </c>
      <c r="H711" s="2">
        <v>38350</v>
      </c>
      <c r="I711" s="2">
        <v>45807</v>
      </c>
      <c r="J711" s="1">
        <v>10.1</v>
      </c>
      <c r="K711" s="4">
        <f t="shared" si="28"/>
        <v>55.483339999999998</v>
      </c>
      <c r="L711" s="4">
        <f t="shared" si="29"/>
        <v>493.85666000000003</v>
      </c>
    </row>
    <row r="712" spans="1:12" x14ac:dyDescent="0.3">
      <c r="A712" s="1">
        <v>1710</v>
      </c>
      <c r="B712" s="2">
        <v>44386</v>
      </c>
      <c r="C712" s="1" t="s">
        <v>14</v>
      </c>
      <c r="D712" s="1" t="s">
        <v>36</v>
      </c>
      <c r="E712" s="1" t="s">
        <v>28</v>
      </c>
      <c r="F712" s="1">
        <v>4680.0200000000004</v>
      </c>
      <c r="G712" s="1" t="s">
        <v>230</v>
      </c>
      <c r="H712" s="2">
        <v>35642</v>
      </c>
      <c r="I712" s="2">
        <v>44400</v>
      </c>
      <c r="J712" s="1">
        <v>13.82</v>
      </c>
      <c r="K712" s="4">
        <f t="shared" si="28"/>
        <v>646.77876400000002</v>
      </c>
      <c r="L712" s="4">
        <f t="shared" si="29"/>
        <v>4033.2412360000003</v>
      </c>
    </row>
    <row r="713" spans="1:12" x14ac:dyDescent="0.3">
      <c r="A713" s="1">
        <v>1711</v>
      </c>
      <c r="B713" s="2">
        <v>44813</v>
      </c>
      <c r="C713" s="1" t="s">
        <v>14</v>
      </c>
      <c r="D713" s="1" t="s">
        <v>44</v>
      </c>
      <c r="E713" s="1" t="s">
        <v>16</v>
      </c>
      <c r="F713" s="1">
        <v>2860.6</v>
      </c>
      <c r="G713" s="1" t="s">
        <v>174</v>
      </c>
      <c r="H713" s="2">
        <v>38118</v>
      </c>
      <c r="I713" s="2">
        <v>44826</v>
      </c>
      <c r="J713" s="1">
        <v>25.1</v>
      </c>
      <c r="K713" s="4">
        <f t="shared" si="28"/>
        <v>718.01059999999995</v>
      </c>
      <c r="L713" s="4">
        <f t="shared" si="29"/>
        <v>2142.5893999999998</v>
      </c>
    </row>
    <row r="714" spans="1:12" x14ac:dyDescent="0.3">
      <c r="A714" s="1">
        <v>1712</v>
      </c>
      <c r="B714" s="2">
        <v>44722</v>
      </c>
      <c r="C714" s="1" t="s">
        <v>14</v>
      </c>
      <c r="D714" s="1" t="s">
        <v>69</v>
      </c>
      <c r="E714" s="1" t="s">
        <v>31</v>
      </c>
      <c r="F714" s="1">
        <v>202.8</v>
      </c>
      <c r="G714" s="1" t="s">
        <v>311</v>
      </c>
      <c r="H714" s="2">
        <v>29242</v>
      </c>
      <c r="I714" s="2">
        <v>44728</v>
      </c>
      <c r="J714" s="1">
        <v>48.41</v>
      </c>
      <c r="K714" s="4">
        <f t="shared" si="28"/>
        <v>98.175480000000007</v>
      </c>
      <c r="L714" s="4">
        <f t="shared" si="29"/>
        <v>104.62452</v>
      </c>
    </row>
    <row r="715" spans="1:12" x14ac:dyDescent="0.3">
      <c r="A715" s="1">
        <v>1713</v>
      </c>
      <c r="B715" s="2">
        <v>44443</v>
      </c>
      <c r="C715" s="1" t="s">
        <v>21</v>
      </c>
      <c r="D715" s="1" t="s">
        <v>102</v>
      </c>
      <c r="E715" s="1" t="s">
        <v>12</v>
      </c>
      <c r="F715" s="1">
        <v>540.61</v>
      </c>
      <c r="G715" s="1" t="s">
        <v>43</v>
      </c>
      <c r="H715" s="2">
        <v>33702</v>
      </c>
      <c r="I715" s="2">
        <v>44450</v>
      </c>
      <c r="J715" s="1">
        <v>7.72</v>
      </c>
      <c r="K715" s="4">
        <f t="shared" si="28"/>
        <v>41.735091999999995</v>
      </c>
      <c r="L715" s="4">
        <f t="shared" si="29"/>
        <v>498.874908</v>
      </c>
    </row>
    <row r="716" spans="1:12" x14ac:dyDescent="0.3">
      <c r="A716" s="1">
        <v>1714</v>
      </c>
      <c r="B716" s="2">
        <v>44594</v>
      </c>
      <c r="C716" s="1" t="s">
        <v>35</v>
      </c>
      <c r="D716" s="1" t="s">
        <v>65</v>
      </c>
      <c r="E716" s="1" t="s">
        <v>19</v>
      </c>
      <c r="F716" s="1">
        <v>3533.67</v>
      </c>
      <c r="G716" s="1" t="s">
        <v>289</v>
      </c>
      <c r="H716" s="2">
        <v>21923</v>
      </c>
      <c r="I716" s="2">
        <v>44607</v>
      </c>
      <c r="J716" s="1">
        <v>1.1299999999999999</v>
      </c>
      <c r="K716" s="4">
        <f t="shared" si="28"/>
        <v>39.930470999999997</v>
      </c>
      <c r="L716" s="4">
        <f t="shared" si="29"/>
        <v>3493.7395289999999</v>
      </c>
    </row>
    <row r="717" spans="1:12" x14ac:dyDescent="0.3">
      <c r="A717" s="1">
        <v>1715</v>
      </c>
      <c r="B717" s="2">
        <v>45049</v>
      </c>
      <c r="C717" s="1" t="s">
        <v>14</v>
      </c>
      <c r="D717" s="1" t="s">
        <v>11</v>
      </c>
      <c r="E717" s="1" t="s">
        <v>12</v>
      </c>
      <c r="F717" s="1">
        <v>2679.23</v>
      </c>
      <c r="G717" s="1" t="s">
        <v>113</v>
      </c>
      <c r="H717" s="2">
        <v>25579</v>
      </c>
      <c r="I717" s="2">
        <v>45059</v>
      </c>
      <c r="J717" s="1">
        <v>19.5</v>
      </c>
      <c r="K717" s="4">
        <f t="shared" si="28"/>
        <v>522.44984999999997</v>
      </c>
      <c r="L717" s="4">
        <f t="shared" si="29"/>
        <v>2156.78015</v>
      </c>
    </row>
    <row r="718" spans="1:12" x14ac:dyDescent="0.3">
      <c r="A718" s="1">
        <v>1716</v>
      </c>
      <c r="B718" s="2">
        <v>45214</v>
      </c>
      <c r="C718" s="1" t="s">
        <v>21</v>
      </c>
      <c r="D718" s="1" t="s">
        <v>69</v>
      </c>
      <c r="E718" s="1" t="s">
        <v>31</v>
      </c>
      <c r="F718" s="1">
        <v>4121.55</v>
      </c>
      <c r="G718" s="1" t="s">
        <v>248</v>
      </c>
      <c r="H718" s="2">
        <v>32685</v>
      </c>
      <c r="I718" s="2">
        <v>45223</v>
      </c>
      <c r="J718" s="1">
        <v>35.71</v>
      </c>
      <c r="K718" s="4">
        <f t="shared" si="28"/>
        <v>1471.8055050000003</v>
      </c>
      <c r="L718" s="4">
        <f t="shared" si="29"/>
        <v>2649.7444949999999</v>
      </c>
    </row>
    <row r="719" spans="1:12" x14ac:dyDescent="0.3">
      <c r="A719" s="1">
        <v>1717</v>
      </c>
      <c r="B719" s="2">
        <v>44535</v>
      </c>
      <c r="C719" s="1" t="s">
        <v>21</v>
      </c>
      <c r="D719" s="1" t="s">
        <v>88</v>
      </c>
      <c r="E719" s="1" t="s">
        <v>16</v>
      </c>
      <c r="F719" s="1">
        <v>3582.34</v>
      </c>
      <c r="G719" s="1" t="s">
        <v>113</v>
      </c>
      <c r="H719" s="2">
        <v>25579</v>
      </c>
      <c r="I719" s="2">
        <v>44540</v>
      </c>
      <c r="J719" s="1">
        <v>14.14</v>
      </c>
      <c r="K719" s="4">
        <f t="shared" si="28"/>
        <v>506.54287600000004</v>
      </c>
      <c r="L719" s="4">
        <f t="shared" si="29"/>
        <v>3075.7971240000002</v>
      </c>
    </row>
    <row r="720" spans="1:12" x14ac:dyDescent="0.3">
      <c r="A720" s="1">
        <v>1718</v>
      </c>
      <c r="B720" s="2">
        <v>45287</v>
      </c>
      <c r="C720" s="1" t="s">
        <v>21</v>
      </c>
      <c r="D720" s="1" t="s">
        <v>22</v>
      </c>
      <c r="E720" s="1" t="s">
        <v>19</v>
      </c>
      <c r="F720" s="1">
        <v>3131.27</v>
      </c>
      <c r="G720" s="1" t="s">
        <v>145</v>
      </c>
      <c r="H720" s="2">
        <v>23470</v>
      </c>
      <c r="I720" s="2">
        <v>45298</v>
      </c>
      <c r="J720" s="1">
        <v>45.69</v>
      </c>
      <c r="K720" s="4">
        <f t="shared" si="28"/>
        <v>1430.6772629999998</v>
      </c>
      <c r="L720" s="4">
        <f t="shared" si="29"/>
        <v>1700.5927370000002</v>
      </c>
    </row>
    <row r="721" spans="1:12" x14ac:dyDescent="0.3">
      <c r="A721" s="1">
        <v>1719</v>
      </c>
      <c r="B721" s="2">
        <v>45133</v>
      </c>
      <c r="C721" s="1" t="s">
        <v>14</v>
      </c>
      <c r="D721" s="1" t="s">
        <v>40</v>
      </c>
      <c r="E721" s="1" t="s">
        <v>16</v>
      </c>
      <c r="F721" s="1">
        <v>717.7</v>
      </c>
      <c r="G721" s="1" t="s">
        <v>295</v>
      </c>
      <c r="H721" s="2">
        <v>23369</v>
      </c>
      <c r="I721" s="2">
        <v>45135</v>
      </c>
      <c r="J721" s="1">
        <v>13.77</v>
      </c>
      <c r="K721" s="4">
        <f t="shared" si="28"/>
        <v>98.827290000000005</v>
      </c>
      <c r="L721" s="4">
        <f t="shared" si="29"/>
        <v>618.8727100000001</v>
      </c>
    </row>
    <row r="722" spans="1:12" x14ac:dyDescent="0.3">
      <c r="A722" s="1">
        <v>1720</v>
      </c>
      <c r="B722" s="2">
        <v>44377</v>
      </c>
      <c r="C722" s="1" t="s">
        <v>35</v>
      </c>
      <c r="D722" s="1" t="s">
        <v>11</v>
      </c>
      <c r="E722" s="1" t="s">
        <v>12</v>
      </c>
      <c r="F722" s="1">
        <v>3653.64</v>
      </c>
      <c r="G722" s="1" t="s">
        <v>312</v>
      </c>
      <c r="H722" s="2">
        <v>34765</v>
      </c>
      <c r="I722" s="2">
        <v>44380</v>
      </c>
      <c r="J722" s="1">
        <v>14.62</v>
      </c>
      <c r="K722" s="4">
        <f t="shared" si="28"/>
        <v>534.16216799999995</v>
      </c>
      <c r="L722" s="4">
        <f t="shared" si="29"/>
        <v>3119.477832</v>
      </c>
    </row>
    <row r="723" spans="1:12" x14ac:dyDescent="0.3">
      <c r="A723" s="1">
        <v>1721</v>
      </c>
      <c r="B723" s="2">
        <v>44779</v>
      </c>
      <c r="C723" s="1" t="s">
        <v>21</v>
      </c>
      <c r="D723" s="1" t="s">
        <v>55</v>
      </c>
      <c r="E723" s="1" t="s">
        <v>31</v>
      </c>
      <c r="F723" s="1">
        <v>4120.01</v>
      </c>
      <c r="G723" s="1" t="s">
        <v>283</v>
      </c>
      <c r="H723" s="2">
        <v>30117</v>
      </c>
      <c r="I723" s="2">
        <v>44782</v>
      </c>
      <c r="J723" s="1">
        <v>1.46</v>
      </c>
      <c r="K723" s="4">
        <f t="shared" si="28"/>
        <v>60.152146000000002</v>
      </c>
      <c r="L723" s="4">
        <f t="shared" si="29"/>
        <v>4059.8578540000003</v>
      </c>
    </row>
    <row r="724" spans="1:12" x14ac:dyDescent="0.3">
      <c r="A724" s="1">
        <v>1722</v>
      </c>
      <c r="B724" s="2">
        <v>44813</v>
      </c>
      <c r="C724" s="1" t="s">
        <v>14</v>
      </c>
      <c r="D724" s="1" t="s">
        <v>22</v>
      </c>
      <c r="E724" s="1" t="s">
        <v>19</v>
      </c>
      <c r="F724" s="1">
        <v>1738.91</v>
      </c>
      <c r="G724" s="1" t="s">
        <v>229</v>
      </c>
      <c r="H724" s="2">
        <v>37783</v>
      </c>
      <c r="I724" s="2">
        <v>44820</v>
      </c>
      <c r="J724" s="1">
        <v>3.04</v>
      </c>
      <c r="K724" s="4">
        <f t="shared" si="28"/>
        <v>52.862864000000002</v>
      </c>
      <c r="L724" s="4">
        <f t="shared" si="29"/>
        <v>1686.0471360000001</v>
      </c>
    </row>
    <row r="725" spans="1:12" x14ac:dyDescent="0.3">
      <c r="A725" s="1">
        <v>1723</v>
      </c>
      <c r="B725" s="2">
        <v>45657</v>
      </c>
      <c r="C725" s="1" t="s">
        <v>21</v>
      </c>
      <c r="D725" s="1" t="s">
        <v>36</v>
      </c>
      <c r="E725" s="1" t="s">
        <v>28</v>
      </c>
      <c r="F725" s="1">
        <v>3158.37</v>
      </c>
      <c r="G725" s="1" t="s">
        <v>37</v>
      </c>
      <c r="H725" s="2">
        <v>27534</v>
      </c>
      <c r="I725" s="2">
        <v>45666</v>
      </c>
      <c r="J725" s="1">
        <v>49.54</v>
      </c>
      <c r="K725" s="4">
        <f t="shared" si="28"/>
        <v>1564.6564980000001</v>
      </c>
      <c r="L725" s="4">
        <f t="shared" si="29"/>
        <v>1593.7135019999998</v>
      </c>
    </row>
    <row r="726" spans="1:12" x14ac:dyDescent="0.3">
      <c r="A726" s="1">
        <v>1724</v>
      </c>
      <c r="B726" s="2">
        <v>44535</v>
      </c>
      <c r="C726" s="1" t="s">
        <v>10</v>
      </c>
      <c r="D726" s="1" t="s">
        <v>69</v>
      </c>
      <c r="E726" s="1" t="s">
        <v>31</v>
      </c>
      <c r="F726" s="1">
        <v>3256.95</v>
      </c>
      <c r="G726" s="1" t="s">
        <v>83</v>
      </c>
      <c r="H726" s="2">
        <v>24673</v>
      </c>
      <c r="I726" s="2">
        <v>44546</v>
      </c>
      <c r="J726" s="1">
        <v>10.63</v>
      </c>
      <c r="K726" s="4">
        <f t="shared" si="28"/>
        <v>346.21378499999997</v>
      </c>
      <c r="L726" s="4">
        <f t="shared" si="29"/>
        <v>2910.7362149999999</v>
      </c>
    </row>
    <row r="727" spans="1:12" x14ac:dyDescent="0.3">
      <c r="A727" s="1">
        <v>1725</v>
      </c>
      <c r="B727" s="2">
        <v>44333</v>
      </c>
      <c r="C727" s="1" t="s">
        <v>14</v>
      </c>
      <c r="D727" s="1" t="s">
        <v>47</v>
      </c>
      <c r="E727" s="1" t="s">
        <v>12</v>
      </c>
      <c r="F727" s="1">
        <v>1874.15</v>
      </c>
      <c r="G727" s="1" t="s">
        <v>157</v>
      </c>
      <c r="H727" s="2">
        <v>37189</v>
      </c>
      <c r="I727" s="2">
        <v>44339</v>
      </c>
      <c r="J727" s="1">
        <v>4.95</v>
      </c>
      <c r="K727" s="4">
        <f t="shared" si="28"/>
        <v>92.770425000000003</v>
      </c>
      <c r="L727" s="4">
        <f t="shared" si="29"/>
        <v>1781.3795750000002</v>
      </c>
    </row>
    <row r="728" spans="1:12" x14ac:dyDescent="0.3">
      <c r="A728" s="1">
        <v>1726</v>
      </c>
      <c r="B728" s="2">
        <v>45492</v>
      </c>
      <c r="C728" s="1" t="s">
        <v>10</v>
      </c>
      <c r="D728" s="1" t="s">
        <v>58</v>
      </c>
      <c r="E728" s="1" t="s">
        <v>31</v>
      </c>
      <c r="F728" s="1">
        <v>154.96</v>
      </c>
      <c r="G728" s="1" t="s">
        <v>13</v>
      </c>
      <c r="H728" s="2">
        <v>24348</v>
      </c>
      <c r="I728" s="2">
        <v>45495</v>
      </c>
      <c r="J728" s="1">
        <v>21.2</v>
      </c>
      <c r="K728" s="4">
        <f t="shared" si="28"/>
        <v>32.851520000000001</v>
      </c>
      <c r="L728" s="4">
        <f t="shared" si="29"/>
        <v>122.10848000000001</v>
      </c>
    </row>
    <row r="729" spans="1:12" x14ac:dyDescent="0.3">
      <c r="A729" s="1">
        <v>1727</v>
      </c>
      <c r="B729" s="2">
        <v>45086</v>
      </c>
      <c r="C729" s="1" t="s">
        <v>14</v>
      </c>
      <c r="D729" s="1" t="s">
        <v>18</v>
      </c>
      <c r="E729" s="1" t="s">
        <v>19</v>
      </c>
      <c r="F729" s="1">
        <v>3947.62</v>
      </c>
      <c r="G729" s="1" t="s">
        <v>150</v>
      </c>
      <c r="H729" s="2">
        <v>31231</v>
      </c>
      <c r="I729" s="2">
        <v>45090</v>
      </c>
      <c r="J729" s="1">
        <v>19.93</v>
      </c>
      <c r="K729" s="4">
        <f t="shared" si="28"/>
        <v>786.76066600000001</v>
      </c>
      <c r="L729" s="4">
        <f t="shared" si="29"/>
        <v>3160.8593339999998</v>
      </c>
    </row>
    <row r="730" spans="1:12" x14ac:dyDescent="0.3">
      <c r="A730" s="1">
        <v>1728</v>
      </c>
      <c r="B730" s="2">
        <v>44521</v>
      </c>
      <c r="C730" s="1" t="s">
        <v>35</v>
      </c>
      <c r="D730" s="1" t="s">
        <v>18</v>
      </c>
      <c r="E730" s="1" t="s">
        <v>19</v>
      </c>
      <c r="F730" s="1">
        <v>1193.6600000000001</v>
      </c>
      <c r="G730" s="1" t="s">
        <v>60</v>
      </c>
      <c r="H730" s="2">
        <v>33482</v>
      </c>
      <c r="I730" s="2">
        <v>44530</v>
      </c>
      <c r="J730" s="1">
        <v>37.83</v>
      </c>
      <c r="K730" s="4">
        <f t="shared" si="28"/>
        <v>451.561578</v>
      </c>
      <c r="L730" s="4">
        <f t="shared" si="29"/>
        <v>742.09842200000003</v>
      </c>
    </row>
    <row r="731" spans="1:12" x14ac:dyDescent="0.3">
      <c r="A731" s="1">
        <v>1729</v>
      </c>
      <c r="B731" s="2">
        <v>45680</v>
      </c>
      <c r="C731" s="1" t="s">
        <v>21</v>
      </c>
      <c r="D731" s="1" t="s">
        <v>73</v>
      </c>
      <c r="E731" s="1" t="s">
        <v>28</v>
      </c>
      <c r="F731" s="1">
        <v>1844.63</v>
      </c>
      <c r="G731" s="1" t="s">
        <v>201</v>
      </c>
      <c r="H731" s="2">
        <v>23469</v>
      </c>
      <c r="I731" s="2">
        <v>45688</v>
      </c>
      <c r="J731" s="1">
        <v>42.25</v>
      </c>
      <c r="K731" s="4">
        <f t="shared" si="28"/>
        <v>779.35617500000001</v>
      </c>
      <c r="L731" s="4">
        <f t="shared" si="29"/>
        <v>1065.2738250000002</v>
      </c>
    </row>
    <row r="732" spans="1:12" x14ac:dyDescent="0.3">
      <c r="A732" s="1">
        <v>1730</v>
      </c>
      <c r="B732" s="2">
        <v>45873</v>
      </c>
      <c r="C732" s="1" t="s">
        <v>35</v>
      </c>
      <c r="D732" s="1" t="s">
        <v>36</v>
      </c>
      <c r="E732" s="1" t="s">
        <v>28</v>
      </c>
      <c r="F732" s="1">
        <v>4539.5600000000004</v>
      </c>
      <c r="G732" s="1" t="s">
        <v>42</v>
      </c>
      <c r="H732" s="2">
        <v>26027</v>
      </c>
      <c r="I732" s="2">
        <v>45879</v>
      </c>
      <c r="J732" s="1">
        <v>44.93</v>
      </c>
      <c r="K732" s="4">
        <f t="shared" si="28"/>
        <v>2039.6243080000002</v>
      </c>
      <c r="L732" s="4">
        <f t="shared" si="29"/>
        <v>2499.935692</v>
      </c>
    </row>
    <row r="733" spans="1:12" x14ac:dyDescent="0.3">
      <c r="A733" s="1">
        <v>1731</v>
      </c>
      <c r="B733" s="2">
        <v>45007</v>
      </c>
      <c r="C733" s="1" t="s">
        <v>14</v>
      </c>
      <c r="D733" s="1" t="s">
        <v>55</v>
      </c>
      <c r="E733" s="1" t="s">
        <v>31</v>
      </c>
      <c r="F733" s="1">
        <v>2167.87</v>
      </c>
      <c r="G733" s="1" t="s">
        <v>168</v>
      </c>
      <c r="H733" s="2">
        <v>37674</v>
      </c>
      <c r="I733" s="2">
        <v>45013</v>
      </c>
      <c r="J733" s="1">
        <v>43.08</v>
      </c>
      <c r="K733" s="4">
        <f t="shared" si="28"/>
        <v>933.91839599999992</v>
      </c>
      <c r="L733" s="4">
        <f t="shared" si="29"/>
        <v>1233.9516039999999</v>
      </c>
    </row>
    <row r="734" spans="1:12" x14ac:dyDescent="0.3">
      <c r="A734" s="1">
        <v>1732</v>
      </c>
      <c r="B734" s="2">
        <v>45568</v>
      </c>
      <c r="C734" s="1" t="s">
        <v>26</v>
      </c>
      <c r="D734" s="1" t="s">
        <v>44</v>
      </c>
      <c r="E734" s="1" t="s">
        <v>16</v>
      </c>
      <c r="F734" s="1">
        <v>4749.59</v>
      </c>
      <c r="G734" s="1" t="s">
        <v>236</v>
      </c>
      <c r="H734" s="2">
        <v>36099</v>
      </c>
      <c r="I734" s="2">
        <v>45579</v>
      </c>
      <c r="J734" s="1">
        <v>25.38</v>
      </c>
      <c r="K734" s="4">
        <f t="shared" si="28"/>
        <v>1205.4459419999998</v>
      </c>
      <c r="L734" s="4">
        <f t="shared" si="29"/>
        <v>3544.1440580000003</v>
      </c>
    </row>
    <row r="735" spans="1:12" x14ac:dyDescent="0.3">
      <c r="A735" s="1">
        <v>1733</v>
      </c>
      <c r="B735" s="2">
        <v>44153</v>
      </c>
      <c r="C735" s="1" t="s">
        <v>26</v>
      </c>
      <c r="D735" s="1" t="s">
        <v>44</v>
      </c>
      <c r="E735" s="1" t="s">
        <v>16</v>
      </c>
      <c r="F735" s="1">
        <v>2900.73</v>
      </c>
      <c r="G735" s="1" t="s">
        <v>313</v>
      </c>
      <c r="H735" s="2">
        <v>23039</v>
      </c>
      <c r="I735" s="2">
        <v>44165</v>
      </c>
      <c r="J735" s="1">
        <v>29.58</v>
      </c>
      <c r="K735" s="4">
        <f t="shared" si="28"/>
        <v>858.035934</v>
      </c>
      <c r="L735" s="4">
        <f t="shared" si="29"/>
        <v>2042.694066</v>
      </c>
    </row>
    <row r="736" spans="1:12" x14ac:dyDescent="0.3">
      <c r="A736" s="1">
        <v>1734</v>
      </c>
      <c r="B736" s="2">
        <v>45350</v>
      </c>
      <c r="C736" s="1" t="s">
        <v>14</v>
      </c>
      <c r="D736" s="1" t="s">
        <v>58</v>
      </c>
      <c r="E736" s="1" t="s">
        <v>31</v>
      </c>
      <c r="F736" s="1">
        <v>4400.9399999999996</v>
      </c>
      <c r="G736" s="1" t="s">
        <v>275</v>
      </c>
      <c r="H736" s="2">
        <v>38510</v>
      </c>
      <c r="I736" s="2">
        <v>45359</v>
      </c>
      <c r="J736" s="1">
        <v>45.6</v>
      </c>
      <c r="K736" s="4">
        <f t="shared" si="28"/>
        <v>2006.82864</v>
      </c>
      <c r="L736" s="4">
        <f t="shared" si="29"/>
        <v>2394.1113599999999</v>
      </c>
    </row>
    <row r="737" spans="1:12" x14ac:dyDescent="0.3">
      <c r="A737" s="1">
        <v>1735</v>
      </c>
      <c r="B737" s="2">
        <v>44139</v>
      </c>
      <c r="C737" s="1" t="s">
        <v>10</v>
      </c>
      <c r="D737" s="1" t="s">
        <v>15</v>
      </c>
      <c r="E737" s="1" t="s">
        <v>16</v>
      </c>
      <c r="F737" s="1">
        <v>4781.58</v>
      </c>
      <c r="G737" s="1" t="s">
        <v>138</v>
      </c>
      <c r="H737" s="2">
        <v>25948</v>
      </c>
      <c r="I737" s="2">
        <v>44145</v>
      </c>
      <c r="J737" s="1">
        <v>23.78</v>
      </c>
      <c r="K737" s="4">
        <f t="shared" si="28"/>
        <v>1137.059724</v>
      </c>
      <c r="L737" s="4">
        <f t="shared" si="29"/>
        <v>3644.5202760000002</v>
      </c>
    </row>
    <row r="738" spans="1:12" x14ac:dyDescent="0.3">
      <c r="A738" s="1">
        <v>1736</v>
      </c>
      <c r="B738" s="2">
        <v>45336</v>
      </c>
      <c r="C738" s="1" t="s">
        <v>14</v>
      </c>
      <c r="D738" s="1" t="s">
        <v>22</v>
      </c>
      <c r="E738" s="1" t="s">
        <v>19</v>
      </c>
      <c r="F738" s="1">
        <v>4708.16</v>
      </c>
      <c r="G738" s="1" t="s">
        <v>249</v>
      </c>
      <c r="H738" s="2">
        <v>28555</v>
      </c>
      <c r="I738" s="2">
        <v>45347</v>
      </c>
      <c r="J738" s="1">
        <v>20.18</v>
      </c>
      <c r="K738" s="4">
        <f t="shared" si="28"/>
        <v>950.10668799999996</v>
      </c>
      <c r="L738" s="4">
        <f t="shared" si="29"/>
        <v>3758.053312</v>
      </c>
    </row>
    <row r="739" spans="1:12" x14ac:dyDescent="0.3">
      <c r="A739" s="1">
        <v>1737</v>
      </c>
      <c r="B739" s="2">
        <v>44907</v>
      </c>
      <c r="C739" s="1" t="s">
        <v>14</v>
      </c>
      <c r="D739" s="1" t="s">
        <v>44</v>
      </c>
      <c r="E739" s="1" t="s">
        <v>16</v>
      </c>
      <c r="F739" s="1">
        <v>3127.56</v>
      </c>
      <c r="G739" s="1" t="s">
        <v>193</v>
      </c>
      <c r="H739" s="2">
        <v>26082</v>
      </c>
      <c r="I739" s="2">
        <v>44920</v>
      </c>
      <c r="J739" s="1">
        <v>11.71</v>
      </c>
      <c r="K739" s="4">
        <f t="shared" si="28"/>
        <v>366.23727600000001</v>
      </c>
      <c r="L739" s="4">
        <f t="shared" si="29"/>
        <v>2761.3227240000001</v>
      </c>
    </row>
    <row r="740" spans="1:12" x14ac:dyDescent="0.3">
      <c r="A740" s="1">
        <v>1738</v>
      </c>
      <c r="B740" s="2">
        <v>45705</v>
      </c>
      <c r="C740" s="1" t="s">
        <v>14</v>
      </c>
      <c r="D740" s="1" t="s">
        <v>24</v>
      </c>
      <c r="E740" s="1" t="s">
        <v>19</v>
      </c>
      <c r="F740" s="1">
        <v>1103.3499999999999</v>
      </c>
      <c r="G740" s="1" t="s">
        <v>105</v>
      </c>
      <c r="H740" s="2">
        <v>35889</v>
      </c>
      <c r="I740" s="2">
        <v>45716</v>
      </c>
      <c r="J740" s="1">
        <v>37.68</v>
      </c>
      <c r="K740" s="4">
        <f t="shared" si="28"/>
        <v>415.74227999999999</v>
      </c>
      <c r="L740" s="4">
        <f t="shared" si="29"/>
        <v>687.60771999999997</v>
      </c>
    </row>
    <row r="741" spans="1:12" x14ac:dyDescent="0.3">
      <c r="A741" s="1">
        <v>1739</v>
      </c>
      <c r="B741" s="2">
        <v>45610</v>
      </c>
      <c r="C741" s="1" t="s">
        <v>35</v>
      </c>
      <c r="D741" s="1" t="s">
        <v>71</v>
      </c>
      <c r="E741" s="1" t="s">
        <v>31</v>
      </c>
      <c r="F741" s="1">
        <v>4516.29</v>
      </c>
      <c r="G741" s="1" t="s">
        <v>54</v>
      </c>
      <c r="H741" s="2">
        <v>31082</v>
      </c>
      <c r="I741" s="2">
        <v>45613</v>
      </c>
      <c r="J741" s="1">
        <v>25.53</v>
      </c>
      <c r="K741" s="4">
        <f t="shared" si="28"/>
        <v>1153.0088370000001</v>
      </c>
      <c r="L741" s="4">
        <f t="shared" si="29"/>
        <v>3363.2811629999997</v>
      </c>
    </row>
    <row r="742" spans="1:12" x14ac:dyDescent="0.3">
      <c r="A742" s="1">
        <v>1740</v>
      </c>
      <c r="B742" s="2">
        <v>45856</v>
      </c>
      <c r="C742" s="1" t="s">
        <v>10</v>
      </c>
      <c r="D742" s="1" t="s">
        <v>18</v>
      </c>
      <c r="E742" s="1" t="s">
        <v>19</v>
      </c>
      <c r="F742" s="1">
        <v>2521.89</v>
      </c>
      <c r="G742" s="1" t="s">
        <v>279</v>
      </c>
      <c r="H742" s="2">
        <v>38934</v>
      </c>
      <c r="I742" s="2">
        <v>45864</v>
      </c>
      <c r="J742" s="1">
        <v>18.59</v>
      </c>
      <c r="K742" s="4">
        <f t="shared" si="28"/>
        <v>468.81935099999998</v>
      </c>
      <c r="L742" s="4">
        <f t="shared" si="29"/>
        <v>2053.0706489999998</v>
      </c>
    </row>
    <row r="743" spans="1:12" x14ac:dyDescent="0.3">
      <c r="A743" s="1">
        <v>1741</v>
      </c>
      <c r="B743" s="2">
        <v>44786</v>
      </c>
      <c r="C743" s="1" t="s">
        <v>10</v>
      </c>
      <c r="D743" s="1" t="s">
        <v>40</v>
      </c>
      <c r="E743" s="1" t="s">
        <v>16</v>
      </c>
      <c r="F743" s="1">
        <v>507.92</v>
      </c>
      <c r="G743" s="1" t="s">
        <v>173</v>
      </c>
      <c r="H743" s="2">
        <v>22016</v>
      </c>
      <c r="I743" s="2">
        <v>44790</v>
      </c>
      <c r="J743" s="1">
        <v>15.96</v>
      </c>
      <c r="K743" s="4">
        <f t="shared" si="28"/>
        <v>81.064032000000012</v>
      </c>
      <c r="L743" s="4">
        <f t="shared" si="29"/>
        <v>426.85596800000002</v>
      </c>
    </row>
    <row r="744" spans="1:12" x14ac:dyDescent="0.3">
      <c r="A744" s="1">
        <v>1742</v>
      </c>
      <c r="B744" s="2">
        <v>45859</v>
      </c>
      <c r="C744" s="1" t="s">
        <v>26</v>
      </c>
      <c r="D744" s="1" t="s">
        <v>47</v>
      </c>
      <c r="E744" s="1" t="s">
        <v>12</v>
      </c>
      <c r="F744" s="1">
        <v>3946.68</v>
      </c>
      <c r="G744" s="1" t="s">
        <v>187</v>
      </c>
      <c r="H744" s="2">
        <v>30778</v>
      </c>
      <c r="I744" s="2">
        <v>45865</v>
      </c>
      <c r="J744" s="1">
        <v>40.43</v>
      </c>
      <c r="K744" s="4">
        <f t="shared" si="28"/>
        <v>1595.6427239999998</v>
      </c>
      <c r="L744" s="4">
        <f t="shared" si="29"/>
        <v>2351.037276</v>
      </c>
    </row>
    <row r="745" spans="1:12" x14ac:dyDescent="0.3">
      <c r="A745" s="1">
        <v>1743</v>
      </c>
      <c r="B745" s="2">
        <v>44234</v>
      </c>
      <c r="C745" s="1" t="s">
        <v>26</v>
      </c>
      <c r="D745" s="1" t="s">
        <v>24</v>
      </c>
      <c r="E745" s="1" t="s">
        <v>19</v>
      </c>
      <c r="F745" s="1">
        <v>2930.76</v>
      </c>
      <c r="G745" s="1" t="s">
        <v>263</v>
      </c>
      <c r="H745" s="2">
        <v>35629</v>
      </c>
      <c r="I745" s="2">
        <v>44247</v>
      </c>
      <c r="J745" s="1">
        <v>29.79</v>
      </c>
      <c r="K745" s="4">
        <f t="shared" si="28"/>
        <v>873.0734040000001</v>
      </c>
      <c r="L745" s="4">
        <f t="shared" si="29"/>
        <v>2057.686596</v>
      </c>
    </row>
    <row r="746" spans="1:12" x14ac:dyDescent="0.3">
      <c r="A746" s="1">
        <v>1744</v>
      </c>
      <c r="B746" s="2">
        <v>45828</v>
      </c>
      <c r="C746" s="1" t="s">
        <v>14</v>
      </c>
      <c r="D746" s="1" t="s">
        <v>69</v>
      </c>
      <c r="E746" s="1" t="s">
        <v>12</v>
      </c>
      <c r="F746" s="1">
        <v>774.89</v>
      </c>
      <c r="G746" s="1" t="s">
        <v>266</v>
      </c>
      <c r="H746" s="2">
        <v>32604</v>
      </c>
      <c r="I746" s="2">
        <v>45838</v>
      </c>
      <c r="J746" s="1">
        <v>26.39</v>
      </c>
      <c r="K746" s="4">
        <f t="shared" si="28"/>
        <v>204.49347100000003</v>
      </c>
      <c r="L746" s="4">
        <f t="shared" si="29"/>
        <v>570.39652899999999</v>
      </c>
    </row>
    <row r="747" spans="1:12" x14ac:dyDescent="0.3">
      <c r="A747" s="1">
        <v>1745</v>
      </c>
      <c r="B747" s="2">
        <v>45477</v>
      </c>
      <c r="C747" s="1" t="s">
        <v>10</v>
      </c>
      <c r="D747" s="1" t="s">
        <v>61</v>
      </c>
      <c r="E747" s="1" t="s">
        <v>19</v>
      </c>
      <c r="F747" s="1">
        <v>1967.8</v>
      </c>
      <c r="G747" s="1" t="s">
        <v>314</v>
      </c>
      <c r="H747" s="2">
        <v>31569</v>
      </c>
      <c r="I747" s="2">
        <v>45486</v>
      </c>
      <c r="J747" s="1">
        <v>32.020000000000003</v>
      </c>
      <c r="K747" s="4">
        <f t="shared" si="28"/>
        <v>630.08956000000012</v>
      </c>
      <c r="L747" s="4">
        <f t="shared" si="29"/>
        <v>1337.7104399999998</v>
      </c>
    </row>
    <row r="748" spans="1:12" x14ac:dyDescent="0.3">
      <c r="A748" s="1">
        <v>1746</v>
      </c>
      <c r="B748" s="2">
        <v>45711</v>
      </c>
      <c r="C748" s="1" t="s">
        <v>21</v>
      </c>
      <c r="D748" s="1" t="s">
        <v>49</v>
      </c>
      <c r="E748" s="1" t="s">
        <v>12</v>
      </c>
      <c r="F748" s="1">
        <v>653.76</v>
      </c>
      <c r="G748" s="1" t="s">
        <v>311</v>
      </c>
      <c r="H748" s="2">
        <v>29242</v>
      </c>
      <c r="I748" s="2">
        <v>45716</v>
      </c>
      <c r="J748" s="1">
        <v>27.02</v>
      </c>
      <c r="K748" s="4">
        <f t="shared" si="28"/>
        <v>176.64595199999999</v>
      </c>
      <c r="L748" s="4">
        <f t="shared" si="29"/>
        <v>477.11404800000003</v>
      </c>
    </row>
    <row r="749" spans="1:12" x14ac:dyDescent="0.3">
      <c r="A749" s="1">
        <v>1747</v>
      </c>
      <c r="B749" s="2">
        <v>45233</v>
      </c>
      <c r="C749" s="1" t="s">
        <v>21</v>
      </c>
      <c r="D749" s="1" t="s">
        <v>22</v>
      </c>
      <c r="E749" s="1" t="s">
        <v>19</v>
      </c>
      <c r="F749" s="1">
        <v>1925.73</v>
      </c>
      <c r="G749" s="1" t="s">
        <v>179</v>
      </c>
      <c r="H749" s="2">
        <v>30356</v>
      </c>
      <c r="I749" s="2">
        <v>45239</v>
      </c>
      <c r="J749" s="1">
        <v>21.89</v>
      </c>
      <c r="K749" s="4">
        <f t="shared" si="28"/>
        <v>421.54229700000002</v>
      </c>
      <c r="L749" s="4">
        <f t="shared" si="29"/>
        <v>1504.1877030000001</v>
      </c>
    </row>
    <row r="750" spans="1:12" x14ac:dyDescent="0.3">
      <c r="A750" s="1">
        <v>1748</v>
      </c>
      <c r="B750" s="2">
        <v>45877</v>
      </c>
      <c r="C750" s="1" t="s">
        <v>26</v>
      </c>
      <c r="D750" s="1" t="s">
        <v>65</v>
      </c>
      <c r="E750" s="1" t="s">
        <v>19</v>
      </c>
      <c r="F750" s="1">
        <v>4083.89</v>
      </c>
      <c r="G750" s="1" t="s">
        <v>315</v>
      </c>
      <c r="H750" s="2">
        <v>32330</v>
      </c>
      <c r="I750" s="2">
        <v>45879</v>
      </c>
      <c r="J750" s="1">
        <v>38.56</v>
      </c>
      <c r="K750" s="4">
        <f t="shared" si="28"/>
        <v>1574.7479839999999</v>
      </c>
      <c r="L750" s="4">
        <f t="shared" si="29"/>
        <v>2509.1420159999998</v>
      </c>
    </row>
    <row r="751" spans="1:12" x14ac:dyDescent="0.3">
      <c r="A751" s="1">
        <v>1749</v>
      </c>
      <c r="B751" s="2">
        <v>45202</v>
      </c>
      <c r="C751" s="1" t="s">
        <v>26</v>
      </c>
      <c r="D751" s="1" t="s">
        <v>58</v>
      </c>
      <c r="E751" s="1" t="s">
        <v>31</v>
      </c>
      <c r="F751" s="1">
        <v>3999.39</v>
      </c>
      <c r="G751" s="1" t="s">
        <v>276</v>
      </c>
      <c r="H751" s="2">
        <v>33394</v>
      </c>
      <c r="I751" s="2">
        <v>45207</v>
      </c>
      <c r="J751" s="1">
        <v>48.78</v>
      </c>
      <c r="K751" s="4">
        <f t="shared" si="28"/>
        <v>1950.9024420000001</v>
      </c>
      <c r="L751" s="4">
        <f t="shared" si="29"/>
        <v>2048.4875579999998</v>
      </c>
    </row>
    <row r="752" spans="1:12" x14ac:dyDescent="0.3">
      <c r="A752" s="1">
        <v>1750</v>
      </c>
      <c r="B752" s="2">
        <v>44989</v>
      </c>
      <c r="C752" s="1" t="s">
        <v>21</v>
      </c>
      <c r="D752" s="1" t="s">
        <v>53</v>
      </c>
      <c r="E752" s="1" t="s">
        <v>28</v>
      </c>
      <c r="F752" s="1">
        <v>1126.92</v>
      </c>
      <c r="G752" s="1" t="s">
        <v>166</v>
      </c>
      <c r="H752" s="2">
        <v>27879</v>
      </c>
      <c r="I752" s="2">
        <v>44990</v>
      </c>
      <c r="J752" s="1">
        <v>7.35</v>
      </c>
      <c r="K752" s="4">
        <f t="shared" si="28"/>
        <v>82.828620000000001</v>
      </c>
      <c r="L752" s="4">
        <f t="shared" si="29"/>
        <v>1044.0913800000001</v>
      </c>
    </row>
    <row r="753" spans="1:12" x14ac:dyDescent="0.3">
      <c r="A753" s="1">
        <v>1751</v>
      </c>
      <c r="B753" s="2">
        <v>44450</v>
      </c>
      <c r="C753" s="1" t="s">
        <v>10</v>
      </c>
      <c r="D753" s="1" t="s">
        <v>18</v>
      </c>
      <c r="E753" s="1" t="s">
        <v>19</v>
      </c>
      <c r="F753" s="1">
        <v>2959.72</v>
      </c>
      <c r="G753" s="1" t="s">
        <v>316</v>
      </c>
      <c r="H753" s="2">
        <v>36087</v>
      </c>
      <c r="I753" s="2">
        <v>44453</v>
      </c>
      <c r="J753" s="1">
        <v>13.94</v>
      </c>
      <c r="K753" s="4">
        <f t="shared" si="28"/>
        <v>412.58496799999995</v>
      </c>
      <c r="L753" s="4">
        <f t="shared" si="29"/>
        <v>2547.1350319999997</v>
      </c>
    </row>
    <row r="754" spans="1:12" x14ac:dyDescent="0.3">
      <c r="A754" s="1">
        <v>1752</v>
      </c>
      <c r="B754" s="2">
        <v>44174</v>
      </c>
      <c r="C754" s="1" t="s">
        <v>10</v>
      </c>
      <c r="D754" s="1" t="s">
        <v>58</v>
      </c>
      <c r="E754" s="1" t="s">
        <v>31</v>
      </c>
      <c r="F754" s="1">
        <v>3761.77</v>
      </c>
      <c r="G754" s="1" t="s">
        <v>195</v>
      </c>
      <c r="H754" s="2">
        <v>28065</v>
      </c>
      <c r="I754" s="2">
        <v>44188</v>
      </c>
      <c r="J754" s="1">
        <v>24.9</v>
      </c>
      <c r="K754" s="4">
        <f t="shared" si="28"/>
        <v>936.68073000000004</v>
      </c>
      <c r="L754" s="4">
        <f t="shared" si="29"/>
        <v>2825.0892699999999</v>
      </c>
    </row>
    <row r="755" spans="1:12" x14ac:dyDescent="0.3">
      <c r="A755" s="1">
        <v>1753</v>
      </c>
      <c r="B755" s="2">
        <v>44883</v>
      </c>
      <c r="C755" s="1" t="s">
        <v>21</v>
      </c>
      <c r="D755" s="1" t="s">
        <v>69</v>
      </c>
      <c r="E755" s="1" t="s">
        <v>31</v>
      </c>
      <c r="F755" s="1">
        <v>4614.51</v>
      </c>
      <c r="G755" s="1" t="s">
        <v>171</v>
      </c>
      <c r="H755" s="2">
        <v>31261</v>
      </c>
      <c r="I755" s="2">
        <v>44896</v>
      </c>
      <c r="J755" s="1">
        <v>34.75</v>
      </c>
      <c r="K755" s="4">
        <f t="shared" si="28"/>
        <v>1603.5422249999999</v>
      </c>
      <c r="L755" s="4">
        <f t="shared" si="29"/>
        <v>3010.9677750000001</v>
      </c>
    </row>
    <row r="756" spans="1:12" x14ac:dyDescent="0.3">
      <c r="A756" s="1">
        <v>1754</v>
      </c>
      <c r="B756" s="2">
        <v>45139</v>
      </c>
      <c r="C756" s="1" t="s">
        <v>14</v>
      </c>
      <c r="D756" s="1" t="s">
        <v>40</v>
      </c>
      <c r="E756" s="1" t="s">
        <v>16</v>
      </c>
      <c r="F756" s="1">
        <v>3877.12</v>
      </c>
      <c r="G756" s="1" t="s">
        <v>317</v>
      </c>
      <c r="H756" s="2">
        <v>32196</v>
      </c>
      <c r="I756" s="2">
        <v>45145</v>
      </c>
      <c r="J756" s="1">
        <v>34.380000000000003</v>
      </c>
      <c r="K756" s="4">
        <f t="shared" si="28"/>
        <v>1332.9538560000001</v>
      </c>
      <c r="L756" s="4">
        <f t="shared" si="29"/>
        <v>2544.1661439999998</v>
      </c>
    </row>
    <row r="757" spans="1:12" x14ac:dyDescent="0.3">
      <c r="A757" s="1">
        <v>1755</v>
      </c>
      <c r="B757" s="2">
        <v>45562</v>
      </c>
      <c r="C757" s="1" t="s">
        <v>14</v>
      </c>
      <c r="D757" s="1" t="s">
        <v>69</v>
      </c>
      <c r="E757" s="1" t="s">
        <v>12</v>
      </c>
      <c r="F757" s="1">
        <v>3026.11</v>
      </c>
      <c r="G757" s="1" t="s">
        <v>318</v>
      </c>
      <c r="H757" s="2">
        <v>29040</v>
      </c>
      <c r="I757" s="2">
        <v>45567</v>
      </c>
      <c r="J757" s="1">
        <v>16.989999999999998</v>
      </c>
      <c r="K757" s="4">
        <f t="shared" si="28"/>
        <v>514.13608899999997</v>
      </c>
      <c r="L757" s="4">
        <f t="shared" si="29"/>
        <v>2511.973911</v>
      </c>
    </row>
    <row r="758" spans="1:12" x14ac:dyDescent="0.3">
      <c r="A758" s="1">
        <v>1756</v>
      </c>
      <c r="B758" s="2">
        <v>44801</v>
      </c>
      <c r="C758" s="1" t="s">
        <v>21</v>
      </c>
      <c r="D758" s="1" t="s">
        <v>53</v>
      </c>
      <c r="E758" s="1" t="s">
        <v>28</v>
      </c>
      <c r="F758" s="1">
        <v>3805.23</v>
      </c>
      <c r="G758" s="1" t="s">
        <v>319</v>
      </c>
      <c r="H758" s="2">
        <v>36068</v>
      </c>
      <c r="I758" s="2">
        <v>44803</v>
      </c>
      <c r="J758" s="1">
        <v>27.67</v>
      </c>
      <c r="K758" s="4">
        <f t="shared" si="28"/>
        <v>1052.9071409999999</v>
      </c>
      <c r="L758" s="4">
        <f t="shared" si="29"/>
        <v>2752.3228589999999</v>
      </c>
    </row>
    <row r="759" spans="1:12" x14ac:dyDescent="0.3">
      <c r="A759" s="1">
        <v>1757</v>
      </c>
      <c r="B759" s="2">
        <v>45771</v>
      </c>
      <c r="C759" s="1" t="s">
        <v>26</v>
      </c>
      <c r="D759" s="1" t="s">
        <v>47</v>
      </c>
      <c r="E759" s="1" t="s">
        <v>12</v>
      </c>
      <c r="F759" s="1">
        <v>2560.04</v>
      </c>
      <c r="G759" s="1" t="s">
        <v>182</v>
      </c>
      <c r="H759" s="2">
        <v>24719</v>
      </c>
      <c r="I759" s="2">
        <v>45784</v>
      </c>
      <c r="J759" s="1">
        <v>41.04</v>
      </c>
      <c r="K759" s="4">
        <f t="shared" si="28"/>
        <v>1050.640416</v>
      </c>
      <c r="L759" s="4">
        <f t="shared" si="29"/>
        <v>1509.399584</v>
      </c>
    </row>
    <row r="760" spans="1:12" x14ac:dyDescent="0.3">
      <c r="A760" s="1">
        <v>1758</v>
      </c>
      <c r="B760" s="2">
        <v>44125</v>
      </c>
      <c r="C760" s="1" t="s">
        <v>14</v>
      </c>
      <c r="D760" s="1" t="s">
        <v>55</v>
      </c>
      <c r="E760" s="1" t="s">
        <v>31</v>
      </c>
      <c r="F760" s="1">
        <v>4390.6899999999996</v>
      </c>
      <c r="G760" s="1" t="s">
        <v>197</v>
      </c>
      <c r="H760" s="2">
        <v>26001</v>
      </c>
      <c r="I760" s="2">
        <v>44131</v>
      </c>
      <c r="J760" s="1">
        <v>2.13</v>
      </c>
      <c r="K760" s="4">
        <f t="shared" si="28"/>
        <v>93.521696999999989</v>
      </c>
      <c r="L760" s="4">
        <f t="shared" si="29"/>
        <v>4297.1683029999995</v>
      </c>
    </row>
    <row r="761" spans="1:12" x14ac:dyDescent="0.3">
      <c r="A761" s="1">
        <v>1759</v>
      </c>
      <c r="B761" s="2">
        <v>44527</v>
      </c>
      <c r="C761" s="1" t="s">
        <v>21</v>
      </c>
      <c r="D761" s="1" t="s">
        <v>49</v>
      </c>
      <c r="E761" s="1" t="s">
        <v>12</v>
      </c>
      <c r="F761" s="1">
        <v>2663.45</v>
      </c>
      <c r="G761" s="1" t="s">
        <v>29</v>
      </c>
      <c r="H761" s="2">
        <v>24033</v>
      </c>
      <c r="I761" s="2">
        <v>44539</v>
      </c>
      <c r="J761" s="1">
        <v>22.44</v>
      </c>
      <c r="K761" s="4">
        <f t="shared" si="28"/>
        <v>597.67818</v>
      </c>
      <c r="L761" s="4">
        <f t="shared" si="29"/>
        <v>2065.7718199999999</v>
      </c>
    </row>
    <row r="762" spans="1:12" x14ac:dyDescent="0.3">
      <c r="A762" s="1">
        <v>1760</v>
      </c>
      <c r="B762" s="2">
        <v>45011</v>
      </c>
      <c r="C762" s="1" t="s">
        <v>10</v>
      </c>
      <c r="D762" s="1" t="s">
        <v>47</v>
      </c>
      <c r="E762" s="1" t="s">
        <v>12</v>
      </c>
      <c r="F762" s="1">
        <v>4430.37</v>
      </c>
      <c r="G762" s="1" t="s">
        <v>42</v>
      </c>
      <c r="H762" s="2">
        <v>26027</v>
      </c>
      <c r="I762" s="2">
        <v>45025</v>
      </c>
      <c r="J762" s="1">
        <v>32.93</v>
      </c>
      <c r="K762" s="4">
        <f t="shared" si="28"/>
        <v>1458.9208409999999</v>
      </c>
      <c r="L762" s="4">
        <f t="shared" si="29"/>
        <v>2971.4491589999998</v>
      </c>
    </row>
    <row r="763" spans="1:12" x14ac:dyDescent="0.3">
      <c r="A763" s="1">
        <v>1761</v>
      </c>
      <c r="B763" s="2">
        <v>44245</v>
      </c>
      <c r="C763" s="1" t="s">
        <v>21</v>
      </c>
      <c r="D763" s="1" t="s">
        <v>15</v>
      </c>
      <c r="E763" s="1" t="s">
        <v>16</v>
      </c>
      <c r="F763" s="1">
        <v>2568.0700000000002</v>
      </c>
      <c r="G763" s="1" t="s">
        <v>262</v>
      </c>
      <c r="H763" s="2">
        <v>36590</v>
      </c>
      <c r="I763" s="2">
        <v>44254</v>
      </c>
      <c r="J763" s="1">
        <v>20.55</v>
      </c>
      <c r="K763" s="4">
        <f t="shared" si="28"/>
        <v>527.73838500000011</v>
      </c>
      <c r="L763" s="4">
        <f t="shared" si="29"/>
        <v>2040.3316150000001</v>
      </c>
    </row>
    <row r="764" spans="1:12" x14ac:dyDescent="0.3">
      <c r="A764" s="1">
        <v>1762</v>
      </c>
      <c r="B764" s="2">
        <v>44655</v>
      </c>
      <c r="C764" s="1" t="s">
        <v>14</v>
      </c>
      <c r="D764" s="1" t="s">
        <v>44</v>
      </c>
      <c r="E764" s="1" t="s">
        <v>16</v>
      </c>
      <c r="F764" s="1">
        <v>429.92</v>
      </c>
      <c r="G764" s="1" t="s">
        <v>264</v>
      </c>
      <c r="H764" s="2">
        <v>30232</v>
      </c>
      <c r="I764" s="2">
        <v>44668</v>
      </c>
      <c r="J764" s="1">
        <v>5.82</v>
      </c>
      <c r="K764" s="4">
        <f t="shared" si="28"/>
        <v>25.021344000000003</v>
      </c>
      <c r="L764" s="4">
        <f t="shared" si="29"/>
        <v>404.89865600000002</v>
      </c>
    </row>
    <row r="765" spans="1:12" x14ac:dyDescent="0.3">
      <c r="A765" s="1">
        <v>1763</v>
      </c>
      <c r="B765" s="2">
        <v>44063</v>
      </c>
      <c r="C765" s="1" t="s">
        <v>10</v>
      </c>
      <c r="D765" s="1" t="s">
        <v>71</v>
      </c>
      <c r="E765" s="1" t="s">
        <v>31</v>
      </c>
      <c r="F765" s="1">
        <v>965.67</v>
      </c>
      <c r="G765" s="1" t="s">
        <v>230</v>
      </c>
      <c r="H765" s="2">
        <v>35642</v>
      </c>
      <c r="I765" s="2">
        <v>44071</v>
      </c>
      <c r="J765" s="1">
        <v>13.52</v>
      </c>
      <c r="K765" s="4">
        <f t="shared" si="28"/>
        <v>130.55858399999997</v>
      </c>
      <c r="L765" s="4">
        <f t="shared" si="29"/>
        <v>835.11141599999996</v>
      </c>
    </row>
    <row r="766" spans="1:12" x14ac:dyDescent="0.3">
      <c r="A766" s="1">
        <v>1764</v>
      </c>
      <c r="B766" s="2">
        <v>44839</v>
      </c>
      <c r="C766" s="1" t="s">
        <v>14</v>
      </c>
      <c r="D766" s="1" t="s">
        <v>33</v>
      </c>
      <c r="E766" s="1" t="s">
        <v>16</v>
      </c>
      <c r="F766" s="1">
        <v>1984.75</v>
      </c>
      <c r="G766" s="1" t="s">
        <v>170</v>
      </c>
      <c r="H766" s="2">
        <v>34205</v>
      </c>
      <c r="I766" s="2">
        <v>44852</v>
      </c>
      <c r="J766" s="1">
        <v>25.56</v>
      </c>
      <c r="K766" s="4">
        <f t="shared" si="28"/>
        <v>507.3021</v>
      </c>
      <c r="L766" s="4">
        <f t="shared" si="29"/>
        <v>1477.4479000000001</v>
      </c>
    </row>
    <row r="767" spans="1:12" x14ac:dyDescent="0.3">
      <c r="A767" s="1">
        <v>1765</v>
      </c>
      <c r="B767" s="2">
        <v>45761</v>
      </c>
      <c r="C767" s="1" t="s">
        <v>21</v>
      </c>
      <c r="D767" s="1" t="s">
        <v>102</v>
      </c>
      <c r="E767" s="1" t="s">
        <v>12</v>
      </c>
      <c r="F767" s="1">
        <v>371.15</v>
      </c>
      <c r="G767" s="1" t="s">
        <v>218</v>
      </c>
      <c r="H767" s="2">
        <v>29792</v>
      </c>
      <c r="I767" s="2">
        <v>45764</v>
      </c>
      <c r="J767" s="1">
        <v>13.58</v>
      </c>
      <c r="K767" s="4">
        <f t="shared" si="28"/>
        <v>50.402169999999998</v>
      </c>
      <c r="L767" s="4">
        <f t="shared" si="29"/>
        <v>320.74782999999996</v>
      </c>
    </row>
    <row r="768" spans="1:12" x14ac:dyDescent="0.3">
      <c r="A768" s="1">
        <v>1766</v>
      </c>
      <c r="B768" s="2">
        <v>45791</v>
      </c>
      <c r="C768" s="1" t="s">
        <v>21</v>
      </c>
      <c r="D768" s="1" t="s">
        <v>69</v>
      </c>
      <c r="E768" s="1" t="s">
        <v>12</v>
      </c>
      <c r="F768" s="1">
        <v>2705.32</v>
      </c>
      <c r="G768" s="1" t="s">
        <v>290</v>
      </c>
      <c r="H768" s="2">
        <v>31764</v>
      </c>
      <c r="I768" s="2">
        <v>45794</v>
      </c>
      <c r="J768" s="1">
        <v>33.67</v>
      </c>
      <c r="K768" s="4">
        <f t="shared" si="28"/>
        <v>910.88124400000004</v>
      </c>
      <c r="L768" s="4">
        <f t="shared" si="29"/>
        <v>1794.438756</v>
      </c>
    </row>
    <row r="769" spans="1:12" x14ac:dyDescent="0.3">
      <c r="A769" s="1">
        <v>1767</v>
      </c>
      <c r="B769" s="2">
        <v>44746</v>
      </c>
      <c r="C769" s="1" t="s">
        <v>26</v>
      </c>
      <c r="D769" s="1" t="s">
        <v>18</v>
      </c>
      <c r="E769" s="1" t="s">
        <v>19</v>
      </c>
      <c r="F769" s="1">
        <v>843.92</v>
      </c>
      <c r="G769" s="1" t="s">
        <v>76</v>
      </c>
      <c r="H769" s="2">
        <v>37049</v>
      </c>
      <c r="I769" s="2">
        <v>44753</v>
      </c>
      <c r="J769" s="1">
        <v>45.25</v>
      </c>
      <c r="K769" s="4">
        <f t="shared" si="28"/>
        <v>381.87380000000002</v>
      </c>
      <c r="L769" s="4">
        <f t="shared" si="29"/>
        <v>462.04619999999994</v>
      </c>
    </row>
    <row r="770" spans="1:12" x14ac:dyDescent="0.3">
      <c r="A770" s="1">
        <v>1768</v>
      </c>
      <c r="B770" s="2">
        <v>45739</v>
      </c>
      <c r="C770" s="1" t="s">
        <v>26</v>
      </c>
      <c r="D770" s="1" t="s">
        <v>22</v>
      </c>
      <c r="E770" s="1" t="s">
        <v>19</v>
      </c>
      <c r="F770" s="1">
        <v>551.48</v>
      </c>
      <c r="G770" s="1" t="s">
        <v>168</v>
      </c>
      <c r="H770" s="2">
        <v>37674</v>
      </c>
      <c r="I770" s="2">
        <v>45748</v>
      </c>
      <c r="J770" s="1">
        <v>27.97</v>
      </c>
      <c r="K770" s="4">
        <f t="shared" si="28"/>
        <v>154.24895600000002</v>
      </c>
      <c r="L770" s="4">
        <f t="shared" si="29"/>
        <v>397.231044</v>
      </c>
    </row>
    <row r="771" spans="1:12" x14ac:dyDescent="0.3">
      <c r="A771" s="1">
        <v>1769</v>
      </c>
      <c r="B771" s="2">
        <v>45072</v>
      </c>
      <c r="C771" s="1" t="s">
        <v>14</v>
      </c>
      <c r="D771" s="1" t="s">
        <v>36</v>
      </c>
      <c r="E771" s="1" t="s">
        <v>28</v>
      </c>
      <c r="F771" s="1">
        <v>2238.04</v>
      </c>
      <c r="G771" s="1" t="s">
        <v>230</v>
      </c>
      <c r="H771" s="2">
        <v>35642</v>
      </c>
      <c r="I771" s="2">
        <v>45086</v>
      </c>
      <c r="J771" s="1">
        <v>11.51</v>
      </c>
      <c r="K771" s="4">
        <f t="shared" ref="K771:K834" si="30">F771*J771%</f>
        <v>257.59840399999996</v>
      </c>
      <c r="L771" s="4">
        <f t="shared" ref="L771:L834" si="31">F771-K771</f>
        <v>1980.4415960000001</v>
      </c>
    </row>
    <row r="772" spans="1:12" x14ac:dyDescent="0.3">
      <c r="A772" s="1">
        <v>1770</v>
      </c>
      <c r="B772" s="2">
        <v>45391</v>
      </c>
      <c r="C772" s="1" t="s">
        <v>21</v>
      </c>
      <c r="D772" s="1" t="s">
        <v>11</v>
      </c>
      <c r="E772" s="1" t="s">
        <v>12</v>
      </c>
      <c r="F772" s="1">
        <v>2417.52</v>
      </c>
      <c r="G772" s="1" t="s">
        <v>37</v>
      </c>
      <c r="H772" s="2">
        <v>27534</v>
      </c>
      <c r="I772" s="2">
        <v>45393</v>
      </c>
      <c r="J772" s="1">
        <v>25.77</v>
      </c>
      <c r="K772" s="4">
        <f t="shared" si="30"/>
        <v>622.99490399999991</v>
      </c>
      <c r="L772" s="4">
        <f t="shared" si="31"/>
        <v>1794.5250960000001</v>
      </c>
    </row>
    <row r="773" spans="1:12" x14ac:dyDescent="0.3">
      <c r="A773" s="1">
        <v>1771</v>
      </c>
      <c r="B773" s="2">
        <v>45843</v>
      </c>
      <c r="C773" s="1" t="s">
        <v>21</v>
      </c>
      <c r="D773" s="1" t="s">
        <v>49</v>
      </c>
      <c r="E773" s="1" t="s">
        <v>12</v>
      </c>
      <c r="F773" s="1">
        <v>960.47</v>
      </c>
      <c r="G773" s="1" t="s">
        <v>241</v>
      </c>
      <c r="H773" s="2">
        <v>31880</v>
      </c>
      <c r="I773" s="2">
        <v>45847</v>
      </c>
      <c r="J773" s="1">
        <v>2.1800000000000002</v>
      </c>
      <c r="K773" s="4">
        <f t="shared" si="30"/>
        <v>20.938245999999999</v>
      </c>
      <c r="L773" s="4">
        <f t="shared" si="31"/>
        <v>939.53175399999998</v>
      </c>
    </row>
    <row r="774" spans="1:12" x14ac:dyDescent="0.3">
      <c r="A774" s="1">
        <v>1772</v>
      </c>
      <c r="B774" s="2">
        <v>44233</v>
      </c>
      <c r="C774" s="1" t="s">
        <v>14</v>
      </c>
      <c r="D774" s="1" t="s">
        <v>15</v>
      </c>
      <c r="E774" s="1" t="s">
        <v>16</v>
      </c>
      <c r="F774" s="1">
        <v>390.05</v>
      </c>
      <c r="G774" s="1" t="s">
        <v>79</v>
      </c>
      <c r="H774" s="2">
        <v>28675</v>
      </c>
      <c r="I774" s="2">
        <v>44235</v>
      </c>
      <c r="J774" s="1">
        <v>34.19</v>
      </c>
      <c r="K774" s="4">
        <f t="shared" si="30"/>
        <v>133.35809499999999</v>
      </c>
      <c r="L774" s="4">
        <f t="shared" si="31"/>
        <v>256.69190500000002</v>
      </c>
    </row>
    <row r="775" spans="1:12" x14ac:dyDescent="0.3">
      <c r="A775" s="1">
        <v>1773</v>
      </c>
      <c r="B775" s="2">
        <v>45104</v>
      </c>
      <c r="C775" s="1" t="s">
        <v>35</v>
      </c>
      <c r="D775" s="1" t="s">
        <v>27</v>
      </c>
      <c r="E775" s="1" t="s">
        <v>28</v>
      </c>
      <c r="F775" s="1">
        <v>3826.79</v>
      </c>
      <c r="G775" s="1" t="s">
        <v>309</v>
      </c>
      <c r="H775" s="2">
        <v>23838</v>
      </c>
      <c r="I775" s="2">
        <v>45113</v>
      </c>
      <c r="J775" s="1">
        <v>29.62</v>
      </c>
      <c r="K775" s="4">
        <f t="shared" si="30"/>
        <v>1133.4951980000001</v>
      </c>
      <c r="L775" s="4">
        <f t="shared" si="31"/>
        <v>2693.2948019999999</v>
      </c>
    </row>
    <row r="776" spans="1:12" x14ac:dyDescent="0.3">
      <c r="A776" s="1">
        <v>1774</v>
      </c>
      <c r="B776" s="2">
        <v>45090</v>
      </c>
      <c r="C776" s="1" t="s">
        <v>10</v>
      </c>
      <c r="D776" s="1" t="s">
        <v>40</v>
      </c>
      <c r="E776" s="1" t="s">
        <v>16</v>
      </c>
      <c r="F776" s="1">
        <v>3560.29</v>
      </c>
      <c r="G776" s="1" t="s">
        <v>109</v>
      </c>
      <c r="H776" s="2">
        <v>26011</v>
      </c>
      <c r="I776" s="2">
        <v>45094</v>
      </c>
      <c r="J776" s="1">
        <v>9.93</v>
      </c>
      <c r="K776" s="4">
        <f t="shared" si="30"/>
        <v>353.53679699999998</v>
      </c>
      <c r="L776" s="4">
        <f t="shared" si="31"/>
        <v>3206.7532030000002</v>
      </c>
    </row>
    <row r="777" spans="1:12" x14ac:dyDescent="0.3">
      <c r="A777" s="1">
        <v>1775</v>
      </c>
      <c r="B777" s="2">
        <v>45359</v>
      </c>
      <c r="C777" s="1" t="s">
        <v>26</v>
      </c>
      <c r="D777" s="1" t="s">
        <v>61</v>
      </c>
      <c r="E777" s="1" t="s">
        <v>19</v>
      </c>
      <c r="F777" s="1">
        <v>4924.91</v>
      </c>
      <c r="G777" s="1" t="s">
        <v>90</v>
      </c>
      <c r="H777" s="2">
        <v>29348</v>
      </c>
      <c r="I777" s="2">
        <v>45362</v>
      </c>
      <c r="J777" s="1">
        <v>9.5399999999999991</v>
      </c>
      <c r="K777" s="4">
        <f t="shared" si="30"/>
        <v>469.83641399999993</v>
      </c>
      <c r="L777" s="4">
        <f t="shared" si="31"/>
        <v>4455.0735859999995</v>
      </c>
    </row>
    <row r="778" spans="1:12" x14ac:dyDescent="0.3">
      <c r="A778" s="1">
        <v>1776</v>
      </c>
      <c r="B778" s="2">
        <v>45169</v>
      </c>
      <c r="C778" s="1" t="s">
        <v>35</v>
      </c>
      <c r="D778" s="1" t="s">
        <v>65</v>
      </c>
      <c r="E778" s="1" t="s">
        <v>19</v>
      </c>
      <c r="F778" s="1">
        <v>1299.29</v>
      </c>
      <c r="G778" s="1" t="s">
        <v>104</v>
      </c>
      <c r="H778" s="2">
        <v>24852</v>
      </c>
      <c r="I778" s="2">
        <v>45176</v>
      </c>
      <c r="J778" s="1">
        <v>6.68</v>
      </c>
      <c r="K778" s="4">
        <f t="shared" si="30"/>
        <v>86.792571999999993</v>
      </c>
      <c r="L778" s="4">
        <f t="shared" si="31"/>
        <v>1212.4974279999999</v>
      </c>
    </row>
    <row r="779" spans="1:12" x14ac:dyDescent="0.3">
      <c r="A779" s="1">
        <v>1777</v>
      </c>
      <c r="B779" s="2">
        <v>44671</v>
      </c>
      <c r="C779" s="1" t="s">
        <v>35</v>
      </c>
      <c r="D779" s="1" t="s">
        <v>22</v>
      </c>
      <c r="E779" s="1" t="s">
        <v>19</v>
      </c>
      <c r="F779" s="1">
        <v>1760.76</v>
      </c>
      <c r="G779" s="1" t="s">
        <v>308</v>
      </c>
      <c r="H779" s="2">
        <v>35336</v>
      </c>
      <c r="I779" s="2">
        <v>44681</v>
      </c>
      <c r="J779" s="1">
        <v>39.549999999999997</v>
      </c>
      <c r="K779" s="4">
        <f t="shared" si="30"/>
        <v>696.3805799999999</v>
      </c>
      <c r="L779" s="4">
        <f t="shared" si="31"/>
        <v>1064.3794200000002</v>
      </c>
    </row>
    <row r="780" spans="1:12" x14ac:dyDescent="0.3">
      <c r="A780" s="1">
        <v>1778</v>
      </c>
      <c r="B780" s="2">
        <v>44901</v>
      </c>
      <c r="C780" s="1" t="s">
        <v>14</v>
      </c>
      <c r="D780" s="1" t="s">
        <v>44</v>
      </c>
      <c r="E780" s="1" t="s">
        <v>16</v>
      </c>
      <c r="F780" s="1">
        <v>2990.03</v>
      </c>
      <c r="G780" s="1" t="s">
        <v>93</v>
      </c>
      <c r="H780" s="2">
        <v>33984</v>
      </c>
      <c r="I780" s="2">
        <v>44904</v>
      </c>
      <c r="J780" s="1">
        <v>29.8</v>
      </c>
      <c r="K780" s="4">
        <f t="shared" si="30"/>
        <v>891.02894000000003</v>
      </c>
      <c r="L780" s="4">
        <f t="shared" si="31"/>
        <v>2099.0010600000001</v>
      </c>
    </row>
    <row r="781" spans="1:12" x14ac:dyDescent="0.3">
      <c r="A781" s="1">
        <v>1779</v>
      </c>
      <c r="B781" s="2">
        <v>44284</v>
      </c>
      <c r="C781" s="1" t="s">
        <v>14</v>
      </c>
      <c r="D781" s="1" t="s">
        <v>47</v>
      </c>
      <c r="E781" s="1" t="s">
        <v>12</v>
      </c>
      <c r="F781" s="1">
        <v>1216.47</v>
      </c>
      <c r="G781" s="1" t="s">
        <v>117</v>
      </c>
      <c r="H781" s="2">
        <v>23513</v>
      </c>
      <c r="I781" s="2">
        <v>44286</v>
      </c>
      <c r="J781" s="1">
        <v>29.78</v>
      </c>
      <c r="K781" s="4">
        <f t="shared" si="30"/>
        <v>362.26476600000001</v>
      </c>
      <c r="L781" s="4">
        <f t="shared" si="31"/>
        <v>854.20523400000002</v>
      </c>
    </row>
    <row r="782" spans="1:12" x14ac:dyDescent="0.3">
      <c r="A782" s="1">
        <v>1780</v>
      </c>
      <c r="B782" s="2">
        <v>45320</v>
      </c>
      <c r="C782" s="1" t="s">
        <v>26</v>
      </c>
      <c r="D782" s="1" t="s">
        <v>61</v>
      </c>
      <c r="E782" s="1" t="s">
        <v>19</v>
      </c>
      <c r="F782" s="1">
        <v>2788.33</v>
      </c>
      <c r="G782" s="1" t="s">
        <v>207</v>
      </c>
      <c r="H782" s="2">
        <v>23988</v>
      </c>
      <c r="I782" s="2">
        <v>45329</v>
      </c>
      <c r="J782" s="1">
        <v>28.84</v>
      </c>
      <c r="K782" s="4">
        <f t="shared" si="30"/>
        <v>804.15437199999997</v>
      </c>
      <c r="L782" s="4">
        <f t="shared" si="31"/>
        <v>1984.175628</v>
      </c>
    </row>
    <row r="783" spans="1:12" x14ac:dyDescent="0.3">
      <c r="A783" s="1">
        <v>1781</v>
      </c>
      <c r="B783" s="2">
        <v>44278</v>
      </c>
      <c r="C783" s="1" t="s">
        <v>14</v>
      </c>
      <c r="D783" s="1" t="s">
        <v>33</v>
      </c>
      <c r="E783" s="1" t="s">
        <v>16</v>
      </c>
      <c r="F783" s="1">
        <v>3877.12</v>
      </c>
      <c r="G783" s="1" t="s">
        <v>185</v>
      </c>
      <c r="H783" s="2">
        <v>36384</v>
      </c>
      <c r="I783" s="2">
        <v>44282</v>
      </c>
      <c r="J783" s="1">
        <v>2.7</v>
      </c>
      <c r="K783" s="4">
        <f t="shared" si="30"/>
        <v>104.68224000000001</v>
      </c>
      <c r="L783" s="4">
        <f t="shared" si="31"/>
        <v>3772.4377599999998</v>
      </c>
    </row>
    <row r="784" spans="1:12" x14ac:dyDescent="0.3">
      <c r="A784" s="1">
        <v>1782</v>
      </c>
      <c r="B784" s="2">
        <v>44700</v>
      </c>
      <c r="C784" s="1" t="s">
        <v>35</v>
      </c>
      <c r="D784" s="1" t="s">
        <v>36</v>
      </c>
      <c r="E784" s="1" t="s">
        <v>28</v>
      </c>
      <c r="F784" s="1">
        <v>1889.33</v>
      </c>
      <c r="G784" s="1" t="s">
        <v>86</v>
      </c>
      <c r="H784" s="2">
        <v>37858</v>
      </c>
      <c r="I784" s="2">
        <v>44707</v>
      </c>
      <c r="J784" s="1">
        <v>49.28</v>
      </c>
      <c r="K784" s="4">
        <f t="shared" si="30"/>
        <v>931.061824</v>
      </c>
      <c r="L784" s="4">
        <f t="shared" si="31"/>
        <v>958.26817599999993</v>
      </c>
    </row>
    <row r="785" spans="1:12" x14ac:dyDescent="0.3">
      <c r="A785" s="1">
        <v>1783</v>
      </c>
      <c r="B785" s="2">
        <v>44504</v>
      </c>
      <c r="C785" s="1" t="s">
        <v>21</v>
      </c>
      <c r="D785" s="1" t="s">
        <v>33</v>
      </c>
      <c r="E785" s="1" t="s">
        <v>16</v>
      </c>
      <c r="F785" s="1">
        <v>2085.2600000000002</v>
      </c>
      <c r="G785" s="1" t="s">
        <v>114</v>
      </c>
      <c r="H785" s="2">
        <v>28543</v>
      </c>
      <c r="I785" s="2">
        <v>44508</v>
      </c>
      <c r="J785" s="1">
        <v>30.59</v>
      </c>
      <c r="K785" s="4">
        <f t="shared" si="30"/>
        <v>637.88103400000011</v>
      </c>
      <c r="L785" s="4">
        <f t="shared" si="31"/>
        <v>1447.3789660000002</v>
      </c>
    </row>
    <row r="786" spans="1:12" x14ac:dyDescent="0.3">
      <c r="A786" s="1">
        <v>1784</v>
      </c>
      <c r="B786" s="2">
        <v>45793</v>
      </c>
      <c r="C786" s="1" t="s">
        <v>14</v>
      </c>
      <c r="D786" s="1" t="s">
        <v>33</v>
      </c>
      <c r="E786" s="1" t="s">
        <v>16</v>
      </c>
      <c r="F786" s="1">
        <v>2041.7</v>
      </c>
      <c r="G786" s="1" t="s">
        <v>221</v>
      </c>
      <c r="H786" s="2">
        <v>35658</v>
      </c>
      <c r="I786" s="2">
        <v>45802</v>
      </c>
      <c r="J786" s="1">
        <v>47.56</v>
      </c>
      <c r="K786" s="4">
        <f t="shared" si="30"/>
        <v>971.03252000000009</v>
      </c>
      <c r="L786" s="4">
        <f t="shared" si="31"/>
        <v>1070.6674800000001</v>
      </c>
    </row>
    <row r="787" spans="1:12" x14ac:dyDescent="0.3">
      <c r="A787" s="1">
        <v>1785</v>
      </c>
      <c r="B787" s="2">
        <v>44064</v>
      </c>
      <c r="C787" s="1" t="s">
        <v>21</v>
      </c>
      <c r="D787" s="1" t="s">
        <v>36</v>
      </c>
      <c r="E787" s="1" t="s">
        <v>28</v>
      </c>
      <c r="F787" s="1">
        <v>2279.2800000000002</v>
      </c>
      <c r="G787" s="1" t="s">
        <v>13</v>
      </c>
      <c r="H787" s="2">
        <v>24348</v>
      </c>
      <c r="I787" s="2">
        <v>44075</v>
      </c>
      <c r="J787" s="1">
        <v>41.99</v>
      </c>
      <c r="K787" s="4">
        <f t="shared" si="30"/>
        <v>957.06967200000008</v>
      </c>
      <c r="L787" s="4">
        <f t="shared" si="31"/>
        <v>1322.2103280000001</v>
      </c>
    </row>
    <row r="788" spans="1:12" x14ac:dyDescent="0.3">
      <c r="A788" s="1">
        <v>1786</v>
      </c>
      <c r="B788" s="2">
        <v>44748</v>
      </c>
      <c r="C788" s="1" t="s">
        <v>26</v>
      </c>
      <c r="D788" s="1" t="s">
        <v>40</v>
      </c>
      <c r="E788" s="1" t="s">
        <v>16</v>
      </c>
      <c r="F788" s="1">
        <v>3051.55</v>
      </c>
      <c r="G788" s="1" t="s">
        <v>313</v>
      </c>
      <c r="H788" s="2">
        <v>23039</v>
      </c>
      <c r="I788" s="2">
        <v>44761</v>
      </c>
      <c r="J788" s="1">
        <v>47.53</v>
      </c>
      <c r="K788" s="4">
        <f t="shared" si="30"/>
        <v>1450.4017150000002</v>
      </c>
      <c r="L788" s="4">
        <f t="shared" si="31"/>
        <v>1601.148285</v>
      </c>
    </row>
    <row r="789" spans="1:12" x14ac:dyDescent="0.3">
      <c r="A789" s="1">
        <v>1787</v>
      </c>
      <c r="B789" s="2">
        <v>44505</v>
      </c>
      <c r="C789" s="1" t="s">
        <v>14</v>
      </c>
      <c r="D789" s="1" t="s">
        <v>11</v>
      </c>
      <c r="E789" s="1" t="s">
        <v>12</v>
      </c>
      <c r="F789" s="1">
        <v>1103.06</v>
      </c>
      <c r="G789" s="1" t="s">
        <v>68</v>
      </c>
      <c r="H789" s="2">
        <v>22079</v>
      </c>
      <c r="I789" s="2">
        <v>44516</v>
      </c>
      <c r="J789" s="1">
        <v>22.74</v>
      </c>
      <c r="K789" s="4">
        <f t="shared" si="30"/>
        <v>250.83584399999998</v>
      </c>
      <c r="L789" s="4">
        <f t="shared" si="31"/>
        <v>852.22415599999999</v>
      </c>
    </row>
    <row r="790" spans="1:12" x14ac:dyDescent="0.3">
      <c r="A790" s="1">
        <v>1788</v>
      </c>
      <c r="B790" s="2">
        <v>44890</v>
      </c>
      <c r="C790" s="1" t="s">
        <v>10</v>
      </c>
      <c r="D790" s="1" t="s">
        <v>36</v>
      </c>
      <c r="E790" s="1" t="s">
        <v>28</v>
      </c>
      <c r="F790" s="1">
        <v>3882.31</v>
      </c>
      <c r="G790" s="1" t="s">
        <v>149</v>
      </c>
      <c r="H790" s="2">
        <v>26155</v>
      </c>
      <c r="I790" s="2">
        <v>44891</v>
      </c>
      <c r="J790" s="1">
        <v>17.09</v>
      </c>
      <c r="K790" s="4">
        <f t="shared" si="30"/>
        <v>663.48677899999996</v>
      </c>
      <c r="L790" s="4">
        <f t="shared" si="31"/>
        <v>3218.8232210000001</v>
      </c>
    </row>
    <row r="791" spans="1:12" x14ac:dyDescent="0.3">
      <c r="A791" s="1">
        <v>1789</v>
      </c>
      <c r="B791" s="2">
        <v>44335</v>
      </c>
      <c r="C791" s="1" t="s">
        <v>35</v>
      </c>
      <c r="D791" s="1" t="s">
        <v>36</v>
      </c>
      <c r="E791" s="1" t="s">
        <v>28</v>
      </c>
      <c r="F791" s="1">
        <v>3352.72</v>
      </c>
      <c r="G791" s="1" t="s">
        <v>320</v>
      </c>
      <c r="H791" s="2">
        <v>26300</v>
      </c>
      <c r="I791" s="2">
        <v>44340</v>
      </c>
      <c r="J791" s="1">
        <v>45.35</v>
      </c>
      <c r="K791" s="4">
        <f t="shared" si="30"/>
        <v>1520.4585199999999</v>
      </c>
      <c r="L791" s="4">
        <f t="shared" si="31"/>
        <v>1832.2614799999999</v>
      </c>
    </row>
    <row r="792" spans="1:12" x14ac:dyDescent="0.3">
      <c r="A792" s="1">
        <v>1790</v>
      </c>
      <c r="B792" s="2">
        <v>44244</v>
      </c>
      <c r="C792" s="1" t="s">
        <v>21</v>
      </c>
      <c r="D792" s="1" t="s">
        <v>33</v>
      </c>
      <c r="E792" s="1" t="s">
        <v>16</v>
      </c>
      <c r="F792" s="1">
        <v>4373.0600000000004</v>
      </c>
      <c r="G792" s="1" t="s">
        <v>151</v>
      </c>
      <c r="H792" s="2">
        <v>34427</v>
      </c>
      <c r="I792" s="2">
        <v>44251</v>
      </c>
      <c r="J792" s="1">
        <v>23.79</v>
      </c>
      <c r="K792" s="4">
        <f t="shared" si="30"/>
        <v>1040.3509740000002</v>
      </c>
      <c r="L792" s="4">
        <f t="shared" si="31"/>
        <v>3332.7090260000004</v>
      </c>
    </row>
    <row r="793" spans="1:12" x14ac:dyDescent="0.3">
      <c r="A793" s="1">
        <v>1791</v>
      </c>
      <c r="B793" s="2">
        <v>45323</v>
      </c>
      <c r="C793" s="1" t="s">
        <v>14</v>
      </c>
      <c r="D793" s="1" t="s">
        <v>40</v>
      </c>
      <c r="E793" s="1" t="s">
        <v>16</v>
      </c>
      <c r="F793" s="1">
        <v>193.34</v>
      </c>
      <c r="G793" s="1" t="s">
        <v>233</v>
      </c>
      <c r="H793" s="2">
        <v>38826</v>
      </c>
      <c r="I793" s="2">
        <v>45326</v>
      </c>
      <c r="J793" s="1">
        <v>25.31</v>
      </c>
      <c r="K793" s="4">
        <f t="shared" si="30"/>
        <v>48.934353999999999</v>
      </c>
      <c r="L793" s="4">
        <f t="shared" si="31"/>
        <v>144.40564599999999</v>
      </c>
    </row>
    <row r="794" spans="1:12" x14ac:dyDescent="0.3">
      <c r="A794" s="1">
        <v>1792</v>
      </c>
      <c r="B794" s="2">
        <v>44751</v>
      </c>
      <c r="C794" s="1" t="s">
        <v>10</v>
      </c>
      <c r="D794" s="1" t="s">
        <v>71</v>
      </c>
      <c r="E794" s="1" t="s">
        <v>31</v>
      </c>
      <c r="F794" s="1">
        <v>557.03</v>
      </c>
      <c r="G794" s="1" t="s">
        <v>193</v>
      </c>
      <c r="H794" s="2">
        <v>26082</v>
      </c>
      <c r="I794" s="2">
        <v>44752</v>
      </c>
      <c r="J794" s="1">
        <v>22.2</v>
      </c>
      <c r="K794" s="4">
        <f t="shared" si="30"/>
        <v>123.66065999999999</v>
      </c>
      <c r="L794" s="4">
        <f t="shared" si="31"/>
        <v>433.36933999999997</v>
      </c>
    </row>
    <row r="795" spans="1:12" x14ac:dyDescent="0.3">
      <c r="A795" s="1">
        <v>1793</v>
      </c>
      <c r="B795" s="2">
        <v>45466</v>
      </c>
      <c r="C795" s="1" t="s">
        <v>21</v>
      </c>
      <c r="D795" s="1" t="s">
        <v>69</v>
      </c>
      <c r="E795" s="1" t="s">
        <v>12</v>
      </c>
      <c r="F795" s="1">
        <v>682.1</v>
      </c>
      <c r="G795" s="1" t="s">
        <v>210</v>
      </c>
      <c r="H795" s="2">
        <v>27550</v>
      </c>
      <c r="I795" s="2">
        <v>45474</v>
      </c>
      <c r="J795" s="1">
        <v>33.54</v>
      </c>
      <c r="K795" s="4">
        <f t="shared" si="30"/>
        <v>228.77634</v>
      </c>
      <c r="L795" s="4">
        <f t="shared" si="31"/>
        <v>453.32366000000002</v>
      </c>
    </row>
    <row r="796" spans="1:12" x14ac:dyDescent="0.3">
      <c r="A796" s="1">
        <v>1794</v>
      </c>
      <c r="B796" s="2">
        <v>45176</v>
      </c>
      <c r="C796" s="1" t="s">
        <v>26</v>
      </c>
      <c r="D796" s="1" t="s">
        <v>71</v>
      </c>
      <c r="E796" s="1" t="s">
        <v>31</v>
      </c>
      <c r="F796" s="1">
        <v>4084.74</v>
      </c>
      <c r="G796" s="1" t="s">
        <v>304</v>
      </c>
      <c r="H796" s="2">
        <v>36246</v>
      </c>
      <c r="I796" s="2">
        <v>45177</v>
      </c>
      <c r="J796" s="1">
        <v>8.34</v>
      </c>
      <c r="K796" s="4">
        <f t="shared" si="30"/>
        <v>340.66731599999997</v>
      </c>
      <c r="L796" s="4">
        <f t="shared" si="31"/>
        <v>3744.0726839999998</v>
      </c>
    </row>
    <row r="797" spans="1:12" x14ac:dyDescent="0.3">
      <c r="A797" s="1">
        <v>1795</v>
      </c>
      <c r="B797" s="2">
        <v>44504</v>
      </c>
      <c r="C797" s="1" t="s">
        <v>35</v>
      </c>
      <c r="D797" s="1" t="s">
        <v>18</v>
      </c>
      <c r="E797" s="1" t="s">
        <v>19</v>
      </c>
      <c r="F797" s="1">
        <v>3311.08</v>
      </c>
      <c r="G797" s="1" t="s">
        <v>94</v>
      </c>
      <c r="H797" s="2">
        <v>25516</v>
      </c>
      <c r="I797" s="2">
        <v>44513</v>
      </c>
      <c r="J797" s="1">
        <v>36.19</v>
      </c>
      <c r="K797" s="4">
        <f t="shared" si="30"/>
        <v>1198.2798519999999</v>
      </c>
      <c r="L797" s="4">
        <f t="shared" si="31"/>
        <v>2112.8001480000003</v>
      </c>
    </row>
    <row r="798" spans="1:12" x14ac:dyDescent="0.3">
      <c r="A798" s="1">
        <v>1796</v>
      </c>
      <c r="B798" s="2">
        <v>44792</v>
      </c>
      <c r="C798" s="1" t="s">
        <v>21</v>
      </c>
      <c r="D798" s="1" t="s">
        <v>40</v>
      </c>
      <c r="E798" s="1" t="s">
        <v>16</v>
      </c>
      <c r="F798" s="1">
        <v>1488.13</v>
      </c>
      <c r="G798" s="1" t="s">
        <v>321</v>
      </c>
      <c r="H798" s="2">
        <v>22467</v>
      </c>
      <c r="I798" s="2">
        <v>44804</v>
      </c>
      <c r="J798" s="1">
        <v>16.190000000000001</v>
      </c>
      <c r="K798" s="4">
        <f t="shared" si="30"/>
        <v>240.92824700000006</v>
      </c>
      <c r="L798" s="4">
        <f t="shared" si="31"/>
        <v>1247.2017530000001</v>
      </c>
    </row>
    <row r="799" spans="1:12" x14ac:dyDescent="0.3">
      <c r="A799" s="1">
        <v>1797</v>
      </c>
      <c r="B799" s="2">
        <v>45085</v>
      </c>
      <c r="C799" s="1" t="s">
        <v>14</v>
      </c>
      <c r="D799" s="1" t="s">
        <v>88</v>
      </c>
      <c r="E799" s="1" t="s">
        <v>16</v>
      </c>
      <c r="F799" s="1">
        <v>1292.26</v>
      </c>
      <c r="G799" s="1" t="s">
        <v>298</v>
      </c>
      <c r="H799" s="2">
        <v>30410</v>
      </c>
      <c r="I799" s="2">
        <v>45086</v>
      </c>
      <c r="J799" s="1">
        <v>39.590000000000003</v>
      </c>
      <c r="K799" s="4">
        <f t="shared" si="30"/>
        <v>511.60573400000004</v>
      </c>
      <c r="L799" s="4">
        <f t="shared" si="31"/>
        <v>780.65426600000001</v>
      </c>
    </row>
    <row r="800" spans="1:12" x14ac:dyDescent="0.3">
      <c r="A800" s="1">
        <v>1798</v>
      </c>
      <c r="B800" s="2">
        <v>44283</v>
      </c>
      <c r="C800" s="1" t="s">
        <v>14</v>
      </c>
      <c r="D800" s="1" t="s">
        <v>53</v>
      </c>
      <c r="E800" s="1" t="s">
        <v>28</v>
      </c>
      <c r="F800" s="1">
        <v>460.63</v>
      </c>
      <c r="G800" s="1" t="s">
        <v>308</v>
      </c>
      <c r="H800" s="2">
        <v>35336</v>
      </c>
      <c r="I800" s="2">
        <v>44285</v>
      </c>
      <c r="J800" s="1">
        <v>23.3</v>
      </c>
      <c r="K800" s="4">
        <f t="shared" si="30"/>
        <v>107.32679</v>
      </c>
      <c r="L800" s="4">
        <f t="shared" si="31"/>
        <v>353.30320999999998</v>
      </c>
    </row>
    <row r="801" spans="1:12" x14ac:dyDescent="0.3">
      <c r="A801" s="1">
        <v>1799</v>
      </c>
      <c r="B801" s="2">
        <v>44246</v>
      </c>
      <c r="C801" s="1" t="s">
        <v>21</v>
      </c>
      <c r="D801" s="1" t="s">
        <v>36</v>
      </c>
      <c r="E801" s="1" t="s">
        <v>28</v>
      </c>
      <c r="F801" s="1">
        <v>3103.07</v>
      </c>
      <c r="G801" s="1" t="s">
        <v>121</v>
      </c>
      <c r="H801" s="2">
        <v>24580</v>
      </c>
      <c r="I801" s="2">
        <v>44260</v>
      </c>
      <c r="J801" s="1">
        <v>7.78</v>
      </c>
      <c r="K801" s="4">
        <f t="shared" si="30"/>
        <v>241.41884600000003</v>
      </c>
      <c r="L801" s="4">
        <f t="shared" si="31"/>
        <v>2861.6511540000001</v>
      </c>
    </row>
    <row r="802" spans="1:12" x14ac:dyDescent="0.3">
      <c r="A802" s="1">
        <v>1800</v>
      </c>
      <c r="B802" s="2">
        <v>44679</v>
      </c>
      <c r="C802" s="1" t="s">
        <v>35</v>
      </c>
      <c r="D802" s="1" t="s">
        <v>27</v>
      </c>
      <c r="E802" s="1" t="s">
        <v>28</v>
      </c>
      <c r="F802" s="1">
        <v>2611.02</v>
      </c>
      <c r="G802" s="1" t="s">
        <v>263</v>
      </c>
      <c r="H802" s="2">
        <v>35629</v>
      </c>
      <c r="I802" s="2">
        <v>44693</v>
      </c>
      <c r="J802" s="1">
        <v>25.45</v>
      </c>
      <c r="K802" s="4">
        <f t="shared" si="30"/>
        <v>664.50459000000001</v>
      </c>
      <c r="L802" s="4">
        <f t="shared" si="31"/>
        <v>1946.51541</v>
      </c>
    </row>
    <row r="803" spans="1:12" x14ac:dyDescent="0.3">
      <c r="A803" s="1">
        <v>1801</v>
      </c>
      <c r="B803" s="2">
        <v>45314</v>
      </c>
      <c r="C803" s="1" t="s">
        <v>10</v>
      </c>
      <c r="D803" s="1" t="s">
        <v>53</v>
      </c>
      <c r="E803" s="1" t="s">
        <v>28</v>
      </c>
      <c r="F803" s="1">
        <v>3379.46</v>
      </c>
      <c r="G803" s="1" t="s">
        <v>322</v>
      </c>
      <c r="H803" s="2">
        <v>36924</v>
      </c>
      <c r="I803" s="2">
        <v>45325</v>
      </c>
      <c r="J803" s="1">
        <v>7.14</v>
      </c>
      <c r="K803" s="4">
        <f t="shared" si="30"/>
        <v>241.29344399999997</v>
      </c>
      <c r="L803" s="4">
        <f t="shared" si="31"/>
        <v>3138.1665560000001</v>
      </c>
    </row>
    <row r="804" spans="1:12" x14ac:dyDescent="0.3">
      <c r="A804" s="1">
        <v>1802</v>
      </c>
      <c r="B804" s="2">
        <v>44594</v>
      </c>
      <c r="C804" s="1" t="s">
        <v>14</v>
      </c>
      <c r="D804" s="1" t="s">
        <v>18</v>
      </c>
      <c r="E804" s="1" t="s">
        <v>19</v>
      </c>
      <c r="F804" s="1">
        <v>4233.68</v>
      </c>
      <c r="G804" s="1" t="s">
        <v>288</v>
      </c>
      <c r="H804" s="2">
        <v>29810</v>
      </c>
      <c r="I804" s="2">
        <v>44595</v>
      </c>
      <c r="J804" s="1">
        <v>28.97</v>
      </c>
      <c r="K804" s="4">
        <f t="shared" si="30"/>
        <v>1226.4970960000001</v>
      </c>
      <c r="L804" s="4">
        <f t="shared" si="31"/>
        <v>3007.1829040000002</v>
      </c>
    </row>
    <row r="805" spans="1:12" x14ac:dyDescent="0.3">
      <c r="A805" s="1">
        <v>1803</v>
      </c>
      <c r="B805" s="2">
        <v>44989</v>
      </c>
      <c r="C805" s="1" t="s">
        <v>21</v>
      </c>
      <c r="D805" s="1" t="s">
        <v>24</v>
      </c>
      <c r="E805" s="1" t="s">
        <v>19</v>
      </c>
      <c r="F805" s="1">
        <v>3698.7</v>
      </c>
      <c r="G805" s="1" t="s">
        <v>183</v>
      </c>
      <c r="H805" s="2">
        <v>32359</v>
      </c>
      <c r="I805" s="2">
        <v>44994</v>
      </c>
      <c r="J805" s="1">
        <v>23.36</v>
      </c>
      <c r="K805" s="4">
        <f t="shared" si="30"/>
        <v>864.01631999999995</v>
      </c>
      <c r="L805" s="4">
        <f t="shared" si="31"/>
        <v>2834.6836800000001</v>
      </c>
    </row>
    <row r="806" spans="1:12" x14ac:dyDescent="0.3">
      <c r="A806" s="1">
        <v>1804</v>
      </c>
      <c r="B806" s="2">
        <v>44236</v>
      </c>
      <c r="C806" s="1" t="s">
        <v>14</v>
      </c>
      <c r="D806" s="1" t="s">
        <v>69</v>
      </c>
      <c r="E806" s="1" t="s">
        <v>12</v>
      </c>
      <c r="F806" s="1">
        <v>4909.8900000000003</v>
      </c>
      <c r="G806" s="1" t="s">
        <v>169</v>
      </c>
      <c r="H806" s="2">
        <v>37894</v>
      </c>
      <c r="I806" s="2">
        <v>44239</v>
      </c>
      <c r="J806" s="1">
        <v>28.79</v>
      </c>
      <c r="K806" s="4">
        <f t="shared" si="30"/>
        <v>1413.557331</v>
      </c>
      <c r="L806" s="4">
        <f t="shared" si="31"/>
        <v>3496.3326690000004</v>
      </c>
    </row>
    <row r="807" spans="1:12" x14ac:dyDescent="0.3">
      <c r="A807" s="1">
        <v>1805</v>
      </c>
      <c r="B807" s="2">
        <v>45758</v>
      </c>
      <c r="C807" s="1" t="s">
        <v>21</v>
      </c>
      <c r="D807" s="1" t="s">
        <v>30</v>
      </c>
      <c r="E807" s="1" t="s">
        <v>31</v>
      </c>
      <c r="F807" s="1">
        <v>1486.41</v>
      </c>
      <c r="G807" s="1" t="s">
        <v>113</v>
      </c>
      <c r="H807" s="2">
        <v>25579</v>
      </c>
      <c r="I807" s="2">
        <v>45765</v>
      </c>
      <c r="J807" s="1">
        <v>20.07</v>
      </c>
      <c r="K807" s="4">
        <f t="shared" si="30"/>
        <v>298.32248700000002</v>
      </c>
      <c r="L807" s="4">
        <f t="shared" si="31"/>
        <v>1188.0875129999999</v>
      </c>
    </row>
    <row r="808" spans="1:12" x14ac:dyDescent="0.3">
      <c r="A808" s="1">
        <v>1806</v>
      </c>
      <c r="B808" s="2">
        <v>45010</v>
      </c>
      <c r="C808" s="1" t="s">
        <v>21</v>
      </c>
      <c r="D808" s="1" t="s">
        <v>40</v>
      </c>
      <c r="E808" s="1" t="s">
        <v>16</v>
      </c>
      <c r="F808" s="1">
        <v>3827.4</v>
      </c>
      <c r="G808" s="1" t="s">
        <v>260</v>
      </c>
      <c r="H808" s="2">
        <v>38628</v>
      </c>
      <c r="I808" s="2">
        <v>45012</v>
      </c>
      <c r="J808" s="1">
        <v>40.19</v>
      </c>
      <c r="K808" s="4">
        <f t="shared" si="30"/>
        <v>1538.23206</v>
      </c>
      <c r="L808" s="4">
        <f t="shared" si="31"/>
        <v>2289.1679400000003</v>
      </c>
    </row>
    <row r="809" spans="1:12" x14ac:dyDescent="0.3">
      <c r="A809" s="1">
        <v>1807</v>
      </c>
      <c r="B809" s="2">
        <v>45319</v>
      </c>
      <c r="C809" s="1" t="s">
        <v>10</v>
      </c>
      <c r="D809" s="1" t="s">
        <v>88</v>
      </c>
      <c r="E809" s="1" t="s">
        <v>16</v>
      </c>
      <c r="F809" s="1">
        <v>129.44999999999999</v>
      </c>
      <c r="G809" s="1" t="s">
        <v>70</v>
      </c>
      <c r="H809" s="2">
        <v>30887</v>
      </c>
      <c r="I809" s="2">
        <v>45323</v>
      </c>
      <c r="J809" s="1">
        <v>11.55</v>
      </c>
      <c r="K809" s="4">
        <f t="shared" si="30"/>
        <v>14.951474999999999</v>
      </c>
      <c r="L809" s="4">
        <f t="shared" si="31"/>
        <v>114.49852499999999</v>
      </c>
    </row>
    <row r="810" spans="1:12" x14ac:dyDescent="0.3">
      <c r="A810" s="1">
        <v>1808</v>
      </c>
      <c r="B810" s="2">
        <v>44173</v>
      </c>
      <c r="C810" s="1" t="s">
        <v>14</v>
      </c>
      <c r="D810" s="1" t="s">
        <v>69</v>
      </c>
      <c r="E810" s="1" t="s">
        <v>12</v>
      </c>
      <c r="F810" s="1">
        <v>1619.92</v>
      </c>
      <c r="G810" s="1" t="s">
        <v>119</v>
      </c>
      <c r="H810" s="2">
        <v>34954</v>
      </c>
      <c r="I810" s="2">
        <v>44176</v>
      </c>
      <c r="J810" s="1">
        <v>43.03</v>
      </c>
      <c r="K810" s="4">
        <f t="shared" si="30"/>
        <v>697.05157600000007</v>
      </c>
      <c r="L810" s="4">
        <f t="shared" si="31"/>
        <v>922.868424</v>
      </c>
    </row>
    <row r="811" spans="1:12" x14ac:dyDescent="0.3">
      <c r="A811" s="1">
        <v>1809</v>
      </c>
      <c r="B811" s="2">
        <v>44697</v>
      </c>
      <c r="C811" s="1" t="s">
        <v>14</v>
      </c>
      <c r="D811" s="1" t="s">
        <v>38</v>
      </c>
      <c r="E811" s="1" t="s">
        <v>28</v>
      </c>
      <c r="F811" s="1">
        <v>3749.82</v>
      </c>
      <c r="G811" s="1" t="s">
        <v>132</v>
      </c>
      <c r="H811" s="2">
        <v>34364</v>
      </c>
      <c r="I811" s="2">
        <v>44706</v>
      </c>
      <c r="J811" s="1">
        <v>11.58</v>
      </c>
      <c r="K811" s="4">
        <f t="shared" si="30"/>
        <v>434.22915600000005</v>
      </c>
      <c r="L811" s="4">
        <f t="shared" si="31"/>
        <v>3315.5908440000003</v>
      </c>
    </row>
    <row r="812" spans="1:12" x14ac:dyDescent="0.3">
      <c r="A812" s="1">
        <v>1810</v>
      </c>
      <c r="B812" s="2">
        <v>45867</v>
      </c>
      <c r="C812" s="1" t="s">
        <v>21</v>
      </c>
      <c r="D812" s="1" t="s">
        <v>33</v>
      </c>
      <c r="E812" s="1" t="s">
        <v>16</v>
      </c>
      <c r="F812" s="1">
        <v>3858.01</v>
      </c>
      <c r="G812" s="1" t="s">
        <v>181</v>
      </c>
      <c r="H812" s="2">
        <v>25222</v>
      </c>
      <c r="I812" s="2">
        <v>45876</v>
      </c>
      <c r="J812" s="1">
        <v>24.94</v>
      </c>
      <c r="K812" s="4">
        <f t="shared" si="30"/>
        <v>962.18769400000008</v>
      </c>
      <c r="L812" s="4">
        <f t="shared" si="31"/>
        <v>2895.822306</v>
      </c>
    </row>
    <row r="813" spans="1:12" x14ac:dyDescent="0.3">
      <c r="A813" s="1">
        <v>1811</v>
      </c>
      <c r="B813" s="2">
        <v>44834</v>
      </c>
      <c r="C813" s="1" t="s">
        <v>21</v>
      </c>
      <c r="D813" s="1" t="s">
        <v>22</v>
      </c>
      <c r="E813" s="1" t="s">
        <v>19</v>
      </c>
      <c r="F813" s="1">
        <v>170.75</v>
      </c>
      <c r="G813" s="1" t="s">
        <v>105</v>
      </c>
      <c r="H813" s="2">
        <v>35889</v>
      </c>
      <c r="I813" s="2">
        <v>44841</v>
      </c>
      <c r="J813" s="1">
        <v>15.62</v>
      </c>
      <c r="K813" s="4">
        <f t="shared" si="30"/>
        <v>26.671150000000001</v>
      </c>
      <c r="L813" s="4">
        <f t="shared" si="31"/>
        <v>144.07884999999999</v>
      </c>
    </row>
    <row r="814" spans="1:12" x14ac:dyDescent="0.3">
      <c r="A814" s="1">
        <v>1812</v>
      </c>
      <c r="B814" s="2">
        <v>44424</v>
      </c>
      <c r="C814" s="1" t="s">
        <v>26</v>
      </c>
      <c r="D814" s="1" t="s">
        <v>69</v>
      </c>
      <c r="E814" s="1" t="s">
        <v>31</v>
      </c>
      <c r="F814" s="1">
        <v>2457.6999999999998</v>
      </c>
      <c r="G814" s="1" t="s">
        <v>210</v>
      </c>
      <c r="H814" s="2">
        <v>27550</v>
      </c>
      <c r="I814" s="2">
        <v>44425</v>
      </c>
      <c r="J814" s="1">
        <v>27.07</v>
      </c>
      <c r="K814" s="4">
        <f t="shared" si="30"/>
        <v>665.2993899999999</v>
      </c>
      <c r="L814" s="4">
        <f t="shared" si="31"/>
        <v>1792.4006099999999</v>
      </c>
    </row>
    <row r="815" spans="1:12" x14ac:dyDescent="0.3">
      <c r="A815" s="1">
        <v>1813</v>
      </c>
      <c r="B815" s="2">
        <v>45559</v>
      </c>
      <c r="C815" s="1" t="s">
        <v>14</v>
      </c>
      <c r="D815" s="1" t="s">
        <v>47</v>
      </c>
      <c r="E815" s="1" t="s">
        <v>12</v>
      </c>
      <c r="F815" s="1">
        <v>2847.95</v>
      </c>
      <c r="G815" s="1" t="s">
        <v>299</v>
      </c>
      <c r="H815" s="2">
        <v>25863</v>
      </c>
      <c r="I815" s="2">
        <v>45563</v>
      </c>
      <c r="J815" s="1">
        <v>10.87</v>
      </c>
      <c r="K815" s="4">
        <f t="shared" si="30"/>
        <v>309.57216499999993</v>
      </c>
      <c r="L815" s="4">
        <f t="shared" si="31"/>
        <v>2538.3778349999998</v>
      </c>
    </row>
    <row r="816" spans="1:12" x14ac:dyDescent="0.3">
      <c r="A816" s="1">
        <v>1814</v>
      </c>
      <c r="B816" s="2">
        <v>44257</v>
      </c>
      <c r="C816" s="1" t="s">
        <v>14</v>
      </c>
      <c r="D816" s="1" t="s">
        <v>69</v>
      </c>
      <c r="E816" s="1" t="s">
        <v>31</v>
      </c>
      <c r="F816" s="1">
        <v>4804.79</v>
      </c>
      <c r="G816" s="1" t="s">
        <v>111</v>
      </c>
      <c r="H816" s="2">
        <v>34704</v>
      </c>
      <c r="I816" s="2">
        <v>44264</v>
      </c>
      <c r="J816" s="1">
        <v>2.2000000000000002</v>
      </c>
      <c r="K816" s="4">
        <f t="shared" si="30"/>
        <v>105.70538000000001</v>
      </c>
      <c r="L816" s="4">
        <f t="shared" si="31"/>
        <v>4699.0846199999996</v>
      </c>
    </row>
    <row r="817" spans="1:12" x14ac:dyDescent="0.3">
      <c r="A817" s="1">
        <v>1815</v>
      </c>
      <c r="B817" s="2">
        <v>44162</v>
      </c>
      <c r="C817" s="1" t="s">
        <v>35</v>
      </c>
      <c r="D817" s="1" t="s">
        <v>69</v>
      </c>
      <c r="E817" s="1" t="s">
        <v>31</v>
      </c>
      <c r="F817" s="1">
        <v>864.39</v>
      </c>
      <c r="G817" s="1" t="s">
        <v>256</v>
      </c>
      <c r="H817" s="2">
        <v>34537</v>
      </c>
      <c r="I817" s="2">
        <v>44176</v>
      </c>
      <c r="J817" s="1">
        <v>5.48</v>
      </c>
      <c r="K817" s="4">
        <f t="shared" si="30"/>
        <v>47.368572</v>
      </c>
      <c r="L817" s="4">
        <f t="shared" si="31"/>
        <v>817.02142800000001</v>
      </c>
    </row>
    <row r="818" spans="1:12" x14ac:dyDescent="0.3">
      <c r="A818" s="1">
        <v>1816</v>
      </c>
      <c r="B818" s="2">
        <v>45004</v>
      </c>
      <c r="C818" s="1" t="s">
        <v>14</v>
      </c>
      <c r="D818" s="1" t="s">
        <v>69</v>
      </c>
      <c r="E818" s="1" t="s">
        <v>12</v>
      </c>
      <c r="F818" s="1">
        <v>2142.34</v>
      </c>
      <c r="G818" s="1" t="s">
        <v>193</v>
      </c>
      <c r="H818" s="2">
        <v>26082</v>
      </c>
      <c r="I818" s="2">
        <v>45015</v>
      </c>
      <c r="J818" s="1">
        <v>31.97</v>
      </c>
      <c r="K818" s="4">
        <f t="shared" si="30"/>
        <v>684.90609800000004</v>
      </c>
      <c r="L818" s="4">
        <f t="shared" si="31"/>
        <v>1457.4339020000002</v>
      </c>
    </row>
    <row r="819" spans="1:12" x14ac:dyDescent="0.3">
      <c r="A819" s="1">
        <v>1817</v>
      </c>
      <c r="B819" s="2">
        <v>44803</v>
      </c>
      <c r="C819" s="1" t="s">
        <v>35</v>
      </c>
      <c r="D819" s="1" t="s">
        <v>69</v>
      </c>
      <c r="E819" s="1" t="s">
        <v>31</v>
      </c>
      <c r="F819" s="1">
        <v>1944.47</v>
      </c>
      <c r="G819" s="1" t="s">
        <v>323</v>
      </c>
      <c r="H819" s="2">
        <v>33840</v>
      </c>
      <c r="I819" s="2">
        <v>44814</v>
      </c>
      <c r="J819" s="1">
        <v>41.62</v>
      </c>
      <c r="K819" s="4">
        <f t="shared" si="30"/>
        <v>809.28841399999988</v>
      </c>
      <c r="L819" s="4">
        <f t="shared" si="31"/>
        <v>1135.1815860000002</v>
      </c>
    </row>
    <row r="820" spans="1:12" x14ac:dyDescent="0.3">
      <c r="A820" s="1">
        <v>1818</v>
      </c>
      <c r="B820" s="2">
        <v>44499</v>
      </c>
      <c r="C820" s="1" t="s">
        <v>14</v>
      </c>
      <c r="D820" s="1" t="s">
        <v>65</v>
      </c>
      <c r="E820" s="1" t="s">
        <v>19</v>
      </c>
      <c r="F820" s="1">
        <v>791.35</v>
      </c>
      <c r="G820" s="1" t="s">
        <v>128</v>
      </c>
      <c r="H820" s="2">
        <v>37961</v>
      </c>
      <c r="I820" s="2">
        <v>44506</v>
      </c>
      <c r="J820" s="1">
        <v>40.1</v>
      </c>
      <c r="K820" s="4">
        <f t="shared" si="30"/>
        <v>317.33135000000004</v>
      </c>
      <c r="L820" s="4">
        <f t="shared" si="31"/>
        <v>474.01864999999998</v>
      </c>
    </row>
    <row r="821" spans="1:12" x14ac:dyDescent="0.3">
      <c r="A821" s="1">
        <v>1819</v>
      </c>
      <c r="B821" s="2">
        <v>44970</v>
      </c>
      <c r="C821" s="1" t="s">
        <v>35</v>
      </c>
      <c r="D821" s="1" t="s">
        <v>24</v>
      </c>
      <c r="E821" s="1" t="s">
        <v>19</v>
      </c>
      <c r="F821" s="1">
        <v>2156.0700000000002</v>
      </c>
      <c r="G821" s="1" t="s">
        <v>301</v>
      </c>
      <c r="H821" s="2">
        <v>31775</v>
      </c>
      <c r="I821" s="2">
        <v>44983</v>
      </c>
      <c r="J821" s="1">
        <v>27.96</v>
      </c>
      <c r="K821" s="4">
        <f t="shared" si="30"/>
        <v>602.83717200000012</v>
      </c>
      <c r="L821" s="4">
        <f t="shared" si="31"/>
        <v>1553.2328280000002</v>
      </c>
    </row>
    <row r="822" spans="1:12" x14ac:dyDescent="0.3">
      <c r="A822" s="1">
        <v>1820</v>
      </c>
      <c r="B822" s="2">
        <v>44680</v>
      </c>
      <c r="C822" s="1" t="s">
        <v>10</v>
      </c>
      <c r="D822" s="1" t="s">
        <v>24</v>
      </c>
      <c r="E822" s="1" t="s">
        <v>19</v>
      </c>
      <c r="F822" s="1">
        <v>4278.82</v>
      </c>
      <c r="G822" s="1" t="s">
        <v>197</v>
      </c>
      <c r="H822" s="2">
        <v>26001</v>
      </c>
      <c r="I822" s="2">
        <v>44683</v>
      </c>
      <c r="J822" s="1">
        <v>14.22</v>
      </c>
      <c r="K822" s="4">
        <f t="shared" si="30"/>
        <v>608.44820399999992</v>
      </c>
      <c r="L822" s="4">
        <f t="shared" si="31"/>
        <v>3670.3717959999999</v>
      </c>
    </row>
    <row r="823" spans="1:12" x14ac:dyDescent="0.3">
      <c r="A823" s="1">
        <v>1821</v>
      </c>
      <c r="B823" s="2">
        <v>44864</v>
      </c>
      <c r="C823" s="1" t="s">
        <v>21</v>
      </c>
      <c r="D823" s="1" t="s">
        <v>58</v>
      </c>
      <c r="E823" s="1" t="s">
        <v>31</v>
      </c>
      <c r="F823" s="1">
        <v>984.14</v>
      </c>
      <c r="G823" s="1" t="s">
        <v>83</v>
      </c>
      <c r="H823" s="2">
        <v>24673</v>
      </c>
      <c r="I823" s="2">
        <v>44875</v>
      </c>
      <c r="J823" s="1">
        <v>42.34</v>
      </c>
      <c r="K823" s="4">
        <f t="shared" si="30"/>
        <v>416.68487600000003</v>
      </c>
      <c r="L823" s="4">
        <f t="shared" si="31"/>
        <v>567.45512399999996</v>
      </c>
    </row>
    <row r="824" spans="1:12" x14ac:dyDescent="0.3">
      <c r="A824" s="1">
        <v>1822</v>
      </c>
      <c r="B824" s="2">
        <v>44451</v>
      </c>
      <c r="C824" s="1" t="s">
        <v>21</v>
      </c>
      <c r="D824" s="1" t="s">
        <v>58</v>
      </c>
      <c r="E824" s="1" t="s">
        <v>31</v>
      </c>
      <c r="F824" s="1">
        <v>4405.46</v>
      </c>
      <c r="G824" s="1" t="s">
        <v>278</v>
      </c>
      <c r="H824" s="2">
        <v>36036</v>
      </c>
      <c r="I824" s="2">
        <v>44465</v>
      </c>
      <c r="J824" s="1">
        <v>7.38</v>
      </c>
      <c r="K824" s="4">
        <f t="shared" si="30"/>
        <v>325.12294800000001</v>
      </c>
      <c r="L824" s="4">
        <f t="shared" si="31"/>
        <v>4080.3370519999999</v>
      </c>
    </row>
    <row r="825" spans="1:12" x14ac:dyDescent="0.3">
      <c r="A825" s="1">
        <v>1823</v>
      </c>
      <c r="B825" s="2">
        <v>45363</v>
      </c>
      <c r="C825" s="1" t="s">
        <v>10</v>
      </c>
      <c r="D825" s="1" t="s">
        <v>11</v>
      </c>
      <c r="E825" s="1" t="s">
        <v>12</v>
      </c>
      <c r="F825" s="1">
        <v>559.32000000000005</v>
      </c>
      <c r="G825" s="1" t="s">
        <v>192</v>
      </c>
      <c r="H825" s="2">
        <v>33626</v>
      </c>
      <c r="I825" s="2">
        <v>45375</v>
      </c>
      <c r="J825" s="1">
        <v>2.1800000000000002</v>
      </c>
      <c r="K825" s="4">
        <f t="shared" si="30"/>
        <v>12.193176000000001</v>
      </c>
      <c r="L825" s="4">
        <f t="shared" si="31"/>
        <v>547.12682400000006</v>
      </c>
    </row>
    <row r="826" spans="1:12" x14ac:dyDescent="0.3">
      <c r="A826" s="1">
        <v>1824</v>
      </c>
      <c r="B826" s="2">
        <v>44296</v>
      </c>
      <c r="C826" s="1" t="s">
        <v>35</v>
      </c>
      <c r="D826" s="1" t="s">
        <v>69</v>
      </c>
      <c r="E826" s="1" t="s">
        <v>31</v>
      </c>
      <c r="F826" s="1">
        <v>613.32000000000005</v>
      </c>
      <c r="G826" s="1" t="s">
        <v>87</v>
      </c>
      <c r="H826" s="2">
        <v>36012</v>
      </c>
      <c r="I826" s="2">
        <v>44298</v>
      </c>
      <c r="J826" s="1">
        <v>15.05</v>
      </c>
      <c r="K826" s="4">
        <f t="shared" si="30"/>
        <v>92.304659999999998</v>
      </c>
      <c r="L826" s="4">
        <f t="shared" si="31"/>
        <v>521.01534000000004</v>
      </c>
    </row>
    <row r="827" spans="1:12" x14ac:dyDescent="0.3">
      <c r="A827" s="1">
        <v>1825</v>
      </c>
      <c r="B827" s="2">
        <v>44660</v>
      </c>
      <c r="C827" s="1" t="s">
        <v>10</v>
      </c>
      <c r="D827" s="1" t="s">
        <v>102</v>
      </c>
      <c r="E827" s="1" t="s">
        <v>12</v>
      </c>
      <c r="F827" s="1">
        <v>3209.4</v>
      </c>
      <c r="G827" s="1" t="s">
        <v>254</v>
      </c>
      <c r="H827" s="2">
        <v>29366</v>
      </c>
      <c r="I827" s="2">
        <v>44674</v>
      </c>
      <c r="J827" s="1">
        <v>14.74</v>
      </c>
      <c r="K827" s="4">
        <f t="shared" si="30"/>
        <v>473.06556</v>
      </c>
      <c r="L827" s="4">
        <f t="shared" si="31"/>
        <v>2736.3344400000001</v>
      </c>
    </row>
    <row r="828" spans="1:12" x14ac:dyDescent="0.3">
      <c r="A828" s="1">
        <v>1826</v>
      </c>
      <c r="B828" s="2">
        <v>45630</v>
      </c>
      <c r="C828" s="1" t="s">
        <v>14</v>
      </c>
      <c r="D828" s="1" t="s">
        <v>73</v>
      </c>
      <c r="E828" s="1" t="s">
        <v>28</v>
      </c>
      <c r="F828" s="1">
        <v>405.71</v>
      </c>
      <c r="G828" s="1" t="s">
        <v>295</v>
      </c>
      <c r="H828" s="2">
        <v>23369</v>
      </c>
      <c r="I828" s="2">
        <v>45632</v>
      </c>
      <c r="J828" s="1">
        <v>40.61</v>
      </c>
      <c r="K828" s="4">
        <f t="shared" si="30"/>
        <v>164.75883099999999</v>
      </c>
      <c r="L828" s="4">
        <f t="shared" si="31"/>
        <v>240.95116899999999</v>
      </c>
    </row>
    <row r="829" spans="1:12" x14ac:dyDescent="0.3">
      <c r="A829" s="1">
        <v>1827</v>
      </c>
      <c r="B829" s="2">
        <v>45011</v>
      </c>
      <c r="C829" s="1" t="s">
        <v>21</v>
      </c>
      <c r="D829" s="1" t="s">
        <v>44</v>
      </c>
      <c r="E829" s="1" t="s">
        <v>16</v>
      </c>
      <c r="F829" s="1">
        <v>3345.58</v>
      </c>
      <c r="G829" s="1" t="s">
        <v>74</v>
      </c>
      <c r="H829" s="2">
        <v>31224</v>
      </c>
      <c r="I829" s="2">
        <v>45019</v>
      </c>
      <c r="J829" s="1">
        <v>17.25</v>
      </c>
      <c r="K829" s="4">
        <f t="shared" si="30"/>
        <v>577.11254999999994</v>
      </c>
      <c r="L829" s="4">
        <f t="shared" si="31"/>
        <v>2768.4674500000001</v>
      </c>
    </row>
    <row r="830" spans="1:12" x14ac:dyDescent="0.3">
      <c r="A830" s="1">
        <v>1828</v>
      </c>
      <c r="B830" s="2">
        <v>44512</v>
      </c>
      <c r="C830" s="1" t="s">
        <v>21</v>
      </c>
      <c r="D830" s="1" t="s">
        <v>24</v>
      </c>
      <c r="E830" s="1" t="s">
        <v>19</v>
      </c>
      <c r="F830" s="1">
        <v>4628.91</v>
      </c>
      <c r="G830" s="1" t="s">
        <v>62</v>
      </c>
      <c r="H830" s="2">
        <v>22870</v>
      </c>
      <c r="I830" s="2">
        <v>44524</v>
      </c>
      <c r="J830" s="1">
        <v>34.04</v>
      </c>
      <c r="K830" s="4">
        <f t="shared" si="30"/>
        <v>1575.6809639999999</v>
      </c>
      <c r="L830" s="4">
        <f t="shared" si="31"/>
        <v>3053.2290359999997</v>
      </c>
    </row>
    <row r="831" spans="1:12" x14ac:dyDescent="0.3">
      <c r="A831" s="1">
        <v>1829</v>
      </c>
      <c r="B831" s="2">
        <v>44826</v>
      </c>
      <c r="C831" s="1" t="s">
        <v>21</v>
      </c>
      <c r="D831" s="1" t="s">
        <v>33</v>
      </c>
      <c r="E831" s="1" t="s">
        <v>16</v>
      </c>
      <c r="F831" s="1">
        <v>2240.89</v>
      </c>
      <c r="G831" s="1" t="s">
        <v>251</v>
      </c>
      <c r="H831" s="2">
        <v>25440</v>
      </c>
      <c r="I831" s="2">
        <v>44836</v>
      </c>
      <c r="J831" s="1">
        <v>2.46</v>
      </c>
      <c r="K831" s="4">
        <f t="shared" si="30"/>
        <v>55.125893999999995</v>
      </c>
      <c r="L831" s="4">
        <f t="shared" si="31"/>
        <v>2185.7641060000001</v>
      </c>
    </row>
    <row r="832" spans="1:12" x14ac:dyDescent="0.3">
      <c r="A832" s="1">
        <v>1830</v>
      </c>
      <c r="B832" s="2">
        <v>44398</v>
      </c>
      <c r="C832" s="1" t="s">
        <v>10</v>
      </c>
      <c r="D832" s="1" t="s">
        <v>53</v>
      </c>
      <c r="E832" s="1" t="s">
        <v>28</v>
      </c>
      <c r="F832" s="1">
        <v>2312.25</v>
      </c>
      <c r="G832" s="1" t="s">
        <v>269</v>
      </c>
      <c r="H832" s="2">
        <v>30976</v>
      </c>
      <c r="I832" s="2">
        <v>44408</v>
      </c>
      <c r="J832" s="1">
        <v>8.42</v>
      </c>
      <c r="K832" s="4">
        <f t="shared" si="30"/>
        <v>194.69145</v>
      </c>
      <c r="L832" s="4">
        <f t="shared" si="31"/>
        <v>2117.5585500000002</v>
      </c>
    </row>
    <row r="833" spans="1:12" x14ac:dyDescent="0.3">
      <c r="A833" s="1">
        <v>1831</v>
      </c>
      <c r="B833" s="2">
        <v>45459</v>
      </c>
      <c r="C833" s="1" t="s">
        <v>14</v>
      </c>
      <c r="D833" s="1" t="s">
        <v>65</v>
      </c>
      <c r="E833" s="1" t="s">
        <v>19</v>
      </c>
      <c r="F833" s="1">
        <v>2924.35</v>
      </c>
      <c r="G833" s="1" t="s">
        <v>271</v>
      </c>
      <c r="H833" s="2">
        <v>22796</v>
      </c>
      <c r="I833" s="2">
        <v>45466</v>
      </c>
      <c r="J833" s="1">
        <v>28.88</v>
      </c>
      <c r="K833" s="4">
        <f t="shared" si="30"/>
        <v>844.55228</v>
      </c>
      <c r="L833" s="4">
        <f t="shared" si="31"/>
        <v>2079.79772</v>
      </c>
    </row>
    <row r="834" spans="1:12" x14ac:dyDescent="0.3">
      <c r="A834" s="1">
        <v>1832</v>
      </c>
      <c r="B834" s="2">
        <v>44476</v>
      </c>
      <c r="C834" s="1" t="s">
        <v>35</v>
      </c>
      <c r="D834" s="1" t="s">
        <v>22</v>
      </c>
      <c r="E834" s="1" t="s">
        <v>19</v>
      </c>
      <c r="F834" s="1">
        <v>367.38</v>
      </c>
      <c r="G834" s="1" t="s">
        <v>241</v>
      </c>
      <c r="H834" s="2">
        <v>31880</v>
      </c>
      <c r="I834" s="2">
        <v>44483</v>
      </c>
      <c r="J834" s="1">
        <v>34.29</v>
      </c>
      <c r="K834" s="4">
        <f t="shared" si="30"/>
        <v>125.97460199999999</v>
      </c>
      <c r="L834" s="4">
        <f t="shared" si="31"/>
        <v>241.40539799999999</v>
      </c>
    </row>
    <row r="835" spans="1:12" x14ac:dyDescent="0.3">
      <c r="A835" s="1">
        <v>1833</v>
      </c>
      <c r="B835" s="2">
        <v>45659</v>
      </c>
      <c r="C835" s="1" t="s">
        <v>10</v>
      </c>
      <c r="D835" s="1" t="s">
        <v>58</v>
      </c>
      <c r="E835" s="1" t="s">
        <v>31</v>
      </c>
      <c r="F835" s="1">
        <v>4576.63</v>
      </c>
      <c r="G835" s="1" t="s">
        <v>96</v>
      </c>
      <c r="H835" s="2">
        <v>36236</v>
      </c>
      <c r="I835" s="2">
        <v>45671</v>
      </c>
      <c r="J835" s="1">
        <v>18.88</v>
      </c>
      <c r="K835" s="4">
        <f t="shared" ref="K835:K898" si="32">F835*J835%</f>
        <v>864.06774399999995</v>
      </c>
      <c r="L835" s="4">
        <f t="shared" ref="L835:L898" si="33">F835-K835</f>
        <v>3712.5622560000002</v>
      </c>
    </row>
    <row r="836" spans="1:12" x14ac:dyDescent="0.3">
      <c r="A836" s="1">
        <v>1834</v>
      </c>
      <c r="B836" s="2">
        <v>45874</v>
      </c>
      <c r="C836" s="1" t="s">
        <v>26</v>
      </c>
      <c r="D836" s="1" t="s">
        <v>69</v>
      </c>
      <c r="E836" s="1" t="s">
        <v>12</v>
      </c>
      <c r="F836" s="1">
        <v>4328.8599999999997</v>
      </c>
      <c r="G836" s="1" t="s">
        <v>269</v>
      </c>
      <c r="H836" s="2">
        <v>30976</v>
      </c>
      <c r="I836" s="2">
        <v>45882</v>
      </c>
      <c r="J836" s="1">
        <v>2.94</v>
      </c>
      <c r="K836" s="4">
        <f t="shared" si="32"/>
        <v>127.26848399999999</v>
      </c>
      <c r="L836" s="4">
        <f t="shared" si="33"/>
        <v>4201.5915159999995</v>
      </c>
    </row>
    <row r="837" spans="1:12" x14ac:dyDescent="0.3">
      <c r="A837" s="1">
        <v>1835</v>
      </c>
      <c r="B837" s="2">
        <v>44960</v>
      </c>
      <c r="C837" s="1" t="s">
        <v>21</v>
      </c>
      <c r="D837" s="1" t="s">
        <v>33</v>
      </c>
      <c r="E837" s="1" t="s">
        <v>16</v>
      </c>
      <c r="F837" s="1">
        <v>916.62</v>
      </c>
      <c r="G837" s="1" t="s">
        <v>99</v>
      </c>
      <c r="H837" s="2">
        <v>26397</v>
      </c>
      <c r="I837" s="2">
        <v>44961</v>
      </c>
      <c r="J837" s="1">
        <v>34.35</v>
      </c>
      <c r="K837" s="4">
        <f t="shared" si="32"/>
        <v>314.85897</v>
      </c>
      <c r="L837" s="4">
        <f t="shared" si="33"/>
        <v>601.76103000000001</v>
      </c>
    </row>
    <row r="838" spans="1:12" x14ac:dyDescent="0.3">
      <c r="A838" s="1">
        <v>1836</v>
      </c>
      <c r="B838" s="2">
        <v>44353</v>
      </c>
      <c r="C838" s="1" t="s">
        <v>14</v>
      </c>
      <c r="D838" s="1" t="s">
        <v>18</v>
      </c>
      <c r="E838" s="1" t="s">
        <v>19</v>
      </c>
      <c r="F838" s="1">
        <v>1358.61</v>
      </c>
      <c r="G838" s="1" t="s">
        <v>92</v>
      </c>
      <c r="H838" s="2">
        <v>24544</v>
      </c>
      <c r="I838" s="2">
        <v>44355</v>
      </c>
      <c r="J838" s="1">
        <v>34.119999999999997</v>
      </c>
      <c r="K838" s="4">
        <f t="shared" si="32"/>
        <v>463.55773199999987</v>
      </c>
      <c r="L838" s="4">
        <f t="shared" si="33"/>
        <v>895.05226800000003</v>
      </c>
    </row>
    <row r="839" spans="1:12" x14ac:dyDescent="0.3">
      <c r="A839" s="1">
        <v>1837</v>
      </c>
      <c r="B839" s="2">
        <v>44285</v>
      </c>
      <c r="C839" s="1" t="s">
        <v>21</v>
      </c>
      <c r="D839" s="1" t="s">
        <v>30</v>
      </c>
      <c r="E839" s="1" t="s">
        <v>31</v>
      </c>
      <c r="F839" s="1">
        <v>243.73</v>
      </c>
      <c r="G839" s="1" t="s">
        <v>280</v>
      </c>
      <c r="H839" s="2">
        <v>29181</v>
      </c>
      <c r="I839" s="2">
        <v>44289</v>
      </c>
      <c r="J839" s="1">
        <v>24.17</v>
      </c>
      <c r="K839" s="4">
        <f t="shared" si="32"/>
        <v>58.909541000000004</v>
      </c>
      <c r="L839" s="4">
        <f t="shared" si="33"/>
        <v>184.82045899999997</v>
      </c>
    </row>
    <row r="840" spans="1:12" x14ac:dyDescent="0.3">
      <c r="A840" s="1">
        <v>1838</v>
      </c>
      <c r="B840" s="2">
        <v>45254</v>
      </c>
      <c r="C840" s="1" t="s">
        <v>21</v>
      </c>
      <c r="D840" s="1" t="s">
        <v>65</v>
      </c>
      <c r="E840" s="1" t="s">
        <v>19</v>
      </c>
      <c r="F840" s="1">
        <v>990.39</v>
      </c>
      <c r="G840" s="1" t="s">
        <v>233</v>
      </c>
      <c r="H840" s="2">
        <v>38826</v>
      </c>
      <c r="I840" s="2">
        <v>45256</v>
      </c>
      <c r="J840" s="1">
        <v>36.47</v>
      </c>
      <c r="K840" s="4">
        <f t="shared" si="32"/>
        <v>361.19523299999997</v>
      </c>
      <c r="L840" s="4">
        <f t="shared" si="33"/>
        <v>629.19476699999996</v>
      </c>
    </row>
    <row r="841" spans="1:12" x14ac:dyDescent="0.3">
      <c r="A841" s="1">
        <v>1839</v>
      </c>
      <c r="B841" s="2">
        <v>45605</v>
      </c>
      <c r="C841" s="1" t="s">
        <v>21</v>
      </c>
      <c r="D841" s="1" t="s">
        <v>38</v>
      </c>
      <c r="E841" s="1" t="s">
        <v>28</v>
      </c>
      <c r="F841" s="1">
        <v>2593.1999999999998</v>
      </c>
      <c r="G841" s="1" t="s">
        <v>66</v>
      </c>
      <c r="H841" s="2">
        <v>33192</v>
      </c>
      <c r="I841" s="2">
        <v>45613</v>
      </c>
      <c r="J841" s="1">
        <v>10.55</v>
      </c>
      <c r="K841" s="4">
        <f t="shared" si="32"/>
        <v>273.58260000000001</v>
      </c>
      <c r="L841" s="4">
        <f t="shared" si="33"/>
        <v>2319.6173999999996</v>
      </c>
    </row>
    <row r="842" spans="1:12" x14ac:dyDescent="0.3">
      <c r="A842" s="1">
        <v>1840</v>
      </c>
      <c r="B842" s="2">
        <v>44110</v>
      </c>
      <c r="C842" s="1" t="s">
        <v>35</v>
      </c>
      <c r="D842" s="1" t="s">
        <v>33</v>
      </c>
      <c r="E842" s="1" t="s">
        <v>16</v>
      </c>
      <c r="F842" s="1">
        <v>1090.21</v>
      </c>
      <c r="G842" s="1" t="s">
        <v>313</v>
      </c>
      <c r="H842" s="2">
        <v>23039</v>
      </c>
      <c r="I842" s="2">
        <v>44121</v>
      </c>
      <c r="J842" s="1">
        <v>39.01</v>
      </c>
      <c r="K842" s="4">
        <f t="shared" si="32"/>
        <v>425.29092100000003</v>
      </c>
      <c r="L842" s="4">
        <f t="shared" si="33"/>
        <v>664.91907900000001</v>
      </c>
    </row>
    <row r="843" spans="1:12" x14ac:dyDescent="0.3">
      <c r="A843" s="1">
        <v>1841</v>
      </c>
      <c r="B843" s="2">
        <v>44368</v>
      </c>
      <c r="C843" s="1" t="s">
        <v>35</v>
      </c>
      <c r="D843" s="1" t="s">
        <v>73</v>
      </c>
      <c r="E843" s="1" t="s">
        <v>28</v>
      </c>
      <c r="F843" s="1">
        <v>3523.01</v>
      </c>
      <c r="G843" s="1" t="s">
        <v>270</v>
      </c>
      <c r="H843" s="2">
        <v>23245</v>
      </c>
      <c r="I843" s="2">
        <v>44379</v>
      </c>
      <c r="J843" s="1">
        <v>22.07</v>
      </c>
      <c r="K843" s="4">
        <f t="shared" si="32"/>
        <v>777.52830700000004</v>
      </c>
      <c r="L843" s="4">
        <f t="shared" si="33"/>
        <v>2745.4816930000002</v>
      </c>
    </row>
    <row r="844" spans="1:12" x14ac:dyDescent="0.3">
      <c r="A844" s="1">
        <v>1842</v>
      </c>
      <c r="B844" s="2">
        <v>45356</v>
      </c>
      <c r="C844" s="1" t="s">
        <v>26</v>
      </c>
      <c r="D844" s="1" t="s">
        <v>44</v>
      </c>
      <c r="E844" s="1" t="s">
        <v>16</v>
      </c>
      <c r="F844" s="1">
        <v>107.9</v>
      </c>
      <c r="G844" s="1" t="s">
        <v>281</v>
      </c>
      <c r="H844" s="2">
        <v>37927</v>
      </c>
      <c r="I844" s="2">
        <v>45370</v>
      </c>
      <c r="J844" s="1">
        <v>13.2</v>
      </c>
      <c r="K844" s="4">
        <f t="shared" si="32"/>
        <v>14.242800000000001</v>
      </c>
      <c r="L844" s="4">
        <f t="shared" si="33"/>
        <v>93.657200000000003</v>
      </c>
    </row>
    <row r="845" spans="1:12" x14ac:dyDescent="0.3">
      <c r="A845" s="1">
        <v>1843</v>
      </c>
      <c r="B845" s="2">
        <v>44543</v>
      </c>
      <c r="C845" s="1" t="s">
        <v>21</v>
      </c>
      <c r="D845" s="1" t="s">
        <v>53</v>
      </c>
      <c r="E845" s="1" t="s">
        <v>28</v>
      </c>
      <c r="F845" s="1">
        <v>1622.49</v>
      </c>
      <c r="G845" s="1" t="s">
        <v>195</v>
      </c>
      <c r="H845" s="2">
        <v>28065</v>
      </c>
      <c r="I845" s="2">
        <v>44547</v>
      </c>
      <c r="J845" s="1">
        <v>3.71</v>
      </c>
      <c r="K845" s="4">
        <f t="shared" si="32"/>
        <v>60.194379000000005</v>
      </c>
      <c r="L845" s="4">
        <f t="shared" si="33"/>
        <v>1562.295621</v>
      </c>
    </row>
    <row r="846" spans="1:12" x14ac:dyDescent="0.3">
      <c r="A846" s="1">
        <v>1844</v>
      </c>
      <c r="B846" s="2">
        <v>44966</v>
      </c>
      <c r="C846" s="1" t="s">
        <v>14</v>
      </c>
      <c r="D846" s="1" t="s">
        <v>38</v>
      </c>
      <c r="E846" s="1" t="s">
        <v>28</v>
      </c>
      <c r="F846" s="1">
        <v>2212.08</v>
      </c>
      <c r="G846" s="1" t="s">
        <v>97</v>
      </c>
      <c r="H846" s="2">
        <v>24706</v>
      </c>
      <c r="I846" s="2">
        <v>44970</v>
      </c>
      <c r="J846" s="1">
        <v>27.15</v>
      </c>
      <c r="K846" s="4">
        <f t="shared" si="32"/>
        <v>600.57971999999995</v>
      </c>
      <c r="L846" s="4">
        <f t="shared" si="33"/>
        <v>1611.50028</v>
      </c>
    </row>
    <row r="847" spans="1:12" x14ac:dyDescent="0.3">
      <c r="A847" s="1">
        <v>1845</v>
      </c>
      <c r="B847" s="2">
        <v>45409</v>
      </c>
      <c r="C847" s="1" t="s">
        <v>14</v>
      </c>
      <c r="D847" s="1" t="s">
        <v>22</v>
      </c>
      <c r="E847" s="1" t="s">
        <v>19</v>
      </c>
      <c r="F847" s="1">
        <v>3809.6</v>
      </c>
      <c r="G847" s="1" t="s">
        <v>261</v>
      </c>
      <c r="H847" s="2">
        <v>23920</v>
      </c>
      <c r="I847" s="2">
        <v>45414</v>
      </c>
      <c r="J847" s="1">
        <v>1.83</v>
      </c>
      <c r="K847" s="4">
        <f t="shared" si="32"/>
        <v>69.715680000000006</v>
      </c>
      <c r="L847" s="4">
        <f t="shared" si="33"/>
        <v>3739.8843200000001</v>
      </c>
    </row>
    <row r="848" spans="1:12" x14ac:dyDescent="0.3">
      <c r="A848" s="1">
        <v>1846</v>
      </c>
      <c r="B848" s="2">
        <v>44952</v>
      </c>
      <c r="C848" s="1" t="s">
        <v>10</v>
      </c>
      <c r="D848" s="1" t="s">
        <v>30</v>
      </c>
      <c r="E848" s="1" t="s">
        <v>31</v>
      </c>
      <c r="F848" s="1">
        <v>3256.35</v>
      </c>
      <c r="G848" s="1" t="s">
        <v>249</v>
      </c>
      <c r="H848" s="2">
        <v>28555</v>
      </c>
      <c r="I848" s="2">
        <v>44958</v>
      </c>
      <c r="J848" s="1">
        <v>24.45</v>
      </c>
      <c r="K848" s="4">
        <f t="shared" si="32"/>
        <v>796.17757499999993</v>
      </c>
      <c r="L848" s="4">
        <f t="shared" si="33"/>
        <v>2460.1724249999997</v>
      </c>
    </row>
    <row r="849" spans="1:12" x14ac:dyDescent="0.3">
      <c r="A849" s="1">
        <v>1847</v>
      </c>
      <c r="B849" s="2">
        <v>44849</v>
      </c>
      <c r="C849" s="1" t="s">
        <v>21</v>
      </c>
      <c r="D849" s="1" t="s">
        <v>33</v>
      </c>
      <c r="E849" s="1" t="s">
        <v>16</v>
      </c>
      <c r="F849" s="1">
        <v>2688.59</v>
      </c>
      <c r="G849" s="1" t="s">
        <v>158</v>
      </c>
      <c r="H849" s="2">
        <v>34871</v>
      </c>
      <c r="I849" s="2">
        <v>44861</v>
      </c>
      <c r="J849" s="1">
        <v>38.090000000000003</v>
      </c>
      <c r="K849" s="4">
        <f t="shared" si="32"/>
        <v>1024.0839310000001</v>
      </c>
      <c r="L849" s="4">
        <f t="shared" si="33"/>
        <v>1664.506069</v>
      </c>
    </row>
    <row r="850" spans="1:12" x14ac:dyDescent="0.3">
      <c r="A850" s="1">
        <v>1848</v>
      </c>
      <c r="B850" s="2">
        <v>44156</v>
      </c>
      <c r="C850" s="1" t="s">
        <v>21</v>
      </c>
      <c r="D850" s="1" t="s">
        <v>18</v>
      </c>
      <c r="E850" s="1" t="s">
        <v>19</v>
      </c>
      <c r="F850" s="1">
        <v>3719.38</v>
      </c>
      <c r="G850" s="1" t="s">
        <v>264</v>
      </c>
      <c r="H850" s="2">
        <v>30232</v>
      </c>
      <c r="I850" s="2">
        <v>44169</v>
      </c>
      <c r="J850" s="1">
        <v>11</v>
      </c>
      <c r="K850" s="4">
        <f t="shared" si="32"/>
        <v>409.1318</v>
      </c>
      <c r="L850" s="4">
        <f t="shared" si="33"/>
        <v>3310.2482</v>
      </c>
    </row>
    <row r="851" spans="1:12" x14ac:dyDescent="0.3">
      <c r="A851" s="1">
        <v>1849</v>
      </c>
      <c r="B851" s="2">
        <v>45543</v>
      </c>
      <c r="C851" s="1" t="s">
        <v>26</v>
      </c>
      <c r="D851" s="1" t="s">
        <v>38</v>
      </c>
      <c r="E851" s="1" t="s">
        <v>28</v>
      </c>
      <c r="F851" s="1">
        <v>3753.68</v>
      </c>
      <c r="G851" s="1" t="s">
        <v>29</v>
      </c>
      <c r="H851" s="2">
        <v>24033</v>
      </c>
      <c r="I851" s="2">
        <v>45548</v>
      </c>
      <c r="J851" s="1">
        <v>4.47</v>
      </c>
      <c r="K851" s="4">
        <f t="shared" si="32"/>
        <v>167.78949599999999</v>
      </c>
      <c r="L851" s="4">
        <f t="shared" si="33"/>
        <v>3585.890504</v>
      </c>
    </row>
    <row r="852" spans="1:12" x14ac:dyDescent="0.3">
      <c r="A852" s="1">
        <v>1850</v>
      </c>
      <c r="B852" s="2">
        <v>44377</v>
      </c>
      <c r="C852" s="1" t="s">
        <v>10</v>
      </c>
      <c r="D852" s="1" t="s">
        <v>58</v>
      </c>
      <c r="E852" s="1" t="s">
        <v>31</v>
      </c>
      <c r="F852" s="1">
        <v>2546.6</v>
      </c>
      <c r="G852" s="1" t="s">
        <v>79</v>
      </c>
      <c r="H852" s="2">
        <v>28675</v>
      </c>
      <c r="I852" s="2">
        <v>44389</v>
      </c>
      <c r="J852" s="1">
        <v>20</v>
      </c>
      <c r="K852" s="4">
        <f t="shared" si="32"/>
        <v>509.32</v>
      </c>
      <c r="L852" s="4">
        <f t="shared" si="33"/>
        <v>2037.28</v>
      </c>
    </row>
    <row r="853" spans="1:12" x14ac:dyDescent="0.3">
      <c r="A853" s="1">
        <v>1851</v>
      </c>
      <c r="B853" s="2">
        <v>44300</v>
      </c>
      <c r="C853" s="1" t="s">
        <v>10</v>
      </c>
      <c r="D853" s="1" t="s">
        <v>27</v>
      </c>
      <c r="E853" s="1" t="s">
        <v>28</v>
      </c>
      <c r="F853" s="1">
        <v>2154.15</v>
      </c>
      <c r="G853" s="1" t="s">
        <v>115</v>
      </c>
      <c r="H853" s="2">
        <v>29486</v>
      </c>
      <c r="I853" s="2">
        <v>44302</v>
      </c>
      <c r="J853" s="1">
        <v>29.73</v>
      </c>
      <c r="K853" s="4">
        <f t="shared" si="32"/>
        <v>640.42879500000004</v>
      </c>
      <c r="L853" s="4">
        <f t="shared" si="33"/>
        <v>1513.7212050000001</v>
      </c>
    </row>
    <row r="854" spans="1:12" x14ac:dyDescent="0.3">
      <c r="A854" s="1">
        <v>1852</v>
      </c>
      <c r="B854" s="2">
        <v>45095</v>
      </c>
      <c r="C854" s="1" t="s">
        <v>26</v>
      </c>
      <c r="D854" s="1" t="s">
        <v>55</v>
      </c>
      <c r="E854" s="1" t="s">
        <v>31</v>
      </c>
      <c r="F854" s="1">
        <v>2704.11</v>
      </c>
      <c r="G854" s="1" t="s">
        <v>318</v>
      </c>
      <c r="H854" s="2">
        <v>29040</v>
      </c>
      <c r="I854" s="2">
        <v>45105</v>
      </c>
      <c r="J854" s="1">
        <v>47.58</v>
      </c>
      <c r="K854" s="4">
        <f t="shared" si="32"/>
        <v>1286.615538</v>
      </c>
      <c r="L854" s="4">
        <f t="shared" si="33"/>
        <v>1417.4944620000001</v>
      </c>
    </row>
    <row r="855" spans="1:12" x14ac:dyDescent="0.3">
      <c r="A855" s="1">
        <v>1853</v>
      </c>
      <c r="B855" s="2">
        <v>45761</v>
      </c>
      <c r="C855" s="1" t="s">
        <v>26</v>
      </c>
      <c r="D855" s="1" t="s">
        <v>44</v>
      </c>
      <c r="E855" s="1" t="s">
        <v>16</v>
      </c>
      <c r="F855" s="1">
        <v>4847.57</v>
      </c>
      <c r="G855" s="1" t="s">
        <v>129</v>
      </c>
      <c r="H855" s="2">
        <v>26668</v>
      </c>
      <c r="I855" s="2">
        <v>45774</v>
      </c>
      <c r="J855" s="1">
        <v>20.95</v>
      </c>
      <c r="K855" s="4">
        <f t="shared" si="32"/>
        <v>1015.5659149999999</v>
      </c>
      <c r="L855" s="4">
        <f t="shared" si="33"/>
        <v>3832.0040849999996</v>
      </c>
    </row>
    <row r="856" spans="1:12" x14ac:dyDescent="0.3">
      <c r="A856" s="1">
        <v>1854</v>
      </c>
      <c r="B856" s="2">
        <v>44775</v>
      </c>
      <c r="C856" s="1" t="s">
        <v>14</v>
      </c>
      <c r="D856" s="1" t="s">
        <v>102</v>
      </c>
      <c r="E856" s="1" t="s">
        <v>12</v>
      </c>
      <c r="F856" s="1">
        <v>1515.6</v>
      </c>
      <c r="G856" s="1" t="s">
        <v>288</v>
      </c>
      <c r="H856" s="2">
        <v>29810</v>
      </c>
      <c r="I856" s="2">
        <v>44776</v>
      </c>
      <c r="J856" s="1">
        <v>41.79</v>
      </c>
      <c r="K856" s="4">
        <f t="shared" si="32"/>
        <v>633.36923999999999</v>
      </c>
      <c r="L856" s="4">
        <f t="shared" si="33"/>
        <v>882.23075999999992</v>
      </c>
    </row>
    <row r="857" spans="1:12" x14ac:dyDescent="0.3">
      <c r="A857" s="1">
        <v>1855</v>
      </c>
      <c r="B857" s="2">
        <v>45325</v>
      </c>
      <c r="C857" s="1" t="s">
        <v>21</v>
      </c>
      <c r="D857" s="1" t="s">
        <v>40</v>
      </c>
      <c r="E857" s="1" t="s">
        <v>16</v>
      </c>
      <c r="F857" s="1">
        <v>3383.21</v>
      </c>
      <c r="G857" s="1" t="s">
        <v>90</v>
      </c>
      <c r="H857" s="2">
        <v>29348</v>
      </c>
      <c r="I857" s="2">
        <v>45339</v>
      </c>
      <c r="J857" s="1">
        <v>0.5</v>
      </c>
      <c r="K857" s="4">
        <f t="shared" si="32"/>
        <v>16.916050000000002</v>
      </c>
      <c r="L857" s="4">
        <f t="shared" si="33"/>
        <v>3366.2939500000002</v>
      </c>
    </row>
    <row r="858" spans="1:12" x14ac:dyDescent="0.3">
      <c r="A858" s="1">
        <v>1856</v>
      </c>
      <c r="B858" s="2">
        <v>45470</v>
      </c>
      <c r="C858" s="1" t="s">
        <v>21</v>
      </c>
      <c r="D858" s="1" t="s">
        <v>102</v>
      </c>
      <c r="E858" s="1" t="s">
        <v>12</v>
      </c>
      <c r="F858" s="1">
        <v>2564.0300000000002</v>
      </c>
      <c r="G858" s="1" t="s">
        <v>151</v>
      </c>
      <c r="H858" s="2">
        <v>34427</v>
      </c>
      <c r="I858" s="2">
        <v>45472</v>
      </c>
      <c r="J858" s="1">
        <v>18.93</v>
      </c>
      <c r="K858" s="4">
        <f t="shared" si="32"/>
        <v>485.370879</v>
      </c>
      <c r="L858" s="4">
        <f t="shared" si="33"/>
        <v>2078.6591210000001</v>
      </c>
    </row>
    <row r="859" spans="1:12" x14ac:dyDescent="0.3">
      <c r="A859" s="1">
        <v>1857</v>
      </c>
      <c r="B859" s="2">
        <v>44287</v>
      </c>
      <c r="C859" s="1" t="s">
        <v>35</v>
      </c>
      <c r="D859" s="1" t="s">
        <v>36</v>
      </c>
      <c r="E859" s="1" t="s">
        <v>28</v>
      </c>
      <c r="F859" s="1">
        <v>1906.35</v>
      </c>
      <c r="G859" s="1" t="s">
        <v>293</v>
      </c>
      <c r="H859" s="2">
        <v>26379</v>
      </c>
      <c r="I859" s="2">
        <v>44299</v>
      </c>
      <c r="J859" s="1">
        <v>49.06</v>
      </c>
      <c r="K859" s="4">
        <f t="shared" si="32"/>
        <v>935.25531000000001</v>
      </c>
      <c r="L859" s="4">
        <f t="shared" si="33"/>
        <v>971.0946899999999</v>
      </c>
    </row>
    <row r="860" spans="1:12" x14ac:dyDescent="0.3">
      <c r="A860" s="1">
        <v>1858</v>
      </c>
      <c r="B860" s="2">
        <v>44074</v>
      </c>
      <c r="C860" s="1" t="s">
        <v>26</v>
      </c>
      <c r="D860" s="1" t="s">
        <v>47</v>
      </c>
      <c r="E860" s="1" t="s">
        <v>12</v>
      </c>
      <c r="F860" s="1">
        <v>1614.92</v>
      </c>
      <c r="G860" s="1" t="s">
        <v>307</v>
      </c>
      <c r="H860" s="2">
        <v>30321</v>
      </c>
      <c r="I860" s="2">
        <v>44087</v>
      </c>
      <c r="J860" s="1">
        <v>30.95</v>
      </c>
      <c r="K860" s="4">
        <f t="shared" si="32"/>
        <v>499.81774000000001</v>
      </c>
      <c r="L860" s="4">
        <f t="shared" si="33"/>
        <v>1115.1022600000001</v>
      </c>
    </row>
    <row r="861" spans="1:12" x14ac:dyDescent="0.3">
      <c r="A861" s="1">
        <v>1859</v>
      </c>
      <c r="B861" s="2">
        <v>45255</v>
      </c>
      <c r="C861" s="1" t="s">
        <v>21</v>
      </c>
      <c r="D861" s="1" t="s">
        <v>30</v>
      </c>
      <c r="E861" s="1" t="s">
        <v>31</v>
      </c>
      <c r="F861" s="1">
        <v>3361.27</v>
      </c>
      <c r="G861" s="1" t="s">
        <v>152</v>
      </c>
      <c r="H861" s="2">
        <v>24792</v>
      </c>
      <c r="I861" s="2">
        <v>45261</v>
      </c>
      <c r="J861" s="1">
        <v>19.77</v>
      </c>
      <c r="K861" s="4">
        <f t="shared" si="32"/>
        <v>664.52307899999994</v>
      </c>
      <c r="L861" s="4">
        <f t="shared" si="33"/>
        <v>2696.7469209999999</v>
      </c>
    </row>
    <row r="862" spans="1:12" x14ac:dyDescent="0.3">
      <c r="A862" s="1">
        <v>1860</v>
      </c>
      <c r="B862" s="2">
        <v>44742</v>
      </c>
      <c r="C862" s="1" t="s">
        <v>10</v>
      </c>
      <c r="D862" s="1" t="s">
        <v>36</v>
      </c>
      <c r="E862" s="1" t="s">
        <v>28</v>
      </c>
      <c r="F862" s="1">
        <v>4381.4799999999996</v>
      </c>
      <c r="G862" s="1" t="s">
        <v>168</v>
      </c>
      <c r="H862" s="2">
        <v>37674</v>
      </c>
      <c r="I862" s="2">
        <v>44747</v>
      </c>
      <c r="J862" s="1">
        <v>34.39</v>
      </c>
      <c r="K862" s="4">
        <f t="shared" si="32"/>
        <v>1506.7909719999998</v>
      </c>
      <c r="L862" s="4">
        <f t="shared" si="33"/>
        <v>2874.6890279999998</v>
      </c>
    </row>
    <row r="863" spans="1:12" x14ac:dyDescent="0.3">
      <c r="A863" s="1">
        <v>1861</v>
      </c>
      <c r="B863" s="2">
        <v>45363</v>
      </c>
      <c r="C863" s="1" t="s">
        <v>10</v>
      </c>
      <c r="D863" s="1" t="s">
        <v>47</v>
      </c>
      <c r="E863" s="1" t="s">
        <v>12</v>
      </c>
      <c r="F863" s="1">
        <v>1228.29</v>
      </c>
      <c r="G863" s="1" t="s">
        <v>170</v>
      </c>
      <c r="H863" s="2">
        <v>34205</v>
      </c>
      <c r="I863" s="2">
        <v>45369</v>
      </c>
      <c r="J863" s="1">
        <v>37.17</v>
      </c>
      <c r="K863" s="4">
        <f t="shared" si="32"/>
        <v>456.55539300000004</v>
      </c>
      <c r="L863" s="4">
        <f t="shared" si="33"/>
        <v>771.73460699999987</v>
      </c>
    </row>
    <row r="864" spans="1:12" x14ac:dyDescent="0.3">
      <c r="A864" s="1">
        <v>1862</v>
      </c>
      <c r="B864" s="2">
        <v>45341</v>
      </c>
      <c r="C864" s="1" t="s">
        <v>35</v>
      </c>
      <c r="D864" s="1" t="s">
        <v>30</v>
      </c>
      <c r="E864" s="1" t="s">
        <v>31</v>
      </c>
      <c r="F864" s="1">
        <v>4132.25</v>
      </c>
      <c r="G864" s="1" t="s">
        <v>259</v>
      </c>
      <c r="H864" s="2">
        <v>29938</v>
      </c>
      <c r="I864" s="2">
        <v>45351</v>
      </c>
      <c r="J864" s="1">
        <v>5.89</v>
      </c>
      <c r="K864" s="4">
        <f t="shared" si="32"/>
        <v>243.38952499999996</v>
      </c>
      <c r="L864" s="4">
        <f t="shared" si="33"/>
        <v>3888.860475</v>
      </c>
    </row>
    <row r="865" spans="1:12" x14ac:dyDescent="0.3">
      <c r="A865" s="1">
        <v>1863</v>
      </c>
      <c r="B865" s="2">
        <v>45165</v>
      </c>
      <c r="C865" s="1" t="s">
        <v>21</v>
      </c>
      <c r="D865" s="1" t="s">
        <v>24</v>
      </c>
      <c r="E865" s="1" t="s">
        <v>19</v>
      </c>
      <c r="F865" s="1">
        <v>2580.6</v>
      </c>
      <c r="G865" s="1" t="s">
        <v>122</v>
      </c>
      <c r="H865" s="2">
        <v>29720</v>
      </c>
      <c r="I865" s="2">
        <v>45166</v>
      </c>
      <c r="J865" s="1">
        <v>43.12</v>
      </c>
      <c r="K865" s="4">
        <f t="shared" si="32"/>
        <v>1112.7547199999999</v>
      </c>
      <c r="L865" s="4">
        <f t="shared" si="33"/>
        <v>1467.84528</v>
      </c>
    </row>
    <row r="866" spans="1:12" x14ac:dyDescent="0.3">
      <c r="A866" s="1">
        <v>1864</v>
      </c>
      <c r="B866" s="2">
        <v>44130</v>
      </c>
      <c r="C866" s="1" t="s">
        <v>35</v>
      </c>
      <c r="D866" s="1" t="s">
        <v>71</v>
      </c>
      <c r="E866" s="1" t="s">
        <v>31</v>
      </c>
      <c r="F866" s="1">
        <v>3797.46</v>
      </c>
      <c r="G866" s="1" t="s">
        <v>39</v>
      </c>
      <c r="H866" s="2">
        <v>26282</v>
      </c>
      <c r="I866" s="2">
        <v>44133</v>
      </c>
      <c r="J866" s="1">
        <v>12.07</v>
      </c>
      <c r="K866" s="4">
        <f t="shared" si="32"/>
        <v>458.35342200000002</v>
      </c>
      <c r="L866" s="4">
        <f t="shared" si="33"/>
        <v>3339.1065779999999</v>
      </c>
    </row>
    <row r="867" spans="1:12" x14ac:dyDescent="0.3">
      <c r="A867" s="1">
        <v>1865</v>
      </c>
      <c r="B867" s="2">
        <v>44388</v>
      </c>
      <c r="C867" s="1" t="s">
        <v>26</v>
      </c>
      <c r="D867" s="1" t="s">
        <v>18</v>
      </c>
      <c r="E867" s="1" t="s">
        <v>19</v>
      </c>
      <c r="F867" s="1">
        <v>4549.6400000000003</v>
      </c>
      <c r="G867" s="1" t="s">
        <v>179</v>
      </c>
      <c r="H867" s="2">
        <v>30356</v>
      </c>
      <c r="I867" s="2">
        <v>44401</v>
      </c>
      <c r="J867" s="1">
        <v>10.16</v>
      </c>
      <c r="K867" s="4">
        <f t="shared" si="32"/>
        <v>462.243424</v>
      </c>
      <c r="L867" s="4">
        <f t="shared" si="33"/>
        <v>4087.3965760000001</v>
      </c>
    </row>
    <row r="868" spans="1:12" x14ac:dyDescent="0.3">
      <c r="A868" s="1">
        <v>1866</v>
      </c>
      <c r="B868" s="2">
        <v>45399</v>
      </c>
      <c r="C868" s="1" t="s">
        <v>10</v>
      </c>
      <c r="D868" s="1" t="s">
        <v>61</v>
      </c>
      <c r="E868" s="1" t="s">
        <v>19</v>
      </c>
      <c r="F868" s="1">
        <v>1168.96</v>
      </c>
      <c r="G868" s="1" t="s">
        <v>209</v>
      </c>
      <c r="H868" s="2">
        <v>28522</v>
      </c>
      <c r="I868" s="2">
        <v>45401</v>
      </c>
      <c r="J868" s="1">
        <v>28.15</v>
      </c>
      <c r="K868" s="4">
        <f t="shared" si="32"/>
        <v>329.06223999999997</v>
      </c>
      <c r="L868" s="4">
        <f t="shared" si="33"/>
        <v>839.89776000000006</v>
      </c>
    </row>
    <row r="869" spans="1:12" x14ac:dyDescent="0.3">
      <c r="A869" s="1">
        <v>1867</v>
      </c>
      <c r="B869" s="2">
        <v>44281</v>
      </c>
      <c r="C869" s="1" t="s">
        <v>26</v>
      </c>
      <c r="D869" s="1" t="s">
        <v>15</v>
      </c>
      <c r="E869" s="1" t="s">
        <v>16</v>
      </c>
      <c r="F869" s="1">
        <v>1671.07</v>
      </c>
      <c r="G869" s="1" t="s">
        <v>256</v>
      </c>
      <c r="H869" s="2">
        <v>34537</v>
      </c>
      <c r="I869" s="2">
        <v>44282</v>
      </c>
      <c r="J869" s="1">
        <v>24.73</v>
      </c>
      <c r="K869" s="4">
        <f t="shared" si="32"/>
        <v>413.25561099999999</v>
      </c>
      <c r="L869" s="4">
        <f t="shared" si="33"/>
        <v>1257.8143889999999</v>
      </c>
    </row>
    <row r="870" spans="1:12" x14ac:dyDescent="0.3">
      <c r="A870" s="1">
        <v>1868</v>
      </c>
      <c r="B870" s="2">
        <v>44618</v>
      </c>
      <c r="C870" s="1" t="s">
        <v>26</v>
      </c>
      <c r="D870" s="1" t="s">
        <v>40</v>
      </c>
      <c r="E870" s="1" t="s">
        <v>16</v>
      </c>
      <c r="F870" s="1">
        <v>937.21</v>
      </c>
      <c r="G870" s="1" t="s">
        <v>308</v>
      </c>
      <c r="H870" s="2">
        <v>35336</v>
      </c>
      <c r="I870" s="2">
        <v>44625</v>
      </c>
      <c r="J870" s="1">
        <v>17.100000000000001</v>
      </c>
      <c r="K870" s="4">
        <f t="shared" si="32"/>
        <v>160.26291000000001</v>
      </c>
      <c r="L870" s="4">
        <f t="shared" si="33"/>
        <v>776.94709</v>
      </c>
    </row>
    <row r="871" spans="1:12" x14ac:dyDescent="0.3">
      <c r="A871" s="1">
        <v>1869</v>
      </c>
      <c r="B871" s="2">
        <v>44481</v>
      </c>
      <c r="C871" s="1" t="s">
        <v>21</v>
      </c>
      <c r="D871" s="1" t="s">
        <v>18</v>
      </c>
      <c r="E871" s="1" t="s">
        <v>19</v>
      </c>
      <c r="F871" s="1">
        <v>2759.07</v>
      </c>
      <c r="G871" s="1" t="s">
        <v>48</v>
      </c>
      <c r="H871" s="2">
        <v>22315</v>
      </c>
      <c r="I871" s="2">
        <v>44487</v>
      </c>
      <c r="J871" s="1">
        <v>3.82</v>
      </c>
      <c r="K871" s="4">
        <f t="shared" si="32"/>
        <v>105.396474</v>
      </c>
      <c r="L871" s="4">
        <f t="shared" si="33"/>
        <v>2653.673526</v>
      </c>
    </row>
    <row r="872" spans="1:12" x14ac:dyDescent="0.3">
      <c r="A872" s="1">
        <v>1870</v>
      </c>
      <c r="B872" s="2">
        <v>44294</v>
      </c>
      <c r="C872" s="1" t="s">
        <v>35</v>
      </c>
      <c r="D872" s="1" t="s">
        <v>40</v>
      </c>
      <c r="E872" s="1" t="s">
        <v>16</v>
      </c>
      <c r="F872" s="1">
        <v>107.06</v>
      </c>
      <c r="G872" s="1" t="s">
        <v>99</v>
      </c>
      <c r="H872" s="2">
        <v>26397</v>
      </c>
      <c r="I872" s="2">
        <v>44308</v>
      </c>
      <c r="J872" s="1">
        <v>7.95</v>
      </c>
      <c r="K872" s="4">
        <f t="shared" si="32"/>
        <v>8.5112699999999997</v>
      </c>
      <c r="L872" s="4">
        <f t="shared" si="33"/>
        <v>98.548730000000006</v>
      </c>
    </row>
    <row r="873" spans="1:12" x14ac:dyDescent="0.3">
      <c r="A873" s="1">
        <v>1871</v>
      </c>
      <c r="B873" s="2">
        <v>44943</v>
      </c>
      <c r="C873" s="1" t="s">
        <v>21</v>
      </c>
      <c r="D873" s="1" t="s">
        <v>24</v>
      </c>
      <c r="E873" s="1" t="s">
        <v>19</v>
      </c>
      <c r="F873" s="1">
        <v>1991.2</v>
      </c>
      <c r="G873" s="1" t="s">
        <v>151</v>
      </c>
      <c r="H873" s="2">
        <v>34427</v>
      </c>
      <c r="I873" s="2">
        <v>44955</v>
      </c>
      <c r="J873" s="1">
        <v>36.869999999999997</v>
      </c>
      <c r="K873" s="4">
        <f t="shared" si="32"/>
        <v>734.15544</v>
      </c>
      <c r="L873" s="4">
        <f t="shared" si="33"/>
        <v>1257.04456</v>
      </c>
    </row>
    <row r="874" spans="1:12" x14ac:dyDescent="0.3">
      <c r="A874" s="1">
        <v>1872</v>
      </c>
      <c r="B874" s="2">
        <v>45225</v>
      </c>
      <c r="C874" s="1" t="s">
        <v>26</v>
      </c>
      <c r="D874" s="1" t="s">
        <v>27</v>
      </c>
      <c r="E874" s="1" t="s">
        <v>28</v>
      </c>
      <c r="F874" s="1">
        <v>4245.3900000000003</v>
      </c>
      <c r="G874" s="1" t="s">
        <v>17</v>
      </c>
      <c r="H874" s="2">
        <v>26484</v>
      </c>
      <c r="I874" s="2">
        <v>45239</v>
      </c>
      <c r="J874" s="1">
        <v>43.28</v>
      </c>
      <c r="K874" s="4">
        <f t="shared" si="32"/>
        <v>1837.4047920000003</v>
      </c>
      <c r="L874" s="4">
        <f t="shared" si="33"/>
        <v>2407.9852080000001</v>
      </c>
    </row>
    <row r="875" spans="1:12" x14ac:dyDescent="0.3">
      <c r="A875" s="1">
        <v>1873</v>
      </c>
      <c r="B875" s="2">
        <v>44844</v>
      </c>
      <c r="C875" s="1" t="s">
        <v>10</v>
      </c>
      <c r="D875" s="1" t="s">
        <v>47</v>
      </c>
      <c r="E875" s="1" t="s">
        <v>12</v>
      </c>
      <c r="F875" s="1">
        <v>824.63</v>
      </c>
      <c r="G875" s="1" t="s">
        <v>302</v>
      </c>
      <c r="H875" s="2">
        <v>32940</v>
      </c>
      <c r="I875" s="2">
        <v>44857</v>
      </c>
      <c r="J875" s="1">
        <v>18.21</v>
      </c>
      <c r="K875" s="4">
        <f t="shared" si="32"/>
        <v>150.16512300000002</v>
      </c>
      <c r="L875" s="4">
        <f t="shared" si="33"/>
        <v>674.464877</v>
      </c>
    </row>
    <row r="876" spans="1:12" x14ac:dyDescent="0.3">
      <c r="A876" s="1">
        <v>1874</v>
      </c>
      <c r="B876" s="2">
        <v>45511</v>
      </c>
      <c r="C876" s="1" t="s">
        <v>10</v>
      </c>
      <c r="D876" s="1" t="s">
        <v>27</v>
      </c>
      <c r="E876" s="1" t="s">
        <v>28</v>
      </c>
      <c r="F876" s="1">
        <v>3686.64</v>
      </c>
      <c r="G876" s="1" t="s">
        <v>128</v>
      </c>
      <c r="H876" s="2">
        <v>37961</v>
      </c>
      <c r="I876" s="2">
        <v>45515</v>
      </c>
      <c r="J876" s="1">
        <v>29.45</v>
      </c>
      <c r="K876" s="4">
        <f t="shared" si="32"/>
        <v>1085.7154799999998</v>
      </c>
      <c r="L876" s="4">
        <f t="shared" si="33"/>
        <v>2600.92452</v>
      </c>
    </row>
    <row r="877" spans="1:12" x14ac:dyDescent="0.3">
      <c r="A877" s="1">
        <v>1875</v>
      </c>
      <c r="B877" s="2">
        <v>44441</v>
      </c>
      <c r="C877" s="1" t="s">
        <v>35</v>
      </c>
      <c r="D877" s="1" t="s">
        <v>88</v>
      </c>
      <c r="E877" s="1" t="s">
        <v>16</v>
      </c>
      <c r="F877" s="1">
        <v>4552.8100000000004</v>
      </c>
      <c r="G877" s="1" t="s">
        <v>242</v>
      </c>
      <c r="H877" s="2">
        <v>21785</v>
      </c>
      <c r="I877" s="2">
        <v>44447</v>
      </c>
      <c r="J877" s="1">
        <v>24.52</v>
      </c>
      <c r="K877" s="4">
        <f t="shared" si="32"/>
        <v>1116.3490120000001</v>
      </c>
      <c r="L877" s="4">
        <f t="shared" si="33"/>
        <v>3436.4609880000003</v>
      </c>
    </row>
    <row r="878" spans="1:12" x14ac:dyDescent="0.3">
      <c r="A878" s="1">
        <v>1876</v>
      </c>
      <c r="B878" s="2">
        <v>44153</v>
      </c>
      <c r="C878" s="1" t="s">
        <v>14</v>
      </c>
      <c r="D878" s="1" t="s">
        <v>69</v>
      </c>
      <c r="E878" s="1" t="s">
        <v>12</v>
      </c>
      <c r="F878" s="1">
        <v>4191.99</v>
      </c>
      <c r="G878" s="1" t="s">
        <v>41</v>
      </c>
      <c r="H878" s="2">
        <v>35818</v>
      </c>
      <c r="I878" s="2">
        <v>44157</v>
      </c>
      <c r="J878" s="1">
        <v>49.69</v>
      </c>
      <c r="K878" s="4">
        <f t="shared" si="32"/>
        <v>2082.9998309999996</v>
      </c>
      <c r="L878" s="4">
        <f t="shared" si="33"/>
        <v>2108.9901690000002</v>
      </c>
    </row>
    <row r="879" spans="1:12" x14ac:dyDescent="0.3">
      <c r="A879" s="1">
        <v>1877</v>
      </c>
      <c r="B879" s="2">
        <v>45420</v>
      </c>
      <c r="C879" s="1" t="s">
        <v>21</v>
      </c>
      <c r="D879" s="1" t="s">
        <v>55</v>
      </c>
      <c r="E879" s="1" t="s">
        <v>31</v>
      </c>
      <c r="F879" s="1">
        <v>2333.7399999999998</v>
      </c>
      <c r="G879" s="1" t="s">
        <v>275</v>
      </c>
      <c r="H879" s="2">
        <v>38510</v>
      </c>
      <c r="I879" s="2">
        <v>45423</v>
      </c>
      <c r="J879" s="1">
        <v>19</v>
      </c>
      <c r="K879" s="4">
        <f t="shared" si="32"/>
        <v>443.41059999999999</v>
      </c>
      <c r="L879" s="4">
        <f t="shared" si="33"/>
        <v>1890.3293999999999</v>
      </c>
    </row>
    <row r="880" spans="1:12" x14ac:dyDescent="0.3">
      <c r="A880" s="1">
        <v>1878</v>
      </c>
      <c r="B880" s="2">
        <v>45672</v>
      </c>
      <c r="C880" s="1" t="s">
        <v>21</v>
      </c>
      <c r="D880" s="1" t="s">
        <v>58</v>
      </c>
      <c r="E880" s="1" t="s">
        <v>31</v>
      </c>
      <c r="F880" s="1">
        <v>2214.59</v>
      </c>
      <c r="G880" s="1" t="s">
        <v>246</v>
      </c>
      <c r="H880" s="2">
        <v>25815</v>
      </c>
      <c r="I880" s="2">
        <v>45680</v>
      </c>
      <c r="J880" s="1">
        <v>35.99</v>
      </c>
      <c r="K880" s="4">
        <f t="shared" si="32"/>
        <v>797.0309410000001</v>
      </c>
      <c r="L880" s="4">
        <f t="shared" si="33"/>
        <v>1417.5590590000002</v>
      </c>
    </row>
    <row r="881" spans="1:12" x14ac:dyDescent="0.3">
      <c r="A881" s="1">
        <v>1879</v>
      </c>
      <c r="B881" s="2">
        <v>45408</v>
      </c>
      <c r="C881" s="1" t="s">
        <v>35</v>
      </c>
      <c r="D881" s="1" t="s">
        <v>61</v>
      </c>
      <c r="E881" s="1" t="s">
        <v>19</v>
      </c>
      <c r="F881" s="1">
        <v>4760.96</v>
      </c>
      <c r="G881" s="1" t="s">
        <v>302</v>
      </c>
      <c r="H881" s="2">
        <v>32940</v>
      </c>
      <c r="I881" s="2">
        <v>45419</v>
      </c>
      <c r="J881" s="1">
        <v>35.76</v>
      </c>
      <c r="K881" s="4">
        <f t="shared" si="32"/>
        <v>1702.5192959999999</v>
      </c>
      <c r="L881" s="4">
        <f t="shared" si="33"/>
        <v>3058.4407040000001</v>
      </c>
    </row>
    <row r="882" spans="1:12" x14ac:dyDescent="0.3">
      <c r="A882" s="1">
        <v>1880</v>
      </c>
      <c r="B882" s="2">
        <v>45566</v>
      </c>
      <c r="C882" s="1" t="s">
        <v>10</v>
      </c>
      <c r="D882" s="1" t="s">
        <v>102</v>
      </c>
      <c r="E882" s="1" t="s">
        <v>12</v>
      </c>
      <c r="F882" s="1">
        <v>3235.85</v>
      </c>
      <c r="G882" s="1" t="s">
        <v>182</v>
      </c>
      <c r="H882" s="2">
        <v>24719</v>
      </c>
      <c r="I882" s="2">
        <v>45571</v>
      </c>
      <c r="J882" s="1">
        <v>45.02</v>
      </c>
      <c r="K882" s="4">
        <f t="shared" si="32"/>
        <v>1456.7796700000001</v>
      </c>
      <c r="L882" s="4">
        <f t="shared" si="33"/>
        <v>1779.0703299999998</v>
      </c>
    </row>
    <row r="883" spans="1:12" x14ac:dyDescent="0.3">
      <c r="A883" s="1">
        <v>1881</v>
      </c>
      <c r="B883" s="2">
        <v>44299</v>
      </c>
      <c r="C883" s="1" t="s">
        <v>21</v>
      </c>
      <c r="D883" s="1" t="s">
        <v>49</v>
      </c>
      <c r="E883" s="1" t="s">
        <v>12</v>
      </c>
      <c r="F883" s="1">
        <v>126.77</v>
      </c>
      <c r="G883" s="1" t="s">
        <v>60</v>
      </c>
      <c r="H883" s="2">
        <v>33482</v>
      </c>
      <c r="I883" s="2">
        <v>44306</v>
      </c>
      <c r="J883" s="1">
        <v>22.3</v>
      </c>
      <c r="K883" s="4">
        <f t="shared" si="32"/>
        <v>28.26971</v>
      </c>
      <c r="L883" s="4">
        <f t="shared" si="33"/>
        <v>98.500289999999993</v>
      </c>
    </row>
    <row r="884" spans="1:12" x14ac:dyDescent="0.3">
      <c r="A884" s="1">
        <v>1882</v>
      </c>
      <c r="B884" s="2">
        <v>44507</v>
      </c>
      <c r="C884" s="1" t="s">
        <v>10</v>
      </c>
      <c r="D884" s="1" t="s">
        <v>30</v>
      </c>
      <c r="E884" s="1" t="s">
        <v>31</v>
      </c>
      <c r="F884" s="1">
        <v>1293.52</v>
      </c>
      <c r="G884" s="1" t="s">
        <v>227</v>
      </c>
      <c r="H884" s="2">
        <v>34932</v>
      </c>
      <c r="I884" s="2">
        <v>44508</v>
      </c>
      <c r="J884" s="1">
        <v>14.31</v>
      </c>
      <c r="K884" s="4">
        <f t="shared" si="32"/>
        <v>185.102712</v>
      </c>
      <c r="L884" s="4">
        <f t="shared" si="33"/>
        <v>1108.4172880000001</v>
      </c>
    </row>
    <row r="885" spans="1:12" x14ac:dyDescent="0.3">
      <c r="A885" s="1">
        <v>1883</v>
      </c>
      <c r="B885" s="2">
        <v>45054</v>
      </c>
      <c r="C885" s="1" t="s">
        <v>35</v>
      </c>
      <c r="D885" s="1" t="s">
        <v>49</v>
      </c>
      <c r="E885" s="1" t="s">
        <v>12</v>
      </c>
      <c r="F885" s="1">
        <v>317.56</v>
      </c>
      <c r="G885" s="1" t="s">
        <v>156</v>
      </c>
      <c r="H885" s="2">
        <v>38693</v>
      </c>
      <c r="I885" s="2">
        <v>45061</v>
      </c>
      <c r="J885" s="1">
        <v>1.25</v>
      </c>
      <c r="K885" s="4">
        <f t="shared" si="32"/>
        <v>3.9695</v>
      </c>
      <c r="L885" s="4">
        <f t="shared" si="33"/>
        <v>313.59050000000002</v>
      </c>
    </row>
    <row r="886" spans="1:12" x14ac:dyDescent="0.3">
      <c r="A886" s="1">
        <v>1884</v>
      </c>
      <c r="B886" s="2">
        <v>45504</v>
      </c>
      <c r="C886" s="1" t="s">
        <v>35</v>
      </c>
      <c r="D886" s="1" t="s">
        <v>47</v>
      </c>
      <c r="E886" s="1" t="s">
        <v>12</v>
      </c>
      <c r="F886" s="1">
        <v>2637.23</v>
      </c>
      <c r="G886" s="1" t="s">
        <v>183</v>
      </c>
      <c r="H886" s="2">
        <v>32359</v>
      </c>
      <c r="I886" s="2">
        <v>45507</v>
      </c>
      <c r="J886" s="1">
        <v>31.36</v>
      </c>
      <c r="K886" s="4">
        <f t="shared" si="32"/>
        <v>827.03532799999994</v>
      </c>
      <c r="L886" s="4">
        <f t="shared" si="33"/>
        <v>1810.1946720000001</v>
      </c>
    </row>
    <row r="887" spans="1:12" x14ac:dyDescent="0.3">
      <c r="A887" s="1">
        <v>1885</v>
      </c>
      <c r="B887" s="2">
        <v>45328</v>
      </c>
      <c r="C887" s="1" t="s">
        <v>14</v>
      </c>
      <c r="D887" s="1" t="s">
        <v>22</v>
      </c>
      <c r="E887" s="1" t="s">
        <v>19</v>
      </c>
      <c r="F887" s="1">
        <v>224.05</v>
      </c>
      <c r="G887" s="1" t="s">
        <v>313</v>
      </c>
      <c r="H887" s="2">
        <v>23039</v>
      </c>
      <c r="I887" s="2">
        <v>45331</v>
      </c>
      <c r="J887" s="1">
        <v>32.409999999999997</v>
      </c>
      <c r="K887" s="4">
        <f t="shared" si="32"/>
        <v>72.614604999999997</v>
      </c>
      <c r="L887" s="4">
        <f t="shared" si="33"/>
        <v>151.43539500000003</v>
      </c>
    </row>
    <row r="888" spans="1:12" x14ac:dyDescent="0.3">
      <c r="A888" s="1">
        <v>1886</v>
      </c>
      <c r="B888" s="2">
        <v>44555</v>
      </c>
      <c r="C888" s="1" t="s">
        <v>21</v>
      </c>
      <c r="D888" s="1" t="s">
        <v>102</v>
      </c>
      <c r="E888" s="1" t="s">
        <v>12</v>
      </c>
      <c r="F888" s="1">
        <v>4477.01</v>
      </c>
      <c r="G888" s="1" t="s">
        <v>276</v>
      </c>
      <c r="H888" s="2">
        <v>33394</v>
      </c>
      <c r="I888" s="2">
        <v>44566</v>
      </c>
      <c r="J888" s="1">
        <v>47.62</v>
      </c>
      <c r="K888" s="4">
        <f t="shared" si="32"/>
        <v>2131.952162</v>
      </c>
      <c r="L888" s="4">
        <f t="shared" si="33"/>
        <v>2345.0578380000002</v>
      </c>
    </row>
    <row r="889" spans="1:12" x14ac:dyDescent="0.3">
      <c r="A889" s="1">
        <v>1887</v>
      </c>
      <c r="B889" s="2">
        <v>44535</v>
      </c>
      <c r="C889" s="1" t="s">
        <v>14</v>
      </c>
      <c r="D889" s="1" t="s">
        <v>33</v>
      </c>
      <c r="E889" s="1" t="s">
        <v>16</v>
      </c>
      <c r="F889" s="1">
        <v>3116.12</v>
      </c>
      <c r="G889" s="1" t="s">
        <v>105</v>
      </c>
      <c r="H889" s="2">
        <v>35889</v>
      </c>
      <c r="I889" s="2">
        <v>44548</v>
      </c>
      <c r="J889" s="1">
        <v>2.15</v>
      </c>
      <c r="K889" s="4">
        <f t="shared" si="32"/>
        <v>66.996579999999994</v>
      </c>
      <c r="L889" s="4">
        <f t="shared" si="33"/>
        <v>3049.1234199999999</v>
      </c>
    </row>
    <row r="890" spans="1:12" x14ac:dyDescent="0.3">
      <c r="A890" s="1">
        <v>1888</v>
      </c>
      <c r="B890" s="2">
        <v>45855</v>
      </c>
      <c r="C890" s="1" t="s">
        <v>14</v>
      </c>
      <c r="D890" s="1" t="s">
        <v>36</v>
      </c>
      <c r="E890" s="1" t="s">
        <v>28</v>
      </c>
      <c r="F890" s="1">
        <v>2568.29</v>
      </c>
      <c r="G890" s="1" t="s">
        <v>92</v>
      </c>
      <c r="H890" s="2">
        <v>24544</v>
      </c>
      <c r="I890" s="2">
        <v>45856</v>
      </c>
      <c r="J890" s="1">
        <v>45.28</v>
      </c>
      <c r="K890" s="4">
        <f t="shared" si="32"/>
        <v>1162.9217120000001</v>
      </c>
      <c r="L890" s="4">
        <f t="shared" si="33"/>
        <v>1405.3682879999999</v>
      </c>
    </row>
    <row r="891" spans="1:12" x14ac:dyDescent="0.3">
      <c r="A891" s="1">
        <v>1889</v>
      </c>
      <c r="B891" s="2">
        <v>45770</v>
      </c>
      <c r="C891" s="1" t="s">
        <v>26</v>
      </c>
      <c r="D891" s="1" t="s">
        <v>27</v>
      </c>
      <c r="E891" s="1" t="s">
        <v>28</v>
      </c>
      <c r="F891" s="1">
        <v>3969.72</v>
      </c>
      <c r="G891" s="1" t="s">
        <v>25</v>
      </c>
      <c r="H891" s="2">
        <v>33386</v>
      </c>
      <c r="I891" s="2">
        <v>45782</v>
      </c>
      <c r="J891" s="1">
        <v>27.89</v>
      </c>
      <c r="K891" s="4">
        <f t="shared" si="32"/>
        <v>1107.154908</v>
      </c>
      <c r="L891" s="4">
        <f t="shared" si="33"/>
        <v>2862.5650919999998</v>
      </c>
    </row>
    <row r="892" spans="1:12" x14ac:dyDescent="0.3">
      <c r="A892" s="1">
        <v>1890</v>
      </c>
      <c r="B892" s="2">
        <v>44206</v>
      </c>
      <c r="C892" s="1" t="s">
        <v>26</v>
      </c>
      <c r="D892" s="1" t="s">
        <v>61</v>
      </c>
      <c r="E892" s="1" t="s">
        <v>19</v>
      </c>
      <c r="F892" s="1">
        <v>1915.12</v>
      </c>
      <c r="G892" s="1" t="s">
        <v>138</v>
      </c>
      <c r="H892" s="2">
        <v>25948</v>
      </c>
      <c r="I892" s="2">
        <v>44209</v>
      </c>
      <c r="J892" s="1">
        <v>3.09</v>
      </c>
      <c r="K892" s="4">
        <f t="shared" si="32"/>
        <v>59.177207999999993</v>
      </c>
      <c r="L892" s="4">
        <f t="shared" si="33"/>
        <v>1855.9427919999998</v>
      </c>
    </row>
    <row r="893" spans="1:12" x14ac:dyDescent="0.3">
      <c r="A893" s="1">
        <v>1891</v>
      </c>
      <c r="B893" s="2">
        <v>44188</v>
      </c>
      <c r="C893" s="1" t="s">
        <v>35</v>
      </c>
      <c r="D893" s="1" t="s">
        <v>15</v>
      </c>
      <c r="E893" s="1" t="s">
        <v>16</v>
      </c>
      <c r="F893" s="1">
        <v>2591.71</v>
      </c>
      <c r="G893" s="1" t="s">
        <v>43</v>
      </c>
      <c r="H893" s="2">
        <v>33702</v>
      </c>
      <c r="I893" s="2">
        <v>44192</v>
      </c>
      <c r="J893" s="1">
        <v>19.28</v>
      </c>
      <c r="K893" s="4">
        <f t="shared" si="32"/>
        <v>499.68168800000001</v>
      </c>
      <c r="L893" s="4">
        <f t="shared" si="33"/>
        <v>2092.0283119999999</v>
      </c>
    </row>
    <row r="894" spans="1:12" x14ac:dyDescent="0.3">
      <c r="A894" s="1">
        <v>1892</v>
      </c>
      <c r="B894" s="2">
        <v>45271</v>
      </c>
      <c r="C894" s="1" t="s">
        <v>10</v>
      </c>
      <c r="D894" s="1" t="s">
        <v>27</v>
      </c>
      <c r="E894" s="1" t="s">
        <v>28</v>
      </c>
      <c r="F894" s="1">
        <v>1237.6600000000001</v>
      </c>
      <c r="G894" s="1" t="s">
        <v>135</v>
      </c>
      <c r="H894" s="2">
        <v>38018</v>
      </c>
      <c r="I894" s="2">
        <v>45272</v>
      </c>
      <c r="J894" s="1">
        <v>31.1</v>
      </c>
      <c r="K894" s="4">
        <f t="shared" si="32"/>
        <v>384.91226</v>
      </c>
      <c r="L894" s="4">
        <f t="shared" si="33"/>
        <v>852.74774000000002</v>
      </c>
    </row>
    <row r="895" spans="1:12" x14ac:dyDescent="0.3">
      <c r="A895" s="1">
        <v>1893</v>
      </c>
      <c r="B895" s="2">
        <v>44597</v>
      </c>
      <c r="C895" s="1" t="s">
        <v>35</v>
      </c>
      <c r="D895" s="1" t="s">
        <v>27</v>
      </c>
      <c r="E895" s="1" t="s">
        <v>28</v>
      </c>
      <c r="F895" s="1">
        <v>1953.69</v>
      </c>
      <c r="G895" s="1" t="s">
        <v>163</v>
      </c>
      <c r="H895" s="2">
        <v>30364</v>
      </c>
      <c r="I895" s="2">
        <v>44611</v>
      </c>
      <c r="J895" s="1">
        <v>32.869999999999997</v>
      </c>
      <c r="K895" s="4">
        <f t="shared" si="32"/>
        <v>642.17790300000001</v>
      </c>
      <c r="L895" s="4">
        <f t="shared" si="33"/>
        <v>1311.512097</v>
      </c>
    </row>
    <row r="896" spans="1:12" x14ac:dyDescent="0.3">
      <c r="A896" s="1">
        <v>1894</v>
      </c>
      <c r="B896" s="2">
        <v>45044</v>
      </c>
      <c r="C896" s="1" t="s">
        <v>14</v>
      </c>
      <c r="D896" s="1" t="s">
        <v>47</v>
      </c>
      <c r="E896" s="1" t="s">
        <v>12</v>
      </c>
      <c r="F896" s="1">
        <v>1348.53</v>
      </c>
      <c r="G896" s="1" t="s">
        <v>127</v>
      </c>
      <c r="H896" s="2">
        <v>31846</v>
      </c>
      <c r="I896" s="2">
        <v>45058</v>
      </c>
      <c r="J896" s="1">
        <v>37.67</v>
      </c>
      <c r="K896" s="4">
        <f t="shared" si="32"/>
        <v>507.99125100000003</v>
      </c>
      <c r="L896" s="4">
        <f t="shared" si="33"/>
        <v>840.53874899999994</v>
      </c>
    </row>
    <row r="897" spans="1:12" x14ac:dyDescent="0.3">
      <c r="A897" s="1">
        <v>1895</v>
      </c>
      <c r="B897" s="2">
        <v>45847</v>
      </c>
      <c r="C897" s="1" t="s">
        <v>26</v>
      </c>
      <c r="D897" s="1" t="s">
        <v>58</v>
      </c>
      <c r="E897" s="1" t="s">
        <v>31</v>
      </c>
      <c r="F897" s="1">
        <v>1426.01</v>
      </c>
      <c r="G897" s="1" t="s">
        <v>101</v>
      </c>
      <c r="H897" s="2">
        <v>31331</v>
      </c>
      <c r="I897" s="2">
        <v>45851</v>
      </c>
      <c r="J897" s="1">
        <v>26.73</v>
      </c>
      <c r="K897" s="4">
        <f t="shared" si="32"/>
        <v>381.17247299999997</v>
      </c>
      <c r="L897" s="4">
        <f t="shared" si="33"/>
        <v>1044.8375270000001</v>
      </c>
    </row>
    <row r="898" spans="1:12" x14ac:dyDescent="0.3">
      <c r="A898" s="1">
        <v>1896</v>
      </c>
      <c r="B898" s="2">
        <v>44786</v>
      </c>
      <c r="C898" s="1" t="s">
        <v>35</v>
      </c>
      <c r="D898" s="1" t="s">
        <v>53</v>
      </c>
      <c r="E898" s="1" t="s">
        <v>28</v>
      </c>
      <c r="F898" s="1">
        <v>4689.82</v>
      </c>
      <c r="G898" s="1" t="s">
        <v>317</v>
      </c>
      <c r="H898" s="2">
        <v>32196</v>
      </c>
      <c r="I898" s="2">
        <v>44796</v>
      </c>
      <c r="J898" s="1">
        <v>28.56</v>
      </c>
      <c r="K898" s="4">
        <f t="shared" si="32"/>
        <v>1339.4125919999997</v>
      </c>
      <c r="L898" s="4">
        <f t="shared" si="33"/>
        <v>3350.407408</v>
      </c>
    </row>
    <row r="899" spans="1:12" x14ac:dyDescent="0.3">
      <c r="A899" s="1">
        <v>1897</v>
      </c>
      <c r="B899" s="2">
        <v>44225</v>
      </c>
      <c r="C899" s="1" t="s">
        <v>21</v>
      </c>
      <c r="D899" s="1" t="s">
        <v>65</v>
      </c>
      <c r="E899" s="1" t="s">
        <v>19</v>
      </c>
      <c r="F899" s="1">
        <v>2668.25</v>
      </c>
      <c r="G899" s="1" t="s">
        <v>188</v>
      </c>
      <c r="H899" s="2">
        <v>31467</v>
      </c>
      <c r="I899" s="2">
        <v>44232</v>
      </c>
      <c r="J899" s="1">
        <v>16.52</v>
      </c>
      <c r="K899" s="4">
        <f t="shared" ref="K899:K962" si="34">F899*J899%</f>
        <v>440.79489999999998</v>
      </c>
      <c r="L899" s="4">
        <f t="shared" ref="L899:L962" si="35">F899-K899</f>
        <v>2227.4551000000001</v>
      </c>
    </row>
    <row r="900" spans="1:12" x14ac:dyDescent="0.3">
      <c r="A900" s="1">
        <v>1898</v>
      </c>
      <c r="B900" s="2">
        <v>44273</v>
      </c>
      <c r="C900" s="1" t="s">
        <v>35</v>
      </c>
      <c r="D900" s="1" t="s">
        <v>71</v>
      </c>
      <c r="E900" s="1" t="s">
        <v>31</v>
      </c>
      <c r="F900" s="1">
        <v>3591.29</v>
      </c>
      <c r="G900" s="1" t="s">
        <v>235</v>
      </c>
      <c r="H900" s="2">
        <v>36760</v>
      </c>
      <c r="I900" s="2">
        <v>44283</v>
      </c>
      <c r="J900" s="1">
        <v>11.69</v>
      </c>
      <c r="K900" s="4">
        <f t="shared" si="34"/>
        <v>419.82180099999994</v>
      </c>
      <c r="L900" s="4">
        <f t="shared" si="35"/>
        <v>3171.4681989999999</v>
      </c>
    </row>
    <row r="901" spans="1:12" x14ac:dyDescent="0.3">
      <c r="A901" s="1">
        <v>1899</v>
      </c>
      <c r="B901" s="2">
        <v>45325</v>
      </c>
      <c r="C901" s="1" t="s">
        <v>10</v>
      </c>
      <c r="D901" s="1" t="s">
        <v>88</v>
      </c>
      <c r="E901" s="1" t="s">
        <v>16</v>
      </c>
      <c r="F901" s="1">
        <v>1048.28</v>
      </c>
      <c r="G901" s="1" t="s">
        <v>204</v>
      </c>
      <c r="H901" s="2">
        <v>23718</v>
      </c>
      <c r="I901" s="2">
        <v>45326</v>
      </c>
      <c r="J901" s="1">
        <v>24.55</v>
      </c>
      <c r="K901" s="4">
        <f t="shared" si="34"/>
        <v>257.35273999999998</v>
      </c>
      <c r="L901" s="4">
        <f t="shared" si="35"/>
        <v>790.92725999999993</v>
      </c>
    </row>
    <row r="902" spans="1:12" x14ac:dyDescent="0.3">
      <c r="A902" s="1">
        <v>1900</v>
      </c>
      <c r="B902" s="2">
        <v>45824</v>
      </c>
      <c r="C902" s="1" t="s">
        <v>10</v>
      </c>
      <c r="D902" s="1" t="s">
        <v>27</v>
      </c>
      <c r="E902" s="1" t="s">
        <v>28</v>
      </c>
      <c r="F902" s="1">
        <v>3162.97</v>
      </c>
      <c r="G902" s="1" t="s">
        <v>236</v>
      </c>
      <c r="H902" s="2">
        <v>36099</v>
      </c>
      <c r="I902" s="2">
        <v>45836</v>
      </c>
      <c r="J902" s="1">
        <v>5.03</v>
      </c>
      <c r="K902" s="4">
        <f t="shared" si="34"/>
        <v>159.09739100000002</v>
      </c>
      <c r="L902" s="4">
        <f t="shared" si="35"/>
        <v>3003.872609</v>
      </c>
    </row>
    <row r="903" spans="1:12" x14ac:dyDescent="0.3">
      <c r="A903" s="1">
        <v>1901</v>
      </c>
      <c r="B903" s="2">
        <v>45510</v>
      </c>
      <c r="C903" s="1" t="s">
        <v>14</v>
      </c>
      <c r="D903" s="1" t="s">
        <v>44</v>
      </c>
      <c r="E903" s="1" t="s">
        <v>16</v>
      </c>
      <c r="F903" s="1">
        <v>1671.46</v>
      </c>
      <c r="G903" s="1" t="s">
        <v>42</v>
      </c>
      <c r="H903" s="2">
        <v>26027</v>
      </c>
      <c r="I903" s="2">
        <v>45523</v>
      </c>
      <c r="J903" s="1">
        <v>12.98</v>
      </c>
      <c r="K903" s="4">
        <f t="shared" si="34"/>
        <v>216.95550800000001</v>
      </c>
      <c r="L903" s="4">
        <f t="shared" si="35"/>
        <v>1454.504492</v>
      </c>
    </row>
    <row r="904" spans="1:12" x14ac:dyDescent="0.3">
      <c r="A904" s="1">
        <v>1902</v>
      </c>
      <c r="B904" s="2">
        <v>45722</v>
      </c>
      <c r="C904" s="1" t="s">
        <v>26</v>
      </c>
      <c r="D904" s="1" t="s">
        <v>40</v>
      </c>
      <c r="E904" s="1" t="s">
        <v>16</v>
      </c>
      <c r="F904" s="1">
        <v>4425.9799999999996</v>
      </c>
      <c r="G904" s="1" t="s">
        <v>105</v>
      </c>
      <c r="H904" s="2">
        <v>35889</v>
      </c>
      <c r="I904" s="2">
        <v>45731</v>
      </c>
      <c r="J904" s="1">
        <v>21.97</v>
      </c>
      <c r="K904" s="4">
        <f t="shared" si="34"/>
        <v>972.38780599999984</v>
      </c>
      <c r="L904" s="4">
        <f t="shared" si="35"/>
        <v>3453.5921939999998</v>
      </c>
    </row>
    <row r="905" spans="1:12" x14ac:dyDescent="0.3">
      <c r="A905" s="1">
        <v>1903</v>
      </c>
      <c r="B905" s="2">
        <v>45709</v>
      </c>
      <c r="C905" s="1" t="s">
        <v>26</v>
      </c>
      <c r="D905" s="1" t="s">
        <v>33</v>
      </c>
      <c r="E905" s="1" t="s">
        <v>16</v>
      </c>
      <c r="F905" s="1">
        <v>2140.41</v>
      </c>
      <c r="G905" s="1" t="s">
        <v>32</v>
      </c>
      <c r="H905" s="2">
        <v>27166</v>
      </c>
      <c r="I905" s="2">
        <v>45719</v>
      </c>
      <c r="J905" s="1">
        <v>38.58</v>
      </c>
      <c r="K905" s="4">
        <f t="shared" si="34"/>
        <v>825.77017799999987</v>
      </c>
      <c r="L905" s="4">
        <f t="shared" si="35"/>
        <v>1314.6398220000001</v>
      </c>
    </row>
    <row r="906" spans="1:12" x14ac:dyDescent="0.3">
      <c r="A906" s="1">
        <v>1904</v>
      </c>
      <c r="B906" s="2">
        <v>45077</v>
      </c>
      <c r="C906" s="1" t="s">
        <v>26</v>
      </c>
      <c r="D906" s="1" t="s">
        <v>22</v>
      </c>
      <c r="E906" s="1" t="s">
        <v>19</v>
      </c>
      <c r="F906" s="1">
        <v>3313.01</v>
      </c>
      <c r="G906" s="1" t="s">
        <v>290</v>
      </c>
      <c r="H906" s="2">
        <v>31764</v>
      </c>
      <c r="I906" s="2">
        <v>45090</v>
      </c>
      <c r="J906" s="1">
        <v>4.28</v>
      </c>
      <c r="K906" s="4">
        <f t="shared" si="34"/>
        <v>141.79682800000003</v>
      </c>
      <c r="L906" s="4">
        <f t="shared" si="35"/>
        <v>3171.2131720000002</v>
      </c>
    </row>
    <row r="907" spans="1:12" x14ac:dyDescent="0.3">
      <c r="A907" s="1">
        <v>1905</v>
      </c>
      <c r="B907" s="2">
        <v>44945</v>
      </c>
      <c r="C907" s="1" t="s">
        <v>14</v>
      </c>
      <c r="D907" s="1" t="s">
        <v>53</v>
      </c>
      <c r="E907" s="1" t="s">
        <v>28</v>
      </c>
      <c r="F907" s="1">
        <v>4965.43</v>
      </c>
      <c r="G907" s="1" t="s">
        <v>324</v>
      </c>
      <c r="H907" s="2">
        <v>28747</v>
      </c>
      <c r="I907" s="2">
        <v>44956</v>
      </c>
      <c r="J907" s="1">
        <v>23.85</v>
      </c>
      <c r="K907" s="4">
        <f t="shared" si="34"/>
        <v>1184.2550550000001</v>
      </c>
      <c r="L907" s="4">
        <f t="shared" si="35"/>
        <v>3781.1749450000002</v>
      </c>
    </row>
    <row r="908" spans="1:12" x14ac:dyDescent="0.3">
      <c r="A908" s="1">
        <v>1906</v>
      </c>
      <c r="B908" s="2">
        <v>44731</v>
      </c>
      <c r="C908" s="1" t="s">
        <v>10</v>
      </c>
      <c r="D908" s="1" t="s">
        <v>102</v>
      </c>
      <c r="E908" s="1" t="s">
        <v>12</v>
      </c>
      <c r="F908" s="1">
        <v>4140.05</v>
      </c>
      <c r="G908" s="1" t="s">
        <v>50</v>
      </c>
      <c r="H908" s="2">
        <v>22594</v>
      </c>
      <c r="I908" s="2">
        <v>44736</v>
      </c>
      <c r="J908" s="1">
        <v>0.33</v>
      </c>
      <c r="K908" s="4">
        <f t="shared" si="34"/>
        <v>13.662165</v>
      </c>
      <c r="L908" s="4">
        <f t="shared" si="35"/>
        <v>4126.3878350000005</v>
      </c>
    </row>
    <row r="909" spans="1:12" x14ac:dyDescent="0.3">
      <c r="A909" s="1">
        <v>1907</v>
      </c>
      <c r="B909" s="2">
        <v>45762</v>
      </c>
      <c r="C909" s="1" t="s">
        <v>21</v>
      </c>
      <c r="D909" s="1" t="s">
        <v>24</v>
      </c>
      <c r="E909" s="1" t="s">
        <v>19</v>
      </c>
      <c r="F909" s="1">
        <v>1722.88</v>
      </c>
      <c r="G909" s="1" t="s">
        <v>315</v>
      </c>
      <c r="H909" s="2">
        <v>32330</v>
      </c>
      <c r="I909" s="2">
        <v>45764</v>
      </c>
      <c r="J909" s="1">
        <v>27.61</v>
      </c>
      <c r="K909" s="4">
        <f t="shared" si="34"/>
        <v>475.68716800000004</v>
      </c>
      <c r="L909" s="4">
        <f t="shared" si="35"/>
        <v>1247.1928320000002</v>
      </c>
    </row>
    <row r="910" spans="1:12" x14ac:dyDescent="0.3">
      <c r="A910" s="1">
        <v>1908</v>
      </c>
      <c r="B910" s="2">
        <v>45286</v>
      </c>
      <c r="C910" s="1" t="s">
        <v>10</v>
      </c>
      <c r="D910" s="1" t="s">
        <v>47</v>
      </c>
      <c r="E910" s="1" t="s">
        <v>12</v>
      </c>
      <c r="F910" s="1">
        <v>1275.42</v>
      </c>
      <c r="G910" s="1" t="s">
        <v>195</v>
      </c>
      <c r="H910" s="2">
        <v>28065</v>
      </c>
      <c r="I910" s="2">
        <v>45296</v>
      </c>
      <c r="J910" s="1">
        <v>4.88</v>
      </c>
      <c r="K910" s="4">
        <f t="shared" si="34"/>
        <v>62.240496</v>
      </c>
      <c r="L910" s="4">
        <f t="shared" si="35"/>
        <v>1213.1795040000002</v>
      </c>
    </row>
    <row r="911" spans="1:12" x14ac:dyDescent="0.3">
      <c r="A911" s="1">
        <v>1909</v>
      </c>
      <c r="B911" s="2">
        <v>44909</v>
      </c>
      <c r="C911" s="1" t="s">
        <v>10</v>
      </c>
      <c r="D911" s="1" t="s">
        <v>24</v>
      </c>
      <c r="E911" s="1" t="s">
        <v>19</v>
      </c>
      <c r="F911" s="1">
        <v>3335.8</v>
      </c>
      <c r="G911" s="1" t="s">
        <v>120</v>
      </c>
      <c r="H911" s="2">
        <v>30820</v>
      </c>
      <c r="I911" s="2">
        <v>44917</v>
      </c>
      <c r="J911" s="1">
        <v>33.119999999999997</v>
      </c>
      <c r="K911" s="4">
        <f t="shared" si="34"/>
        <v>1104.8169600000001</v>
      </c>
      <c r="L911" s="4">
        <f t="shared" si="35"/>
        <v>2230.9830400000001</v>
      </c>
    </row>
    <row r="912" spans="1:12" x14ac:dyDescent="0.3">
      <c r="A912" s="1">
        <v>1910</v>
      </c>
      <c r="B912" s="2">
        <v>44597</v>
      </c>
      <c r="C912" s="1" t="s">
        <v>35</v>
      </c>
      <c r="D912" s="1" t="s">
        <v>15</v>
      </c>
      <c r="E912" s="1" t="s">
        <v>16</v>
      </c>
      <c r="F912" s="1">
        <v>387.6</v>
      </c>
      <c r="G912" s="1" t="s">
        <v>200</v>
      </c>
      <c r="H912" s="2">
        <v>30222</v>
      </c>
      <c r="I912" s="2">
        <v>44604</v>
      </c>
      <c r="J912" s="1">
        <v>26.01</v>
      </c>
      <c r="K912" s="4">
        <f t="shared" si="34"/>
        <v>100.81476000000001</v>
      </c>
      <c r="L912" s="4">
        <f t="shared" si="35"/>
        <v>286.78524000000004</v>
      </c>
    </row>
    <row r="913" spans="1:12" x14ac:dyDescent="0.3">
      <c r="A913" s="1">
        <v>1911</v>
      </c>
      <c r="B913" s="2">
        <v>45354</v>
      </c>
      <c r="C913" s="1" t="s">
        <v>14</v>
      </c>
      <c r="D913" s="1" t="s">
        <v>49</v>
      </c>
      <c r="E913" s="1" t="s">
        <v>12</v>
      </c>
      <c r="F913" s="1">
        <v>2218.13</v>
      </c>
      <c r="G913" s="1" t="s">
        <v>130</v>
      </c>
      <c r="H913" s="2">
        <v>38750</v>
      </c>
      <c r="I913" s="2">
        <v>45361</v>
      </c>
      <c r="J913" s="1">
        <v>42.31</v>
      </c>
      <c r="K913" s="4">
        <f t="shared" si="34"/>
        <v>938.49080300000014</v>
      </c>
      <c r="L913" s="4">
        <f t="shared" si="35"/>
        <v>1279.639197</v>
      </c>
    </row>
    <row r="914" spans="1:12" x14ac:dyDescent="0.3">
      <c r="A914" s="1">
        <v>1912</v>
      </c>
      <c r="B914" s="2">
        <v>44738</v>
      </c>
      <c r="C914" s="1" t="s">
        <v>10</v>
      </c>
      <c r="D914" s="1" t="s">
        <v>24</v>
      </c>
      <c r="E914" s="1" t="s">
        <v>19</v>
      </c>
      <c r="F914" s="1">
        <v>708.62</v>
      </c>
      <c r="G914" s="1" t="s">
        <v>148</v>
      </c>
      <c r="H914" s="2">
        <v>22007</v>
      </c>
      <c r="I914" s="2">
        <v>44747</v>
      </c>
      <c r="J914" s="1">
        <v>26.71</v>
      </c>
      <c r="K914" s="4">
        <f t="shared" si="34"/>
        <v>189.272402</v>
      </c>
      <c r="L914" s="4">
        <f t="shared" si="35"/>
        <v>519.34759800000006</v>
      </c>
    </row>
    <row r="915" spans="1:12" x14ac:dyDescent="0.3">
      <c r="A915" s="1">
        <v>1913</v>
      </c>
      <c r="B915" s="2">
        <v>45260</v>
      </c>
      <c r="C915" s="1" t="s">
        <v>26</v>
      </c>
      <c r="D915" s="1" t="s">
        <v>33</v>
      </c>
      <c r="E915" s="1" t="s">
        <v>16</v>
      </c>
      <c r="F915" s="1">
        <v>3442.63</v>
      </c>
      <c r="G915" s="1" t="s">
        <v>151</v>
      </c>
      <c r="H915" s="2">
        <v>34427</v>
      </c>
      <c r="I915" s="2">
        <v>45274</v>
      </c>
      <c r="J915" s="1">
        <v>23.72</v>
      </c>
      <c r="K915" s="4">
        <f t="shared" si="34"/>
        <v>816.59183600000006</v>
      </c>
      <c r="L915" s="4">
        <f t="shared" si="35"/>
        <v>2626.0381640000001</v>
      </c>
    </row>
    <row r="916" spans="1:12" x14ac:dyDescent="0.3">
      <c r="A916" s="1">
        <v>1914</v>
      </c>
      <c r="B916" s="2">
        <v>44398</v>
      </c>
      <c r="C916" s="1" t="s">
        <v>10</v>
      </c>
      <c r="D916" s="1" t="s">
        <v>102</v>
      </c>
      <c r="E916" s="1" t="s">
        <v>12</v>
      </c>
      <c r="F916" s="1">
        <v>4270.34</v>
      </c>
      <c r="G916" s="1" t="s">
        <v>238</v>
      </c>
      <c r="H916" s="2">
        <v>31880</v>
      </c>
      <c r="I916" s="2">
        <v>44410</v>
      </c>
      <c r="J916" s="1">
        <v>8.23</v>
      </c>
      <c r="K916" s="4">
        <f t="shared" si="34"/>
        <v>351.448982</v>
      </c>
      <c r="L916" s="4">
        <f t="shared" si="35"/>
        <v>3918.8910180000003</v>
      </c>
    </row>
    <row r="917" spans="1:12" x14ac:dyDescent="0.3">
      <c r="A917" s="1">
        <v>1915</v>
      </c>
      <c r="B917" s="2">
        <v>44264</v>
      </c>
      <c r="C917" s="1" t="s">
        <v>35</v>
      </c>
      <c r="D917" s="1" t="s">
        <v>11</v>
      </c>
      <c r="E917" s="1" t="s">
        <v>12</v>
      </c>
      <c r="F917" s="1">
        <v>1651.51</v>
      </c>
      <c r="G917" s="1" t="s">
        <v>54</v>
      </c>
      <c r="H917" s="2">
        <v>31082</v>
      </c>
      <c r="I917" s="2">
        <v>44266</v>
      </c>
      <c r="J917" s="1">
        <v>16.899999999999999</v>
      </c>
      <c r="K917" s="4">
        <f t="shared" si="34"/>
        <v>279.10518999999999</v>
      </c>
      <c r="L917" s="4">
        <f t="shared" si="35"/>
        <v>1372.40481</v>
      </c>
    </row>
    <row r="918" spans="1:12" x14ac:dyDescent="0.3">
      <c r="A918" s="1">
        <v>1916</v>
      </c>
      <c r="B918" s="2">
        <v>44360</v>
      </c>
      <c r="C918" s="1" t="s">
        <v>35</v>
      </c>
      <c r="D918" s="1" t="s">
        <v>40</v>
      </c>
      <c r="E918" s="1" t="s">
        <v>16</v>
      </c>
      <c r="F918" s="1">
        <v>2540.2399999999998</v>
      </c>
      <c r="G918" s="1" t="s">
        <v>276</v>
      </c>
      <c r="H918" s="2">
        <v>33394</v>
      </c>
      <c r="I918" s="2">
        <v>44372</v>
      </c>
      <c r="J918" s="1">
        <v>33.18</v>
      </c>
      <c r="K918" s="4">
        <f t="shared" si="34"/>
        <v>842.85163199999988</v>
      </c>
      <c r="L918" s="4">
        <f t="shared" si="35"/>
        <v>1697.3883679999999</v>
      </c>
    </row>
    <row r="919" spans="1:12" x14ac:dyDescent="0.3">
      <c r="A919" s="1">
        <v>1917</v>
      </c>
      <c r="B919" s="2">
        <v>45643</v>
      </c>
      <c r="C919" s="1" t="s">
        <v>26</v>
      </c>
      <c r="D919" s="1" t="s">
        <v>11</v>
      </c>
      <c r="E919" s="1" t="s">
        <v>12</v>
      </c>
      <c r="F919" s="1">
        <v>4900.82</v>
      </c>
      <c r="G919" s="1" t="s">
        <v>134</v>
      </c>
      <c r="H919" s="2">
        <v>30299</v>
      </c>
      <c r="I919" s="2">
        <v>45655</v>
      </c>
      <c r="J919" s="1">
        <v>26.72</v>
      </c>
      <c r="K919" s="4">
        <f t="shared" si="34"/>
        <v>1309.499104</v>
      </c>
      <c r="L919" s="4">
        <f t="shared" si="35"/>
        <v>3591.3208959999997</v>
      </c>
    </row>
    <row r="920" spans="1:12" x14ac:dyDescent="0.3">
      <c r="A920" s="1">
        <v>1918</v>
      </c>
      <c r="B920" s="2">
        <v>45298</v>
      </c>
      <c r="C920" s="1" t="s">
        <v>21</v>
      </c>
      <c r="D920" s="1" t="s">
        <v>53</v>
      </c>
      <c r="E920" s="1" t="s">
        <v>28</v>
      </c>
      <c r="F920" s="1">
        <v>4280.42</v>
      </c>
      <c r="G920" s="1" t="s">
        <v>182</v>
      </c>
      <c r="H920" s="2">
        <v>24719</v>
      </c>
      <c r="I920" s="2">
        <v>45300</v>
      </c>
      <c r="J920" s="1">
        <v>45.87</v>
      </c>
      <c r="K920" s="4">
        <f t="shared" si="34"/>
        <v>1963.4286540000001</v>
      </c>
      <c r="L920" s="4">
        <f t="shared" si="35"/>
        <v>2316.9913459999998</v>
      </c>
    </row>
    <row r="921" spans="1:12" x14ac:dyDescent="0.3">
      <c r="A921" s="1">
        <v>1919</v>
      </c>
      <c r="B921" s="2">
        <v>44270</v>
      </c>
      <c r="C921" s="1" t="s">
        <v>14</v>
      </c>
      <c r="D921" s="1" t="s">
        <v>22</v>
      </c>
      <c r="E921" s="1" t="s">
        <v>19</v>
      </c>
      <c r="F921" s="1">
        <v>651.54</v>
      </c>
      <c r="G921" s="1" t="s">
        <v>217</v>
      </c>
      <c r="H921" s="2">
        <v>36951</v>
      </c>
      <c r="I921" s="2">
        <v>44273</v>
      </c>
      <c r="J921" s="1">
        <v>13.56</v>
      </c>
      <c r="K921" s="4">
        <f t="shared" si="34"/>
        <v>88.348823999999993</v>
      </c>
      <c r="L921" s="4">
        <f t="shared" si="35"/>
        <v>563.19117599999993</v>
      </c>
    </row>
    <row r="922" spans="1:12" x14ac:dyDescent="0.3">
      <c r="A922" s="1">
        <v>1920</v>
      </c>
      <c r="B922" s="2">
        <v>45806</v>
      </c>
      <c r="C922" s="1" t="s">
        <v>26</v>
      </c>
      <c r="D922" s="1" t="s">
        <v>40</v>
      </c>
      <c r="E922" s="1" t="s">
        <v>16</v>
      </c>
      <c r="F922" s="1">
        <v>1915.59</v>
      </c>
      <c r="G922" s="1" t="s">
        <v>194</v>
      </c>
      <c r="H922" s="2">
        <v>22210</v>
      </c>
      <c r="I922" s="2">
        <v>45810</v>
      </c>
      <c r="J922" s="1">
        <v>31.63</v>
      </c>
      <c r="K922" s="4">
        <f t="shared" si="34"/>
        <v>605.90111699999989</v>
      </c>
      <c r="L922" s="4">
        <f t="shared" si="35"/>
        <v>1309.688883</v>
      </c>
    </row>
    <row r="923" spans="1:12" x14ac:dyDescent="0.3">
      <c r="A923" s="1">
        <v>1921</v>
      </c>
      <c r="B923" s="2">
        <v>45361</v>
      </c>
      <c r="C923" s="1" t="s">
        <v>10</v>
      </c>
      <c r="D923" s="1" t="s">
        <v>69</v>
      </c>
      <c r="E923" s="1" t="s">
        <v>12</v>
      </c>
      <c r="F923" s="1">
        <v>106.78</v>
      </c>
      <c r="G923" s="1" t="s">
        <v>323</v>
      </c>
      <c r="H923" s="2">
        <v>33840</v>
      </c>
      <c r="I923" s="2">
        <v>45373</v>
      </c>
      <c r="J923" s="1">
        <v>44.76</v>
      </c>
      <c r="K923" s="4">
        <f t="shared" si="34"/>
        <v>47.794727999999999</v>
      </c>
      <c r="L923" s="4">
        <f t="shared" si="35"/>
        <v>58.985272000000002</v>
      </c>
    </row>
    <row r="924" spans="1:12" x14ac:dyDescent="0.3">
      <c r="A924" s="1">
        <v>1922</v>
      </c>
      <c r="B924" s="2">
        <v>45034</v>
      </c>
      <c r="C924" s="1" t="s">
        <v>35</v>
      </c>
      <c r="D924" s="1" t="s">
        <v>88</v>
      </c>
      <c r="E924" s="1" t="s">
        <v>16</v>
      </c>
      <c r="F924" s="1">
        <v>3524.42</v>
      </c>
      <c r="G924" s="1" t="s">
        <v>180</v>
      </c>
      <c r="H924" s="2">
        <v>25163</v>
      </c>
      <c r="I924" s="2">
        <v>45040</v>
      </c>
      <c r="J924" s="1">
        <v>47.61</v>
      </c>
      <c r="K924" s="4">
        <f t="shared" si="34"/>
        <v>1677.9763619999999</v>
      </c>
      <c r="L924" s="4">
        <f t="shared" si="35"/>
        <v>1846.4436380000002</v>
      </c>
    </row>
    <row r="925" spans="1:12" x14ac:dyDescent="0.3">
      <c r="A925" s="1">
        <v>1923</v>
      </c>
      <c r="B925" s="2">
        <v>44304</v>
      </c>
      <c r="C925" s="1" t="s">
        <v>21</v>
      </c>
      <c r="D925" s="1" t="s">
        <v>18</v>
      </c>
      <c r="E925" s="1" t="s">
        <v>19</v>
      </c>
      <c r="F925" s="1">
        <v>1287.42</v>
      </c>
      <c r="G925" s="1" t="s">
        <v>196</v>
      </c>
      <c r="H925" s="2">
        <v>26300</v>
      </c>
      <c r="I925" s="2">
        <v>44313</v>
      </c>
      <c r="J925" s="1">
        <v>1.5</v>
      </c>
      <c r="K925" s="4">
        <f t="shared" si="34"/>
        <v>19.311299999999999</v>
      </c>
      <c r="L925" s="4">
        <f t="shared" si="35"/>
        <v>1268.1087</v>
      </c>
    </row>
    <row r="926" spans="1:12" x14ac:dyDescent="0.3">
      <c r="A926" s="1">
        <v>1924</v>
      </c>
      <c r="B926" s="2">
        <v>44516</v>
      </c>
      <c r="C926" s="1" t="s">
        <v>26</v>
      </c>
      <c r="D926" s="1" t="s">
        <v>38</v>
      </c>
      <c r="E926" s="1" t="s">
        <v>28</v>
      </c>
      <c r="F926" s="1">
        <v>391.23</v>
      </c>
      <c r="G926" s="1" t="s">
        <v>255</v>
      </c>
      <c r="H926" s="2">
        <v>22646</v>
      </c>
      <c r="I926" s="2">
        <v>44517</v>
      </c>
      <c r="J926" s="1">
        <v>7.7</v>
      </c>
      <c r="K926" s="4">
        <f t="shared" si="34"/>
        <v>30.12471</v>
      </c>
      <c r="L926" s="4">
        <f t="shared" si="35"/>
        <v>361.10529000000002</v>
      </c>
    </row>
    <row r="927" spans="1:12" x14ac:dyDescent="0.3">
      <c r="A927" s="1">
        <v>1925</v>
      </c>
      <c r="B927" s="2">
        <v>45846</v>
      </c>
      <c r="C927" s="1" t="s">
        <v>26</v>
      </c>
      <c r="D927" s="1" t="s">
        <v>18</v>
      </c>
      <c r="E927" s="1" t="s">
        <v>19</v>
      </c>
      <c r="F927" s="1">
        <v>1569.98</v>
      </c>
      <c r="G927" s="1" t="s">
        <v>315</v>
      </c>
      <c r="H927" s="2">
        <v>32330</v>
      </c>
      <c r="I927" s="2">
        <v>45848</v>
      </c>
      <c r="J927" s="1">
        <v>49.99</v>
      </c>
      <c r="K927" s="4">
        <f t="shared" si="34"/>
        <v>784.83300200000008</v>
      </c>
      <c r="L927" s="4">
        <f t="shared" si="35"/>
        <v>785.14699799999994</v>
      </c>
    </row>
    <row r="928" spans="1:12" x14ac:dyDescent="0.3">
      <c r="A928" s="1">
        <v>1926</v>
      </c>
      <c r="B928" s="2">
        <v>44778</v>
      </c>
      <c r="C928" s="1" t="s">
        <v>35</v>
      </c>
      <c r="D928" s="1" t="s">
        <v>73</v>
      </c>
      <c r="E928" s="1" t="s">
        <v>28</v>
      </c>
      <c r="F928" s="1">
        <v>4978.8</v>
      </c>
      <c r="G928" s="1" t="s">
        <v>252</v>
      </c>
      <c r="H928" s="2">
        <v>34209</v>
      </c>
      <c r="I928" s="2">
        <v>44790</v>
      </c>
      <c r="J928" s="1">
        <v>19.88</v>
      </c>
      <c r="K928" s="4">
        <f t="shared" si="34"/>
        <v>989.78543999999988</v>
      </c>
      <c r="L928" s="4">
        <f t="shared" si="35"/>
        <v>3989.0145600000005</v>
      </c>
    </row>
    <row r="929" spans="1:12" x14ac:dyDescent="0.3">
      <c r="A929" s="1">
        <v>1927</v>
      </c>
      <c r="B929" s="2">
        <v>44664</v>
      </c>
      <c r="C929" s="1" t="s">
        <v>14</v>
      </c>
      <c r="D929" s="1" t="s">
        <v>15</v>
      </c>
      <c r="E929" s="1" t="s">
        <v>16</v>
      </c>
      <c r="F929" s="1">
        <v>4206.6099999999997</v>
      </c>
      <c r="G929" s="1" t="s">
        <v>274</v>
      </c>
      <c r="H929" s="2">
        <v>34557</v>
      </c>
      <c r="I929" s="2">
        <v>44670</v>
      </c>
      <c r="J929" s="1">
        <v>26.31</v>
      </c>
      <c r="K929" s="4">
        <f t="shared" si="34"/>
        <v>1106.7590909999999</v>
      </c>
      <c r="L929" s="4">
        <f t="shared" si="35"/>
        <v>3099.8509089999998</v>
      </c>
    </row>
    <row r="930" spans="1:12" x14ac:dyDescent="0.3">
      <c r="A930" s="1">
        <v>1928</v>
      </c>
      <c r="B930" s="2">
        <v>45402</v>
      </c>
      <c r="C930" s="1" t="s">
        <v>35</v>
      </c>
      <c r="D930" s="1" t="s">
        <v>73</v>
      </c>
      <c r="E930" s="1" t="s">
        <v>28</v>
      </c>
      <c r="F930" s="1">
        <v>3917.77</v>
      </c>
      <c r="G930" s="1" t="s">
        <v>29</v>
      </c>
      <c r="H930" s="2">
        <v>24033</v>
      </c>
      <c r="I930" s="2">
        <v>45403</v>
      </c>
      <c r="J930" s="1">
        <v>18.149999999999999</v>
      </c>
      <c r="K930" s="4">
        <f t="shared" si="34"/>
        <v>711.07525499999997</v>
      </c>
      <c r="L930" s="4">
        <f t="shared" si="35"/>
        <v>3206.6947449999998</v>
      </c>
    </row>
    <row r="931" spans="1:12" x14ac:dyDescent="0.3">
      <c r="A931" s="1">
        <v>1929</v>
      </c>
      <c r="B931" s="2">
        <v>45169</v>
      </c>
      <c r="C931" s="1" t="s">
        <v>10</v>
      </c>
      <c r="D931" s="1" t="s">
        <v>73</v>
      </c>
      <c r="E931" s="1" t="s">
        <v>28</v>
      </c>
      <c r="F931" s="1">
        <v>1214.76</v>
      </c>
      <c r="G931" s="1" t="s">
        <v>325</v>
      </c>
      <c r="H931" s="2">
        <v>28731</v>
      </c>
      <c r="I931" s="2">
        <v>45176</v>
      </c>
      <c r="J931" s="1">
        <v>34.880000000000003</v>
      </c>
      <c r="K931" s="4">
        <f t="shared" si="34"/>
        <v>423.70828799999998</v>
      </c>
      <c r="L931" s="4">
        <f t="shared" si="35"/>
        <v>791.05171199999995</v>
      </c>
    </row>
    <row r="932" spans="1:12" x14ac:dyDescent="0.3">
      <c r="A932" s="1">
        <v>1930</v>
      </c>
      <c r="B932" s="2">
        <v>45578</v>
      </c>
      <c r="C932" s="1" t="s">
        <v>26</v>
      </c>
      <c r="D932" s="1" t="s">
        <v>73</v>
      </c>
      <c r="E932" s="1" t="s">
        <v>28</v>
      </c>
      <c r="F932" s="1">
        <v>3782.03</v>
      </c>
      <c r="G932" s="1" t="s">
        <v>161</v>
      </c>
      <c r="H932" s="2">
        <v>29386</v>
      </c>
      <c r="I932" s="2">
        <v>45590</v>
      </c>
      <c r="J932" s="1">
        <v>10.24</v>
      </c>
      <c r="K932" s="4">
        <f t="shared" si="34"/>
        <v>387.27987200000001</v>
      </c>
      <c r="L932" s="4">
        <f t="shared" si="35"/>
        <v>3394.7501280000001</v>
      </c>
    </row>
    <row r="933" spans="1:12" x14ac:dyDescent="0.3">
      <c r="A933" s="1">
        <v>1931</v>
      </c>
      <c r="B933" s="2">
        <v>45036</v>
      </c>
      <c r="C933" s="1" t="s">
        <v>10</v>
      </c>
      <c r="D933" s="1" t="s">
        <v>61</v>
      </c>
      <c r="E933" s="1" t="s">
        <v>19</v>
      </c>
      <c r="F933" s="1">
        <v>1401.86</v>
      </c>
      <c r="G933" s="1" t="s">
        <v>235</v>
      </c>
      <c r="H933" s="2">
        <v>36760</v>
      </c>
      <c r="I933" s="2">
        <v>45050</v>
      </c>
      <c r="J933" s="1">
        <v>40.04</v>
      </c>
      <c r="K933" s="4">
        <f t="shared" si="34"/>
        <v>561.30474399999991</v>
      </c>
      <c r="L933" s="4">
        <f t="shared" si="35"/>
        <v>840.55525599999999</v>
      </c>
    </row>
    <row r="934" spans="1:12" x14ac:dyDescent="0.3">
      <c r="A934" s="1">
        <v>1932</v>
      </c>
      <c r="B934" s="2">
        <v>44067</v>
      </c>
      <c r="C934" s="1" t="s">
        <v>14</v>
      </c>
      <c r="D934" s="1" t="s">
        <v>22</v>
      </c>
      <c r="E934" s="1" t="s">
        <v>19</v>
      </c>
      <c r="F934" s="1">
        <v>4472.6000000000004</v>
      </c>
      <c r="G934" s="1" t="s">
        <v>235</v>
      </c>
      <c r="H934" s="2">
        <v>36760</v>
      </c>
      <c r="I934" s="2">
        <v>44072</v>
      </c>
      <c r="J934" s="1">
        <v>17.690000000000001</v>
      </c>
      <c r="K934" s="4">
        <f t="shared" si="34"/>
        <v>791.20294000000013</v>
      </c>
      <c r="L934" s="4">
        <f t="shared" si="35"/>
        <v>3681.3970600000002</v>
      </c>
    </row>
    <row r="935" spans="1:12" x14ac:dyDescent="0.3">
      <c r="A935" s="1">
        <v>1933</v>
      </c>
      <c r="B935" s="2">
        <v>44864</v>
      </c>
      <c r="C935" s="1" t="s">
        <v>35</v>
      </c>
      <c r="D935" s="1" t="s">
        <v>71</v>
      </c>
      <c r="E935" s="1" t="s">
        <v>31</v>
      </c>
      <c r="F935" s="1">
        <v>2128.62</v>
      </c>
      <c r="G935" s="1" t="s">
        <v>248</v>
      </c>
      <c r="H935" s="2">
        <v>32685</v>
      </c>
      <c r="I935" s="2">
        <v>44878</v>
      </c>
      <c r="J935" s="1">
        <v>40.1</v>
      </c>
      <c r="K935" s="4">
        <f t="shared" si="34"/>
        <v>853.57662000000005</v>
      </c>
      <c r="L935" s="4">
        <f t="shared" si="35"/>
        <v>1275.0433799999998</v>
      </c>
    </row>
    <row r="936" spans="1:12" x14ac:dyDescent="0.3">
      <c r="A936" s="1">
        <v>1934</v>
      </c>
      <c r="B936" s="2">
        <v>44178</v>
      </c>
      <c r="C936" s="1" t="s">
        <v>26</v>
      </c>
      <c r="D936" s="1" t="s">
        <v>15</v>
      </c>
      <c r="E936" s="1" t="s">
        <v>16</v>
      </c>
      <c r="F936" s="1">
        <v>314.91000000000003</v>
      </c>
      <c r="G936" s="1" t="s">
        <v>286</v>
      </c>
      <c r="H936" s="2">
        <v>33430</v>
      </c>
      <c r="I936" s="2">
        <v>44182</v>
      </c>
      <c r="J936" s="1">
        <v>19.690000000000001</v>
      </c>
      <c r="K936" s="4">
        <f t="shared" si="34"/>
        <v>62.005779000000011</v>
      </c>
      <c r="L936" s="4">
        <f t="shared" si="35"/>
        <v>252.90422100000001</v>
      </c>
    </row>
    <row r="937" spans="1:12" x14ac:dyDescent="0.3">
      <c r="A937" s="1">
        <v>1935</v>
      </c>
      <c r="B937" s="2">
        <v>45710</v>
      </c>
      <c r="C937" s="1" t="s">
        <v>26</v>
      </c>
      <c r="D937" s="1" t="s">
        <v>49</v>
      </c>
      <c r="E937" s="1" t="s">
        <v>12</v>
      </c>
      <c r="F937" s="1">
        <v>3345.99</v>
      </c>
      <c r="G937" s="1" t="s">
        <v>97</v>
      </c>
      <c r="H937" s="2">
        <v>24706</v>
      </c>
      <c r="I937" s="2">
        <v>45721</v>
      </c>
      <c r="J937" s="1">
        <v>38.380000000000003</v>
      </c>
      <c r="K937" s="4">
        <f t="shared" si="34"/>
        <v>1284.1909620000001</v>
      </c>
      <c r="L937" s="4">
        <f t="shared" si="35"/>
        <v>2061.7990379999997</v>
      </c>
    </row>
    <row r="938" spans="1:12" x14ac:dyDescent="0.3">
      <c r="A938" s="1">
        <v>1936</v>
      </c>
      <c r="B938" s="2">
        <v>45607</v>
      </c>
      <c r="C938" s="1" t="s">
        <v>21</v>
      </c>
      <c r="D938" s="1" t="s">
        <v>40</v>
      </c>
      <c r="E938" s="1" t="s">
        <v>16</v>
      </c>
      <c r="F938" s="1">
        <v>489.14</v>
      </c>
      <c r="G938" s="1" t="s">
        <v>178</v>
      </c>
      <c r="H938" s="2">
        <v>23890</v>
      </c>
      <c r="I938" s="2">
        <v>45608</v>
      </c>
      <c r="J938" s="1">
        <v>21.66</v>
      </c>
      <c r="K938" s="4">
        <f t="shared" si="34"/>
        <v>105.94772400000001</v>
      </c>
      <c r="L938" s="4">
        <f t="shared" si="35"/>
        <v>383.19227599999999</v>
      </c>
    </row>
    <row r="939" spans="1:12" x14ac:dyDescent="0.3">
      <c r="A939" s="1">
        <v>1937</v>
      </c>
      <c r="B939" s="2">
        <v>44704</v>
      </c>
      <c r="C939" s="1" t="s">
        <v>10</v>
      </c>
      <c r="D939" s="1" t="s">
        <v>36</v>
      </c>
      <c r="E939" s="1" t="s">
        <v>28</v>
      </c>
      <c r="F939" s="1">
        <v>4141.28</v>
      </c>
      <c r="G939" s="1" t="s">
        <v>239</v>
      </c>
      <c r="H939" s="2">
        <v>38442</v>
      </c>
      <c r="I939" s="2">
        <v>44713</v>
      </c>
      <c r="J939" s="1">
        <v>45.35</v>
      </c>
      <c r="K939" s="4">
        <f t="shared" si="34"/>
        <v>1878.0704799999999</v>
      </c>
      <c r="L939" s="4">
        <f t="shared" si="35"/>
        <v>2263.2095199999999</v>
      </c>
    </row>
    <row r="940" spans="1:12" x14ac:dyDescent="0.3">
      <c r="A940" s="1">
        <v>1938</v>
      </c>
      <c r="B940" s="2">
        <v>45162</v>
      </c>
      <c r="C940" s="1" t="s">
        <v>10</v>
      </c>
      <c r="D940" s="1" t="s">
        <v>22</v>
      </c>
      <c r="E940" s="1" t="s">
        <v>19</v>
      </c>
      <c r="F940" s="1">
        <v>3591.8</v>
      </c>
      <c r="G940" s="1" t="s">
        <v>219</v>
      </c>
      <c r="H940" s="2">
        <v>25321</v>
      </c>
      <c r="I940" s="2">
        <v>45171</v>
      </c>
      <c r="J940" s="1">
        <v>14.86</v>
      </c>
      <c r="K940" s="4">
        <f t="shared" si="34"/>
        <v>533.74147999999991</v>
      </c>
      <c r="L940" s="4">
        <f t="shared" si="35"/>
        <v>3058.0585200000005</v>
      </c>
    </row>
    <row r="941" spans="1:12" x14ac:dyDescent="0.3">
      <c r="A941" s="1">
        <v>1939</v>
      </c>
      <c r="B941" s="2">
        <v>44974</v>
      </c>
      <c r="C941" s="1" t="s">
        <v>14</v>
      </c>
      <c r="D941" s="1" t="s">
        <v>61</v>
      </c>
      <c r="E941" s="1" t="s">
        <v>19</v>
      </c>
      <c r="F941" s="1">
        <v>4649.03</v>
      </c>
      <c r="G941" s="1" t="s">
        <v>70</v>
      </c>
      <c r="H941" s="2">
        <v>30887</v>
      </c>
      <c r="I941" s="2">
        <v>44983</v>
      </c>
      <c r="J941" s="1">
        <v>18.34</v>
      </c>
      <c r="K941" s="4">
        <f t="shared" si="34"/>
        <v>852.63210200000003</v>
      </c>
      <c r="L941" s="4">
        <f t="shared" si="35"/>
        <v>3796.3978979999997</v>
      </c>
    </row>
    <row r="942" spans="1:12" x14ac:dyDescent="0.3">
      <c r="A942" s="1">
        <v>1940</v>
      </c>
      <c r="B942" s="2">
        <v>44896</v>
      </c>
      <c r="C942" s="1" t="s">
        <v>26</v>
      </c>
      <c r="D942" s="1" t="s">
        <v>73</v>
      </c>
      <c r="E942" s="1" t="s">
        <v>28</v>
      </c>
      <c r="F942" s="1">
        <v>2701.12</v>
      </c>
      <c r="G942" s="1" t="s">
        <v>41</v>
      </c>
      <c r="H942" s="2">
        <v>35818</v>
      </c>
      <c r="I942" s="2">
        <v>44902</v>
      </c>
      <c r="J942" s="1">
        <v>4.6500000000000004</v>
      </c>
      <c r="K942" s="4">
        <f t="shared" si="34"/>
        <v>125.60208000000002</v>
      </c>
      <c r="L942" s="4">
        <f t="shared" si="35"/>
        <v>2575.5179199999998</v>
      </c>
    </row>
    <row r="943" spans="1:12" x14ac:dyDescent="0.3">
      <c r="A943" s="1">
        <v>1941</v>
      </c>
      <c r="B943" s="2">
        <v>45776</v>
      </c>
      <c r="C943" s="1" t="s">
        <v>14</v>
      </c>
      <c r="D943" s="1" t="s">
        <v>61</v>
      </c>
      <c r="E943" s="1" t="s">
        <v>19</v>
      </c>
      <c r="F943" s="1">
        <v>1951.11</v>
      </c>
      <c r="G943" s="1" t="s">
        <v>188</v>
      </c>
      <c r="H943" s="2">
        <v>31467</v>
      </c>
      <c r="I943" s="2">
        <v>45781</v>
      </c>
      <c r="J943" s="1">
        <v>32.76</v>
      </c>
      <c r="K943" s="4">
        <f t="shared" si="34"/>
        <v>639.18363599999998</v>
      </c>
      <c r="L943" s="4">
        <f t="shared" si="35"/>
        <v>1311.9263639999999</v>
      </c>
    </row>
    <row r="944" spans="1:12" x14ac:dyDescent="0.3">
      <c r="A944" s="1">
        <v>1942</v>
      </c>
      <c r="B944" s="2">
        <v>44399</v>
      </c>
      <c r="C944" s="1" t="s">
        <v>21</v>
      </c>
      <c r="D944" s="1" t="s">
        <v>40</v>
      </c>
      <c r="E944" s="1" t="s">
        <v>16</v>
      </c>
      <c r="F944" s="1">
        <v>4608.12</v>
      </c>
      <c r="G944" s="1" t="s">
        <v>238</v>
      </c>
      <c r="H944" s="2">
        <v>31880</v>
      </c>
      <c r="I944" s="2">
        <v>44403</v>
      </c>
      <c r="J944" s="1">
        <v>43.95</v>
      </c>
      <c r="K944" s="4">
        <f t="shared" si="34"/>
        <v>2025.26874</v>
      </c>
      <c r="L944" s="4">
        <f t="shared" si="35"/>
        <v>2582.8512599999999</v>
      </c>
    </row>
    <row r="945" spans="1:12" x14ac:dyDescent="0.3">
      <c r="A945" s="1">
        <v>1943</v>
      </c>
      <c r="B945" s="2">
        <v>44656</v>
      </c>
      <c r="C945" s="1" t="s">
        <v>14</v>
      </c>
      <c r="D945" s="1" t="s">
        <v>53</v>
      </c>
      <c r="E945" s="1" t="s">
        <v>28</v>
      </c>
      <c r="F945" s="1">
        <v>2211.34</v>
      </c>
      <c r="G945" s="1" t="s">
        <v>263</v>
      </c>
      <c r="H945" s="2">
        <v>35629</v>
      </c>
      <c r="I945" s="2">
        <v>44662</v>
      </c>
      <c r="J945" s="1">
        <v>10.82</v>
      </c>
      <c r="K945" s="4">
        <f t="shared" si="34"/>
        <v>239.26698800000003</v>
      </c>
      <c r="L945" s="4">
        <f t="shared" si="35"/>
        <v>1972.0730120000001</v>
      </c>
    </row>
    <row r="946" spans="1:12" x14ac:dyDescent="0.3">
      <c r="A946" s="1">
        <v>1944</v>
      </c>
      <c r="B946" s="2">
        <v>44115</v>
      </c>
      <c r="C946" s="1" t="s">
        <v>35</v>
      </c>
      <c r="D946" s="1" t="s">
        <v>38</v>
      </c>
      <c r="E946" s="1" t="s">
        <v>28</v>
      </c>
      <c r="F946" s="1">
        <v>2815.86</v>
      </c>
      <c r="G946" s="1" t="s">
        <v>230</v>
      </c>
      <c r="H946" s="2">
        <v>35642</v>
      </c>
      <c r="I946" s="2">
        <v>44119</v>
      </c>
      <c r="J946" s="1">
        <v>7.31</v>
      </c>
      <c r="K946" s="4">
        <f t="shared" si="34"/>
        <v>205.83936600000001</v>
      </c>
      <c r="L946" s="4">
        <f t="shared" si="35"/>
        <v>2610.020634</v>
      </c>
    </row>
    <row r="947" spans="1:12" x14ac:dyDescent="0.3">
      <c r="A947" s="1">
        <v>1945</v>
      </c>
      <c r="B947" s="2">
        <v>45006</v>
      </c>
      <c r="C947" s="1" t="s">
        <v>10</v>
      </c>
      <c r="D947" s="1" t="s">
        <v>15</v>
      </c>
      <c r="E947" s="1" t="s">
        <v>16</v>
      </c>
      <c r="F947" s="1">
        <v>2209.85</v>
      </c>
      <c r="G947" s="1" t="s">
        <v>326</v>
      </c>
      <c r="H947" s="2">
        <v>25663</v>
      </c>
      <c r="I947" s="2">
        <v>45011</v>
      </c>
      <c r="J947" s="1">
        <v>35.65</v>
      </c>
      <c r="K947" s="4">
        <f t="shared" si="34"/>
        <v>787.81152499999996</v>
      </c>
      <c r="L947" s="4">
        <f t="shared" si="35"/>
        <v>1422.0384749999998</v>
      </c>
    </row>
    <row r="948" spans="1:12" x14ac:dyDescent="0.3">
      <c r="A948" s="1">
        <v>1946</v>
      </c>
      <c r="B948" s="2">
        <v>45032</v>
      </c>
      <c r="C948" s="1" t="s">
        <v>35</v>
      </c>
      <c r="D948" s="1" t="s">
        <v>11</v>
      </c>
      <c r="E948" s="1" t="s">
        <v>12</v>
      </c>
      <c r="F948" s="1">
        <v>3412.98</v>
      </c>
      <c r="G948" s="1" t="s">
        <v>70</v>
      </c>
      <c r="H948" s="2">
        <v>30887</v>
      </c>
      <c r="I948" s="2">
        <v>45041</v>
      </c>
      <c r="J948" s="1">
        <v>43.36</v>
      </c>
      <c r="K948" s="4">
        <f t="shared" si="34"/>
        <v>1479.8681280000001</v>
      </c>
      <c r="L948" s="4">
        <f t="shared" si="35"/>
        <v>1933.1118719999999</v>
      </c>
    </row>
    <row r="949" spans="1:12" x14ac:dyDescent="0.3">
      <c r="A949" s="1">
        <v>1947</v>
      </c>
      <c r="B949" s="2">
        <v>44509</v>
      </c>
      <c r="C949" s="1" t="s">
        <v>21</v>
      </c>
      <c r="D949" s="1" t="s">
        <v>30</v>
      </c>
      <c r="E949" s="1" t="s">
        <v>31</v>
      </c>
      <c r="F949" s="1">
        <v>3690.16</v>
      </c>
      <c r="G949" s="1" t="s">
        <v>316</v>
      </c>
      <c r="H949" s="2">
        <v>36087</v>
      </c>
      <c r="I949" s="2">
        <v>44517</v>
      </c>
      <c r="J949" s="1">
        <v>40.450000000000003</v>
      </c>
      <c r="K949" s="4">
        <f t="shared" si="34"/>
        <v>1492.6697200000001</v>
      </c>
      <c r="L949" s="4">
        <f t="shared" si="35"/>
        <v>2197.49028</v>
      </c>
    </row>
    <row r="950" spans="1:12" x14ac:dyDescent="0.3">
      <c r="A950" s="1">
        <v>1948</v>
      </c>
      <c r="B950" s="2">
        <v>45669</v>
      </c>
      <c r="C950" s="1" t="s">
        <v>14</v>
      </c>
      <c r="D950" s="1" t="s">
        <v>65</v>
      </c>
      <c r="E950" s="1" t="s">
        <v>19</v>
      </c>
      <c r="F950" s="1">
        <v>3714.34</v>
      </c>
      <c r="G950" s="1" t="s">
        <v>78</v>
      </c>
      <c r="H950" s="2">
        <v>25099</v>
      </c>
      <c r="I950" s="2">
        <v>45670</v>
      </c>
      <c r="J950" s="1">
        <v>47.5</v>
      </c>
      <c r="K950" s="4">
        <f t="shared" si="34"/>
        <v>1764.3115</v>
      </c>
      <c r="L950" s="4">
        <f t="shared" si="35"/>
        <v>1950.0285000000001</v>
      </c>
    </row>
    <row r="951" spans="1:12" x14ac:dyDescent="0.3">
      <c r="A951" s="1">
        <v>1949</v>
      </c>
      <c r="B951" s="2">
        <v>44210</v>
      </c>
      <c r="C951" s="1" t="s">
        <v>14</v>
      </c>
      <c r="D951" s="1" t="s">
        <v>55</v>
      </c>
      <c r="E951" s="1" t="s">
        <v>31</v>
      </c>
      <c r="F951" s="1">
        <v>1241.3399999999999</v>
      </c>
      <c r="G951" s="1" t="s">
        <v>74</v>
      </c>
      <c r="H951" s="2">
        <v>31224</v>
      </c>
      <c r="I951" s="2">
        <v>44214</v>
      </c>
      <c r="J951" s="1">
        <v>29.02</v>
      </c>
      <c r="K951" s="4">
        <f t="shared" si="34"/>
        <v>360.23686800000002</v>
      </c>
      <c r="L951" s="4">
        <f t="shared" si="35"/>
        <v>881.10313199999996</v>
      </c>
    </row>
    <row r="952" spans="1:12" x14ac:dyDescent="0.3">
      <c r="A952" s="1">
        <v>1950</v>
      </c>
      <c r="B952" s="2">
        <v>45678</v>
      </c>
      <c r="C952" s="1" t="s">
        <v>10</v>
      </c>
      <c r="D952" s="1" t="s">
        <v>11</v>
      </c>
      <c r="E952" s="1" t="s">
        <v>12</v>
      </c>
      <c r="F952" s="1">
        <v>3443.53</v>
      </c>
      <c r="G952" s="1" t="s">
        <v>138</v>
      </c>
      <c r="H952" s="2">
        <v>25948</v>
      </c>
      <c r="I952" s="2">
        <v>45679</v>
      </c>
      <c r="J952" s="1">
        <v>21.96</v>
      </c>
      <c r="K952" s="4">
        <f t="shared" si="34"/>
        <v>756.19918800000005</v>
      </c>
      <c r="L952" s="4">
        <f t="shared" si="35"/>
        <v>2687.3308120000002</v>
      </c>
    </row>
    <row r="953" spans="1:12" x14ac:dyDescent="0.3">
      <c r="A953" s="1">
        <v>1951</v>
      </c>
      <c r="B953" s="2">
        <v>44071</v>
      </c>
      <c r="C953" s="1" t="s">
        <v>21</v>
      </c>
      <c r="D953" s="1" t="s">
        <v>69</v>
      </c>
      <c r="E953" s="1" t="s">
        <v>12</v>
      </c>
      <c r="F953" s="1">
        <v>3359.09</v>
      </c>
      <c r="G953" s="1" t="s">
        <v>211</v>
      </c>
      <c r="H953" s="2">
        <v>35702</v>
      </c>
      <c r="I953" s="2">
        <v>44074</v>
      </c>
      <c r="J953" s="1">
        <v>26.73</v>
      </c>
      <c r="K953" s="4">
        <f t="shared" si="34"/>
        <v>897.88475699999992</v>
      </c>
      <c r="L953" s="4">
        <f t="shared" si="35"/>
        <v>2461.2052430000003</v>
      </c>
    </row>
    <row r="954" spans="1:12" x14ac:dyDescent="0.3">
      <c r="A954" s="1">
        <v>1952</v>
      </c>
      <c r="B954" s="2">
        <v>45575</v>
      </c>
      <c r="C954" s="1" t="s">
        <v>14</v>
      </c>
      <c r="D954" s="1" t="s">
        <v>49</v>
      </c>
      <c r="E954" s="1" t="s">
        <v>12</v>
      </c>
      <c r="F954" s="1">
        <v>2503.42</v>
      </c>
      <c r="G954" s="1" t="s">
        <v>142</v>
      </c>
      <c r="H954" s="2">
        <v>29541</v>
      </c>
      <c r="I954" s="2">
        <v>45580</v>
      </c>
      <c r="J954" s="1">
        <v>5.45</v>
      </c>
      <c r="K954" s="4">
        <f t="shared" si="34"/>
        <v>136.43639000000002</v>
      </c>
      <c r="L954" s="4">
        <f t="shared" si="35"/>
        <v>2366.9836100000002</v>
      </c>
    </row>
    <row r="955" spans="1:12" x14ac:dyDescent="0.3">
      <c r="A955" s="1">
        <v>1953</v>
      </c>
      <c r="B955" s="2">
        <v>45189</v>
      </c>
      <c r="C955" s="1" t="s">
        <v>26</v>
      </c>
      <c r="D955" s="1" t="s">
        <v>61</v>
      </c>
      <c r="E955" s="1" t="s">
        <v>19</v>
      </c>
      <c r="F955" s="1">
        <v>1687.13</v>
      </c>
      <c r="G955" s="1" t="s">
        <v>160</v>
      </c>
      <c r="H955" s="2">
        <v>35321</v>
      </c>
      <c r="I955" s="2">
        <v>45201</v>
      </c>
      <c r="J955" s="1">
        <v>8.3800000000000008</v>
      </c>
      <c r="K955" s="4">
        <f t="shared" si="34"/>
        <v>141.38149400000003</v>
      </c>
      <c r="L955" s="4">
        <f t="shared" si="35"/>
        <v>1545.7485060000001</v>
      </c>
    </row>
    <row r="956" spans="1:12" x14ac:dyDescent="0.3">
      <c r="A956" s="1">
        <v>1954</v>
      </c>
      <c r="B956" s="2">
        <v>45382</v>
      </c>
      <c r="C956" s="1" t="s">
        <v>14</v>
      </c>
      <c r="D956" s="1" t="s">
        <v>40</v>
      </c>
      <c r="E956" s="1" t="s">
        <v>16</v>
      </c>
      <c r="F956" s="1">
        <v>1612.54</v>
      </c>
      <c r="G956" s="1" t="s">
        <v>224</v>
      </c>
      <c r="H956" s="2">
        <v>35405</v>
      </c>
      <c r="I956" s="2">
        <v>45389</v>
      </c>
      <c r="J956" s="1">
        <v>39.380000000000003</v>
      </c>
      <c r="K956" s="4">
        <f t="shared" si="34"/>
        <v>635.01825200000007</v>
      </c>
      <c r="L956" s="4">
        <f t="shared" si="35"/>
        <v>977.52174799999989</v>
      </c>
    </row>
    <row r="957" spans="1:12" x14ac:dyDescent="0.3">
      <c r="A957" s="1">
        <v>1955</v>
      </c>
      <c r="B957" s="2">
        <v>44402</v>
      </c>
      <c r="C957" s="1" t="s">
        <v>26</v>
      </c>
      <c r="D957" s="1" t="s">
        <v>15</v>
      </c>
      <c r="E957" s="1" t="s">
        <v>16</v>
      </c>
      <c r="F957" s="1">
        <v>1837.14</v>
      </c>
      <c r="G957" s="1" t="s">
        <v>230</v>
      </c>
      <c r="H957" s="2">
        <v>35642</v>
      </c>
      <c r="I957" s="2">
        <v>44412</v>
      </c>
      <c r="J957" s="1">
        <v>26.52</v>
      </c>
      <c r="K957" s="4">
        <f t="shared" si="34"/>
        <v>487.20952800000003</v>
      </c>
      <c r="L957" s="4">
        <f t="shared" si="35"/>
        <v>1349.930472</v>
      </c>
    </row>
    <row r="958" spans="1:12" x14ac:dyDescent="0.3">
      <c r="A958" s="1">
        <v>1956</v>
      </c>
      <c r="B958" s="2">
        <v>44520</v>
      </c>
      <c r="C958" s="1" t="s">
        <v>10</v>
      </c>
      <c r="D958" s="1" t="s">
        <v>11</v>
      </c>
      <c r="E958" s="1" t="s">
        <v>12</v>
      </c>
      <c r="F958" s="1">
        <v>4483.1499999999996</v>
      </c>
      <c r="G958" s="1" t="s">
        <v>170</v>
      </c>
      <c r="H958" s="2">
        <v>34205</v>
      </c>
      <c r="I958" s="2">
        <v>44526</v>
      </c>
      <c r="J958" s="1">
        <v>40.35</v>
      </c>
      <c r="K958" s="4">
        <f t="shared" si="34"/>
        <v>1808.9510250000001</v>
      </c>
      <c r="L958" s="4">
        <f t="shared" si="35"/>
        <v>2674.1989749999993</v>
      </c>
    </row>
    <row r="959" spans="1:12" x14ac:dyDescent="0.3">
      <c r="A959" s="1">
        <v>1957</v>
      </c>
      <c r="B959" s="2">
        <v>44245</v>
      </c>
      <c r="C959" s="1" t="s">
        <v>21</v>
      </c>
      <c r="D959" s="1" t="s">
        <v>49</v>
      </c>
      <c r="E959" s="1" t="s">
        <v>12</v>
      </c>
      <c r="F959" s="1">
        <v>1254.9100000000001</v>
      </c>
      <c r="G959" s="1" t="s">
        <v>242</v>
      </c>
      <c r="H959" s="2">
        <v>21785</v>
      </c>
      <c r="I959" s="2">
        <v>44258</v>
      </c>
      <c r="J959" s="1">
        <v>39.520000000000003</v>
      </c>
      <c r="K959" s="4">
        <f t="shared" si="34"/>
        <v>495.9404320000001</v>
      </c>
      <c r="L959" s="4">
        <f t="shared" si="35"/>
        <v>758.96956799999998</v>
      </c>
    </row>
    <row r="960" spans="1:12" x14ac:dyDescent="0.3">
      <c r="A960" s="1">
        <v>1958</v>
      </c>
      <c r="B960" s="2">
        <v>44353</v>
      </c>
      <c r="C960" s="1" t="s">
        <v>21</v>
      </c>
      <c r="D960" s="1" t="s">
        <v>40</v>
      </c>
      <c r="E960" s="1" t="s">
        <v>16</v>
      </c>
      <c r="F960" s="1">
        <v>2931.39</v>
      </c>
      <c r="G960" s="1" t="s">
        <v>79</v>
      </c>
      <c r="H960" s="2">
        <v>28675</v>
      </c>
      <c r="I960" s="2">
        <v>44356</v>
      </c>
      <c r="J960" s="1">
        <v>41.44</v>
      </c>
      <c r="K960" s="4">
        <f t="shared" si="34"/>
        <v>1214.768016</v>
      </c>
      <c r="L960" s="4">
        <f t="shared" si="35"/>
        <v>1716.6219839999999</v>
      </c>
    </row>
    <row r="961" spans="1:12" x14ac:dyDescent="0.3">
      <c r="A961" s="1">
        <v>1959</v>
      </c>
      <c r="B961" s="2">
        <v>45785</v>
      </c>
      <c r="C961" s="1" t="s">
        <v>26</v>
      </c>
      <c r="D961" s="1" t="s">
        <v>49</v>
      </c>
      <c r="E961" s="1" t="s">
        <v>12</v>
      </c>
      <c r="F961" s="1">
        <v>4482.41</v>
      </c>
      <c r="G961" s="1" t="s">
        <v>131</v>
      </c>
      <c r="H961" s="2">
        <v>38087</v>
      </c>
      <c r="I961" s="2">
        <v>45797</v>
      </c>
      <c r="J961" s="1">
        <v>45.9</v>
      </c>
      <c r="K961" s="4">
        <f t="shared" si="34"/>
        <v>2057.4261899999997</v>
      </c>
      <c r="L961" s="4">
        <f t="shared" si="35"/>
        <v>2424.9838100000002</v>
      </c>
    </row>
    <row r="962" spans="1:12" x14ac:dyDescent="0.3">
      <c r="A962" s="1">
        <v>1960</v>
      </c>
      <c r="B962" s="2">
        <v>45063</v>
      </c>
      <c r="C962" s="1" t="s">
        <v>35</v>
      </c>
      <c r="D962" s="1" t="s">
        <v>69</v>
      </c>
      <c r="E962" s="1" t="s">
        <v>31</v>
      </c>
      <c r="F962" s="1">
        <v>2174.3000000000002</v>
      </c>
      <c r="G962" s="1" t="s">
        <v>326</v>
      </c>
      <c r="H962" s="2">
        <v>25663</v>
      </c>
      <c r="I962" s="2">
        <v>45073</v>
      </c>
      <c r="J962" s="1">
        <v>31.81</v>
      </c>
      <c r="K962" s="4">
        <f t="shared" si="34"/>
        <v>691.64483000000007</v>
      </c>
      <c r="L962" s="4">
        <f t="shared" si="35"/>
        <v>1482.65517</v>
      </c>
    </row>
    <row r="963" spans="1:12" x14ac:dyDescent="0.3">
      <c r="A963" s="1">
        <v>1961</v>
      </c>
      <c r="B963" s="2">
        <v>44600</v>
      </c>
      <c r="C963" s="1" t="s">
        <v>14</v>
      </c>
      <c r="D963" s="1" t="s">
        <v>11</v>
      </c>
      <c r="E963" s="1" t="s">
        <v>12</v>
      </c>
      <c r="F963" s="1">
        <v>1709.59</v>
      </c>
      <c r="G963" s="1" t="s">
        <v>128</v>
      </c>
      <c r="H963" s="2">
        <v>37961</v>
      </c>
      <c r="I963" s="2">
        <v>44604</v>
      </c>
      <c r="J963" s="1">
        <v>47.88</v>
      </c>
      <c r="K963" s="4">
        <f t="shared" ref="K963:K1001" si="36">F963*J963%</f>
        <v>818.551692</v>
      </c>
      <c r="L963" s="4">
        <f t="shared" ref="L963:L1001" si="37">F963-K963</f>
        <v>891.03830799999992</v>
      </c>
    </row>
    <row r="964" spans="1:12" x14ac:dyDescent="0.3">
      <c r="A964" s="1">
        <v>1962</v>
      </c>
      <c r="B964" s="2">
        <v>44515</v>
      </c>
      <c r="C964" s="1" t="s">
        <v>26</v>
      </c>
      <c r="D964" s="1" t="s">
        <v>18</v>
      </c>
      <c r="E964" s="1" t="s">
        <v>19</v>
      </c>
      <c r="F964" s="1">
        <v>3171.06</v>
      </c>
      <c r="G964" s="1" t="s">
        <v>298</v>
      </c>
      <c r="H964" s="2">
        <v>30410</v>
      </c>
      <c r="I964" s="2">
        <v>44529</v>
      </c>
      <c r="J964" s="1">
        <v>47.15</v>
      </c>
      <c r="K964" s="4">
        <f t="shared" si="36"/>
        <v>1495.1547899999998</v>
      </c>
      <c r="L964" s="4">
        <f t="shared" si="37"/>
        <v>1675.9052100000001</v>
      </c>
    </row>
    <row r="965" spans="1:12" x14ac:dyDescent="0.3">
      <c r="A965" s="1">
        <v>1963</v>
      </c>
      <c r="B965" s="2">
        <v>44608</v>
      </c>
      <c r="C965" s="1" t="s">
        <v>35</v>
      </c>
      <c r="D965" s="1" t="s">
        <v>55</v>
      </c>
      <c r="E965" s="1" t="s">
        <v>31</v>
      </c>
      <c r="F965" s="1">
        <v>4888.68</v>
      </c>
      <c r="G965" s="1" t="s">
        <v>158</v>
      </c>
      <c r="H965" s="2">
        <v>34871</v>
      </c>
      <c r="I965" s="2">
        <v>44619</v>
      </c>
      <c r="J965" s="1">
        <v>38.729999999999997</v>
      </c>
      <c r="K965" s="4">
        <f t="shared" si="36"/>
        <v>1893.3857640000001</v>
      </c>
      <c r="L965" s="4">
        <f t="shared" si="37"/>
        <v>2995.2942360000002</v>
      </c>
    </row>
    <row r="966" spans="1:12" x14ac:dyDescent="0.3">
      <c r="A966" s="1">
        <v>1964</v>
      </c>
      <c r="B966" s="2">
        <v>44421</v>
      </c>
      <c r="C966" s="1" t="s">
        <v>10</v>
      </c>
      <c r="D966" s="1" t="s">
        <v>71</v>
      </c>
      <c r="E966" s="1" t="s">
        <v>31</v>
      </c>
      <c r="F966" s="1">
        <v>1024.3699999999999</v>
      </c>
      <c r="G966" s="1" t="s">
        <v>260</v>
      </c>
      <c r="H966" s="2">
        <v>38628</v>
      </c>
      <c r="I966" s="2">
        <v>44430</v>
      </c>
      <c r="J966" s="1">
        <v>41.87</v>
      </c>
      <c r="K966" s="4">
        <f t="shared" si="36"/>
        <v>428.90371899999991</v>
      </c>
      <c r="L966" s="4">
        <f t="shared" si="37"/>
        <v>595.46628099999998</v>
      </c>
    </row>
    <row r="967" spans="1:12" x14ac:dyDescent="0.3">
      <c r="A967" s="1">
        <v>1965</v>
      </c>
      <c r="B967" s="2">
        <v>44788</v>
      </c>
      <c r="C967" s="1" t="s">
        <v>21</v>
      </c>
      <c r="D967" s="1" t="s">
        <v>61</v>
      </c>
      <c r="E967" s="1" t="s">
        <v>19</v>
      </c>
      <c r="F967" s="1">
        <v>4581.2299999999996</v>
      </c>
      <c r="G967" s="1" t="s">
        <v>163</v>
      </c>
      <c r="H967" s="2">
        <v>30364</v>
      </c>
      <c r="I967" s="2">
        <v>44793</v>
      </c>
      <c r="J967" s="1">
        <v>47.09</v>
      </c>
      <c r="K967" s="4">
        <f t="shared" si="36"/>
        <v>2157.301207</v>
      </c>
      <c r="L967" s="4">
        <f t="shared" si="37"/>
        <v>2423.9287929999996</v>
      </c>
    </row>
    <row r="968" spans="1:12" x14ac:dyDescent="0.3">
      <c r="A968" s="1">
        <v>1966</v>
      </c>
      <c r="B968" s="2">
        <v>44086</v>
      </c>
      <c r="C968" s="1" t="s">
        <v>26</v>
      </c>
      <c r="D968" s="1" t="s">
        <v>65</v>
      </c>
      <c r="E968" s="1" t="s">
        <v>19</v>
      </c>
      <c r="F968" s="1">
        <v>2299.33</v>
      </c>
      <c r="G968" s="1" t="s">
        <v>84</v>
      </c>
      <c r="H968" s="2">
        <v>26472</v>
      </c>
      <c r="I968" s="2">
        <v>44095</v>
      </c>
      <c r="J968" s="1">
        <v>27.15</v>
      </c>
      <c r="K968" s="4">
        <f t="shared" si="36"/>
        <v>624.2680949999999</v>
      </c>
      <c r="L968" s="4">
        <f t="shared" si="37"/>
        <v>1675.061905</v>
      </c>
    </row>
    <row r="969" spans="1:12" x14ac:dyDescent="0.3">
      <c r="A969" s="1">
        <v>1967</v>
      </c>
      <c r="B969" s="2">
        <v>44316</v>
      </c>
      <c r="C969" s="1" t="s">
        <v>21</v>
      </c>
      <c r="D969" s="1" t="s">
        <v>15</v>
      </c>
      <c r="E969" s="1" t="s">
        <v>16</v>
      </c>
      <c r="F969" s="1">
        <v>2148.19</v>
      </c>
      <c r="G969" s="1" t="s">
        <v>223</v>
      </c>
      <c r="H969" s="2">
        <v>35407</v>
      </c>
      <c r="I969" s="2">
        <v>44324</v>
      </c>
      <c r="J969" s="1">
        <v>31.44</v>
      </c>
      <c r="K969" s="4">
        <f t="shared" si="36"/>
        <v>675.39093600000001</v>
      </c>
      <c r="L969" s="4">
        <f t="shared" si="37"/>
        <v>1472.799064</v>
      </c>
    </row>
    <row r="970" spans="1:12" x14ac:dyDescent="0.3">
      <c r="A970" s="1">
        <v>1968</v>
      </c>
      <c r="B970" s="2">
        <v>44287</v>
      </c>
      <c r="C970" s="1" t="s">
        <v>10</v>
      </c>
      <c r="D970" s="1" t="s">
        <v>22</v>
      </c>
      <c r="E970" s="1" t="s">
        <v>19</v>
      </c>
      <c r="F970" s="1">
        <v>4578.1099999999997</v>
      </c>
      <c r="G970" s="1" t="s">
        <v>23</v>
      </c>
      <c r="H970" s="2">
        <v>38378</v>
      </c>
      <c r="I970" s="2">
        <v>44289</v>
      </c>
      <c r="J970" s="1">
        <v>32.28</v>
      </c>
      <c r="K970" s="4">
        <f t="shared" si="36"/>
        <v>1477.8139080000001</v>
      </c>
      <c r="L970" s="4">
        <f t="shared" si="37"/>
        <v>3100.2960919999996</v>
      </c>
    </row>
    <row r="971" spans="1:12" x14ac:dyDescent="0.3">
      <c r="A971" s="1">
        <v>1969</v>
      </c>
      <c r="B971" s="2">
        <v>45483</v>
      </c>
      <c r="C971" s="1" t="s">
        <v>10</v>
      </c>
      <c r="D971" s="1" t="s">
        <v>71</v>
      </c>
      <c r="E971" s="1" t="s">
        <v>31</v>
      </c>
      <c r="F971" s="1">
        <v>1321.82</v>
      </c>
      <c r="G971" s="1" t="s">
        <v>254</v>
      </c>
      <c r="H971" s="2">
        <v>29366</v>
      </c>
      <c r="I971" s="2">
        <v>45497</v>
      </c>
      <c r="J971" s="1">
        <v>8.65</v>
      </c>
      <c r="K971" s="4">
        <f t="shared" si="36"/>
        <v>114.33743</v>
      </c>
      <c r="L971" s="4">
        <f t="shared" si="37"/>
        <v>1207.4825699999999</v>
      </c>
    </row>
    <row r="972" spans="1:12" x14ac:dyDescent="0.3">
      <c r="A972" s="1">
        <v>1970</v>
      </c>
      <c r="B972" s="2">
        <v>44111</v>
      </c>
      <c r="C972" s="1" t="s">
        <v>10</v>
      </c>
      <c r="D972" s="1" t="s">
        <v>58</v>
      </c>
      <c r="E972" s="1" t="s">
        <v>31</v>
      </c>
      <c r="F972" s="1">
        <v>4786.34</v>
      </c>
      <c r="G972" s="1" t="s">
        <v>327</v>
      </c>
      <c r="H972" s="2">
        <v>35343</v>
      </c>
      <c r="I972" s="2">
        <v>44115</v>
      </c>
      <c r="J972" s="1">
        <v>34.32</v>
      </c>
      <c r="K972" s="4">
        <f t="shared" si="36"/>
        <v>1642.6718880000001</v>
      </c>
      <c r="L972" s="4">
        <f t="shared" si="37"/>
        <v>3143.6681120000003</v>
      </c>
    </row>
    <row r="973" spans="1:12" x14ac:dyDescent="0.3">
      <c r="A973" s="1">
        <v>1971</v>
      </c>
      <c r="B973" s="2">
        <v>45884</v>
      </c>
      <c r="C973" s="1" t="s">
        <v>26</v>
      </c>
      <c r="D973" s="1" t="s">
        <v>44</v>
      </c>
      <c r="E973" s="1" t="s">
        <v>16</v>
      </c>
      <c r="F973" s="1">
        <v>3228.56</v>
      </c>
      <c r="G973" s="1" t="s">
        <v>37</v>
      </c>
      <c r="H973" s="2">
        <v>27534</v>
      </c>
      <c r="I973" s="2">
        <v>45890</v>
      </c>
      <c r="J973" s="1">
        <v>48.72</v>
      </c>
      <c r="K973" s="4">
        <f t="shared" si="36"/>
        <v>1572.9544319999998</v>
      </c>
      <c r="L973" s="4">
        <f t="shared" si="37"/>
        <v>1655.6055680000002</v>
      </c>
    </row>
    <row r="974" spans="1:12" x14ac:dyDescent="0.3">
      <c r="A974" s="1">
        <v>1972</v>
      </c>
      <c r="B974" s="2">
        <v>44421</v>
      </c>
      <c r="C974" s="1" t="s">
        <v>21</v>
      </c>
      <c r="D974" s="1" t="s">
        <v>40</v>
      </c>
      <c r="E974" s="1" t="s">
        <v>16</v>
      </c>
      <c r="F974" s="1">
        <v>2697.91</v>
      </c>
      <c r="G974" s="1" t="s">
        <v>80</v>
      </c>
      <c r="H974" s="2">
        <v>31578</v>
      </c>
      <c r="I974" s="2">
        <v>44431</v>
      </c>
      <c r="J974" s="1">
        <v>40.82</v>
      </c>
      <c r="K974" s="4">
        <f t="shared" si="36"/>
        <v>1101.2868619999999</v>
      </c>
      <c r="L974" s="4">
        <f t="shared" si="37"/>
        <v>1596.6231379999999</v>
      </c>
    </row>
    <row r="975" spans="1:12" x14ac:dyDescent="0.3">
      <c r="A975" s="1">
        <v>1973</v>
      </c>
      <c r="B975" s="2">
        <v>44350</v>
      </c>
      <c r="C975" s="1" t="s">
        <v>21</v>
      </c>
      <c r="D975" s="1" t="s">
        <v>40</v>
      </c>
      <c r="E975" s="1" t="s">
        <v>16</v>
      </c>
      <c r="F975" s="1">
        <v>3250.71</v>
      </c>
      <c r="G975" s="1" t="s">
        <v>205</v>
      </c>
      <c r="H975" s="2">
        <v>27526</v>
      </c>
      <c r="I975" s="2">
        <v>44352</v>
      </c>
      <c r="J975" s="1">
        <v>38.67</v>
      </c>
      <c r="K975" s="4">
        <f t="shared" si="36"/>
        <v>1257.049557</v>
      </c>
      <c r="L975" s="4">
        <f t="shared" si="37"/>
        <v>1993.660443</v>
      </c>
    </row>
    <row r="976" spans="1:12" x14ac:dyDescent="0.3">
      <c r="A976" s="1">
        <v>1974</v>
      </c>
      <c r="B976" s="2">
        <v>44959</v>
      </c>
      <c r="C976" s="1" t="s">
        <v>21</v>
      </c>
      <c r="D976" s="1" t="s">
        <v>24</v>
      </c>
      <c r="E976" s="1" t="s">
        <v>19</v>
      </c>
      <c r="F976" s="1">
        <v>1777.81</v>
      </c>
      <c r="G976" s="1" t="s">
        <v>70</v>
      </c>
      <c r="H976" s="2">
        <v>30887</v>
      </c>
      <c r="I976" s="2">
        <v>44966</v>
      </c>
      <c r="J976" s="1">
        <v>36.43</v>
      </c>
      <c r="K976" s="4">
        <f t="shared" si="36"/>
        <v>647.65618300000006</v>
      </c>
      <c r="L976" s="4">
        <f t="shared" si="37"/>
        <v>1130.1538169999999</v>
      </c>
    </row>
    <row r="977" spans="1:12" x14ac:dyDescent="0.3">
      <c r="A977" s="1">
        <v>1975</v>
      </c>
      <c r="B977" s="2">
        <v>45826</v>
      </c>
      <c r="C977" s="1" t="s">
        <v>26</v>
      </c>
      <c r="D977" s="1" t="s">
        <v>11</v>
      </c>
      <c r="E977" s="1" t="s">
        <v>12</v>
      </c>
      <c r="F977" s="1">
        <v>3112.42</v>
      </c>
      <c r="G977" s="1" t="s">
        <v>124</v>
      </c>
      <c r="H977" s="2">
        <v>30786</v>
      </c>
      <c r="I977" s="2">
        <v>45830</v>
      </c>
      <c r="J977" s="1">
        <v>38.31</v>
      </c>
      <c r="K977" s="4">
        <f t="shared" si="36"/>
        <v>1192.3681019999999</v>
      </c>
      <c r="L977" s="4">
        <f t="shared" si="37"/>
        <v>1920.0518980000002</v>
      </c>
    </row>
    <row r="978" spans="1:12" x14ac:dyDescent="0.3">
      <c r="A978" s="1">
        <v>1976</v>
      </c>
      <c r="B978" s="2">
        <v>45528</v>
      </c>
      <c r="C978" s="1" t="s">
        <v>14</v>
      </c>
      <c r="D978" s="1" t="s">
        <v>30</v>
      </c>
      <c r="E978" s="1" t="s">
        <v>31</v>
      </c>
      <c r="F978" s="1">
        <v>1607.63</v>
      </c>
      <c r="G978" s="1" t="s">
        <v>328</v>
      </c>
      <c r="H978" s="2">
        <v>28863</v>
      </c>
      <c r="I978" s="2">
        <v>45536</v>
      </c>
      <c r="J978" s="1">
        <v>25.29</v>
      </c>
      <c r="K978" s="4">
        <f t="shared" si="36"/>
        <v>406.56962700000003</v>
      </c>
      <c r="L978" s="4">
        <f t="shared" si="37"/>
        <v>1201.060373</v>
      </c>
    </row>
    <row r="979" spans="1:12" x14ac:dyDescent="0.3">
      <c r="A979" s="1">
        <v>1977</v>
      </c>
      <c r="B979" s="2">
        <v>44608</v>
      </c>
      <c r="C979" s="1" t="s">
        <v>35</v>
      </c>
      <c r="D979" s="1" t="s">
        <v>38</v>
      </c>
      <c r="E979" s="1" t="s">
        <v>28</v>
      </c>
      <c r="F979" s="1">
        <v>4210.1099999999997</v>
      </c>
      <c r="G979" s="1" t="s">
        <v>93</v>
      </c>
      <c r="H979" s="2">
        <v>33984</v>
      </c>
      <c r="I979" s="2">
        <v>44611</v>
      </c>
      <c r="J979" s="1">
        <v>24.74</v>
      </c>
      <c r="K979" s="4">
        <f t="shared" si="36"/>
        <v>1041.5812139999998</v>
      </c>
      <c r="L979" s="4">
        <f t="shared" si="37"/>
        <v>3168.5287859999999</v>
      </c>
    </row>
    <row r="980" spans="1:12" x14ac:dyDescent="0.3">
      <c r="A980" s="1">
        <v>1978</v>
      </c>
      <c r="B980" s="2">
        <v>44677</v>
      </c>
      <c r="C980" s="1" t="s">
        <v>35</v>
      </c>
      <c r="D980" s="1" t="s">
        <v>22</v>
      </c>
      <c r="E980" s="1" t="s">
        <v>19</v>
      </c>
      <c r="F980" s="1">
        <v>1140.3699999999999</v>
      </c>
      <c r="G980" s="1" t="s">
        <v>327</v>
      </c>
      <c r="H980" s="2">
        <v>35343</v>
      </c>
      <c r="I980" s="2">
        <v>44680</v>
      </c>
      <c r="J980" s="1">
        <v>23.17</v>
      </c>
      <c r="K980" s="4">
        <f t="shared" si="36"/>
        <v>264.22372899999999</v>
      </c>
      <c r="L980" s="4">
        <f t="shared" si="37"/>
        <v>876.14627099999984</v>
      </c>
    </row>
    <row r="981" spans="1:12" x14ac:dyDescent="0.3">
      <c r="A981" s="1">
        <v>1979</v>
      </c>
      <c r="B981" s="2">
        <v>45714</v>
      </c>
      <c r="C981" s="1" t="s">
        <v>10</v>
      </c>
      <c r="D981" s="1" t="s">
        <v>55</v>
      </c>
      <c r="E981" s="1" t="s">
        <v>31</v>
      </c>
      <c r="F981" s="1">
        <v>3651.65</v>
      </c>
      <c r="G981" s="1" t="s">
        <v>295</v>
      </c>
      <c r="H981" s="2">
        <v>23369</v>
      </c>
      <c r="I981" s="2">
        <v>45723</v>
      </c>
      <c r="J981" s="1">
        <v>17.829999999999998</v>
      </c>
      <c r="K981" s="4">
        <f t="shared" si="36"/>
        <v>651.08919500000002</v>
      </c>
      <c r="L981" s="4">
        <f t="shared" si="37"/>
        <v>3000.5608050000001</v>
      </c>
    </row>
    <row r="982" spans="1:12" x14ac:dyDescent="0.3">
      <c r="A982" s="1">
        <v>1980</v>
      </c>
      <c r="B982" s="2">
        <v>44666</v>
      </c>
      <c r="C982" s="1" t="s">
        <v>21</v>
      </c>
      <c r="D982" s="1" t="s">
        <v>65</v>
      </c>
      <c r="E982" s="1" t="s">
        <v>19</v>
      </c>
      <c r="F982" s="1">
        <v>2249.48</v>
      </c>
      <c r="G982" s="1" t="s">
        <v>240</v>
      </c>
      <c r="H982" s="2">
        <v>38478</v>
      </c>
      <c r="I982" s="2">
        <v>44671</v>
      </c>
      <c r="J982" s="1">
        <v>8.68</v>
      </c>
      <c r="K982" s="4">
        <f t="shared" si="36"/>
        <v>195.254864</v>
      </c>
      <c r="L982" s="4">
        <f t="shared" si="37"/>
        <v>2054.225136</v>
      </c>
    </row>
    <row r="983" spans="1:12" x14ac:dyDescent="0.3">
      <c r="A983" s="1">
        <v>1981</v>
      </c>
      <c r="B983" s="2">
        <v>44517</v>
      </c>
      <c r="C983" s="1" t="s">
        <v>10</v>
      </c>
      <c r="D983" s="1" t="s">
        <v>58</v>
      </c>
      <c r="E983" s="1" t="s">
        <v>31</v>
      </c>
      <c r="F983" s="1">
        <v>572.61</v>
      </c>
      <c r="G983" s="1" t="s">
        <v>228</v>
      </c>
      <c r="H983" s="2">
        <v>25811</v>
      </c>
      <c r="I983" s="2">
        <v>44521</v>
      </c>
      <c r="J983" s="1">
        <v>17.8</v>
      </c>
      <c r="K983" s="4">
        <f t="shared" si="36"/>
        <v>101.92458000000002</v>
      </c>
      <c r="L983" s="4">
        <f t="shared" si="37"/>
        <v>470.68542000000002</v>
      </c>
    </row>
    <row r="984" spans="1:12" x14ac:dyDescent="0.3">
      <c r="A984" s="1">
        <v>1982</v>
      </c>
      <c r="B984" s="2">
        <v>44780</v>
      </c>
      <c r="C984" s="1" t="s">
        <v>21</v>
      </c>
      <c r="D984" s="1" t="s">
        <v>24</v>
      </c>
      <c r="E984" s="1" t="s">
        <v>19</v>
      </c>
      <c r="F984" s="1">
        <v>3738.45</v>
      </c>
      <c r="G984" s="1" t="s">
        <v>287</v>
      </c>
      <c r="H984" s="2">
        <v>36329</v>
      </c>
      <c r="I984" s="2">
        <v>44783</v>
      </c>
      <c r="J984" s="1">
        <v>40.39</v>
      </c>
      <c r="K984" s="4">
        <f t="shared" si="36"/>
        <v>1509.9599549999998</v>
      </c>
      <c r="L984" s="4">
        <f t="shared" si="37"/>
        <v>2228.490045</v>
      </c>
    </row>
    <row r="985" spans="1:12" x14ac:dyDescent="0.3">
      <c r="A985" s="1">
        <v>1983</v>
      </c>
      <c r="B985" s="2">
        <v>45556</v>
      </c>
      <c r="C985" s="1" t="s">
        <v>10</v>
      </c>
      <c r="D985" s="1" t="s">
        <v>47</v>
      </c>
      <c r="E985" s="1" t="s">
        <v>12</v>
      </c>
      <c r="F985" s="1">
        <v>2860.02</v>
      </c>
      <c r="G985" s="1" t="s">
        <v>309</v>
      </c>
      <c r="H985" s="2">
        <v>23838</v>
      </c>
      <c r="I985" s="2">
        <v>45568</v>
      </c>
      <c r="J985" s="1">
        <v>9.4600000000000009</v>
      </c>
      <c r="K985" s="4">
        <f t="shared" si="36"/>
        <v>270.55789199999998</v>
      </c>
      <c r="L985" s="4">
        <f t="shared" si="37"/>
        <v>2589.4621080000002</v>
      </c>
    </row>
    <row r="986" spans="1:12" x14ac:dyDescent="0.3">
      <c r="A986" s="1">
        <v>1984</v>
      </c>
      <c r="B986" s="2">
        <v>44207</v>
      </c>
      <c r="C986" s="1" t="s">
        <v>10</v>
      </c>
      <c r="D986" s="1" t="s">
        <v>24</v>
      </c>
      <c r="E986" s="1" t="s">
        <v>19</v>
      </c>
      <c r="F986" s="1">
        <v>2382.77</v>
      </c>
      <c r="G986" s="1" t="s">
        <v>269</v>
      </c>
      <c r="H986" s="2">
        <v>30976</v>
      </c>
      <c r="I986" s="2">
        <v>44210</v>
      </c>
      <c r="J986" s="1">
        <v>28.79</v>
      </c>
      <c r="K986" s="4">
        <f t="shared" si="36"/>
        <v>685.99948299999994</v>
      </c>
      <c r="L986" s="4">
        <f t="shared" si="37"/>
        <v>1696.7705169999999</v>
      </c>
    </row>
    <row r="987" spans="1:12" x14ac:dyDescent="0.3">
      <c r="A987" s="1">
        <v>1985</v>
      </c>
      <c r="B987" s="2">
        <v>45108</v>
      </c>
      <c r="C987" s="1" t="s">
        <v>14</v>
      </c>
      <c r="D987" s="1" t="s">
        <v>24</v>
      </c>
      <c r="E987" s="1" t="s">
        <v>19</v>
      </c>
      <c r="F987" s="1">
        <v>2464.46</v>
      </c>
      <c r="G987" s="1" t="s">
        <v>304</v>
      </c>
      <c r="H987" s="2">
        <v>36246</v>
      </c>
      <c r="I987" s="2">
        <v>45111</v>
      </c>
      <c r="J987" s="1">
        <v>20.329999999999998</v>
      </c>
      <c r="K987" s="4">
        <f t="shared" si="36"/>
        <v>501.02471799999995</v>
      </c>
      <c r="L987" s="4">
        <f t="shared" si="37"/>
        <v>1963.4352820000001</v>
      </c>
    </row>
    <row r="988" spans="1:12" x14ac:dyDescent="0.3">
      <c r="A988" s="1">
        <v>1986</v>
      </c>
      <c r="B988" s="2">
        <v>45000</v>
      </c>
      <c r="C988" s="1" t="s">
        <v>21</v>
      </c>
      <c r="D988" s="1" t="s">
        <v>102</v>
      </c>
      <c r="E988" s="1" t="s">
        <v>12</v>
      </c>
      <c r="F988" s="1">
        <v>468.69</v>
      </c>
      <c r="G988" s="1" t="s">
        <v>216</v>
      </c>
      <c r="H988" s="2">
        <v>31419</v>
      </c>
      <c r="I988" s="2">
        <v>45014</v>
      </c>
      <c r="J988" s="1">
        <v>46.49</v>
      </c>
      <c r="K988" s="4">
        <f t="shared" si="36"/>
        <v>217.89398100000003</v>
      </c>
      <c r="L988" s="4">
        <f t="shared" si="37"/>
        <v>250.79601899999997</v>
      </c>
    </row>
    <row r="989" spans="1:12" x14ac:dyDescent="0.3">
      <c r="A989" s="1">
        <v>1987</v>
      </c>
      <c r="B989" s="2">
        <v>45619</v>
      </c>
      <c r="C989" s="1" t="s">
        <v>35</v>
      </c>
      <c r="D989" s="1" t="s">
        <v>71</v>
      </c>
      <c r="E989" s="1" t="s">
        <v>31</v>
      </c>
      <c r="F989" s="1">
        <v>677.56</v>
      </c>
      <c r="G989" s="1" t="s">
        <v>139</v>
      </c>
      <c r="H989" s="2">
        <v>29381</v>
      </c>
      <c r="I989" s="2">
        <v>45621</v>
      </c>
      <c r="J989" s="1">
        <v>37.049999999999997</v>
      </c>
      <c r="K989" s="4">
        <f t="shared" si="36"/>
        <v>251.03597999999997</v>
      </c>
      <c r="L989" s="4">
        <f t="shared" si="37"/>
        <v>426.52401999999995</v>
      </c>
    </row>
    <row r="990" spans="1:12" x14ac:dyDescent="0.3">
      <c r="A990" s="1">
        <v>1988</v>
      </c>
      <c r="B990" s="2">
        <v>44777</v>
      </c>
      <c r="C990" s="1" t="s">
        <v>21</v>
      </c>
      <c r="D990" s="1" t="s">
        <v>88</v>
      </c>
      <c r="E990" s="1" t="s">
        <v>16</v>
      </c>
      <c r="F990" s="1">
        <v>2122.41</v>
      </c>
      <c r="G990" s="1" t="s">
        <v>173</v>
      </c>
      <c r="H990" s="2">
        <v>22016</v>
      </c>
      <c r="I990" s="2">
        <v>44791</v>
      </c>
      <c r="J990" s="1">
        <v>16.09</v>
      </c>
      <c r="K990" s="4">
        <f t="shared" si="36"/>
        <v>341.49576899999994</v>
      </c>
      <c r="L990" s="4">
        <f t="shared" si="37"/>
        <v>1780.914231</v>
      </c>
    </row>
    <row r="991" spans="1:12" x14ac:dyDescent="0.3">
      <c r="A991" s="1">
        <v>1989</v>
      </c>
      <c r="B991" s="2">
        <v>45091</v>
      </c>
      <c r="C991" s="1" t="s">
        <v>10</v>
      </c>
      <c r="D991" s="1" t="s">
        <v>102</v>
      </c>
      <c r="E991" s="1" t="s">
        <v>12</v>
      </c>
      <c r="F991" s="1">
        <v>3431.74</v>
      </c>
      <c r="G991" s="1" t="s">
        <v>151</v>
      </c>
      <c r="H991" s="2">
        <v>34427</v>
      </c>
      <c r="I991" s="2">
        <v>45093</v>
      </c>
      <c r="J991" s="1">
        <v>31.94</v>
      </c>
      <c r="K991" s="4">
        <f t="shared" si="36"/>
        <v>1096.0977559999999</v>
      </c>
      <c r="L991" s="4">
        <f t="shared" si="37"/>
        <v>2335.6422439999997</v>
      </c>
    </row>
    <row r="992" spans="1:12" x14ac:dyDescent="0.3">
      <c r="A992" s="1">
        <v>1990</v>
      </c>
      <c r="B992" s="2">
        <v>45222</v>
      </c>
      <c r="C992" s="1" t="s">
        <v>10</v>
      </c>
      <c r="D992" s="1" t="s">
        <v>53</v>
      </c>
      <c r="E992" s="1" t="s">
        <v>28</v>
      </c>
      <c r="F992" s="1">
        <v>4273.12</v>
      </c>
      <c r="G992" s="1" t="s">
        <v>244</v>
      </c>
      <c r="H992" s="2">
        <v>30356</v>
      </c>
      <c r="I992" s="2">
        <v>45232</v>
      </c>
      <c r="J992" s="1">
        <v>36.299999999999997</v>
      </c>
      <c r="K992" s="4">
        <f t="shared" si="36"/>
        <v>1551.14256</v>
      </c>
      <c r="L992" s="4">
        <f t="shared" si="37"/>
        <v>2721.9774399999997</v>
      </c>
    </row>
    <row r="993" spans="1:12" x14ac:dyDescent="0.3">
      <c r="A993" s="1">
        <v>1991</v>
      </c>
      <c r="B993" s="2">
        <v>44469</v>
      </c>
      <c r="C993" s="1" t="s">
        <v>14</v>
      </c>
      <c r="D993" s="1" t="s">
        <v>47</v>
      </c>
      <c r="E993" s="1" t="s">
        <v>12</v>
      </c>
      <c r="F993" s="1">
        <v>1021.17</v>
      </c>
      <c r="G993" s="1" t="s">
        <v>62</v>
      </c>
      <c r="H993" s="2">
        <v>22870</v>
      </c>
      <c r="I993" s="2">
        <v>44478</v>
      </c>
      <c r="J993" s="1">
        <v>22.08</v>
      </c>
      <c r="K993" s="4">
        <f t="shared" si="36"/>
        <v>225.47433599999999</v>
      </c>
      <c r="L993" s="4">
        <f t="shared" si="37"/>
        <v>795.69566399999997</v>
      </c>
    </row>
    <row r="994" spans="1:12" x14ac:dyDescent="0.3">
      <c r="A994" s="1">
        <v>1992</v>
      </c>
      <c r="B994" s="2">
        <v>45185</v>
      </c>
      <c r="C994" s="1" t="s">
        <v>21</v>
      </c>
      <c r="D994" s="1" t="s">
        <v>27</v>
      </c>
      <c r="E994" s="1" t="s">
        <v>28</v>
      </c>
      <c r="F994" s="1">
        <v>810.89</v>
      </c>
      <c r="G994" s="1" t="s">
        <v>198</v>
      </c>
      <c r="H994" s="2">
        <v>31598</v>
      </c>
      <c r="I994" s="2">
        <v>45196</v>
      </c>
      <c r="J994" s="1">
        <v>1.1100000000000001</v>
      </c>
      <c r="K994" s="4">
        <f t="shared" si="36"/>
        <v>9.0008789999999994</v>
      </c>
      <c r="L994" s="4">
        <f t="shared" si="37"/>
        <v>801.88912099999993</v>
      </c>
    </row>
    <row r="995" spans="1:12" x14ac:dyDescent="0.3">
      <c r="A995" s="1">
        <v>1993</v>
      </c>
      <c r="B995" s="2">
        <v>44395</v>
      </c>
      <c r="C995" s="1" t="s">
        <v>21</v>
      </c>
      <c r="D995" s="1" t="s">
        <v>58</v>
      </c>
      <c r="E995" s="1" t="s">
        <v>31</v>
      </c>
      <c r="F995" s="1">
        <v>2747.73</v>
      </c>
      <c r="G995" s="1" t="s">
        <v>193</v>
      </c>
      <c r="H995" s="2">
        <v>26082</v>
      </c>
      <c r="I995" s="2">
        <v>44409</v>
      </c>
      <c r="J995" s="1">
        <v>27.71</v>
      </c>
      <c r="K995" s="4">
        <f t="shared" si="36"/>
        <v>761.395983</v>
      </c>
      <c r="L995" s="4">
        <f t="shared" si="37"/>
        <v>1986.3340170000001</v>
      </c>
    </row>
    <row r="996" spans="1:12" x14ac:dyDescent="0.3">
      <c r="A996" s="1">
        <v>1994</v>
      </c>
      <c r="B996" s="2">
        <v>44922</v>
      </c>
      <c r="C996" s="1" t="s">
        <v>35</v>
      </c>
      <c r="D996" s="1" t="s">
        <v>69</v>
      </c>
      <c r="E996" s="1" t="s">
        <v>31</v>
      </c>
      <c r="F996" s="1">
        <v>3679.17</v>
      </c>
      <c r="G996" s="1" t="s">
        <v>202</v>
      </c>
      <c r="H996" s="2">
        <v>24802</v>
      </c>
      <c r="I996" s="2">
        <v>44936</v>
      </c>
      <c r="J996" s="1">
        <v>11.92</v>
      </c>
      <c r="K996" s="4">
        <f t="shared" si="36"/>
        <v>438.55706400000003</v>
      </c>
      <c r="L996" s="4">
        <f t="shared" si="37"/>
        <v>3240.612936</v>
      </c>
    </row>
    <row r="997" spans="1:12" x14ac:dyDescent="0.3">
      <c r="A997" s="1">
        <v>1995</v>
      </c>
      <c r="B997" s="2">
        <v>44137</v>
      </c>
      <c r="C997" s="1" t="s">
        <v>14</v>
      </c>
      <c r="D997" s="1" t="s">
        <v>38</v>
      </c>
      <c r="E997" s="1" t="s">
        <v>28</v>
      </c>
      <c r="F997" s="1">
        <v>2082.8000000000002</v>
      </c>
      <c r="G997" s="1" t="s">
        <v>75</v>
      </c>
      <c r="H997" s="2">
        <v>25853</v>
      </c>
      <c r="I997" s="2">
        <v>44146</v>
      </c>
      <c r="J997" s="1">
        <v>30.49</v>
      </c>
      <c r="K997" s="4">
        <f t="shared" si="36"/>
        <v>635.04572000000007</v>
      </c>
      <c r="L997" s="4">
        <f t="shared" si="37"/>
        <v>1447.7542800000001</v>
      </c>
    </row>
    <row r="998" spans="1:12" x14ac:dyDescent="0.3">
      <c r="A998" s="1">
        <v>1996</v>
      </c>
      <c r="B998" s="2">
        <v>45720</v>
      </c>
      <c r="C998" s="1" t="s">
        <v>21</v>
      </c>
      <c r="D998" s="1" t="s">
        <v>65</v>
      </c>
      <c r="E998" s="1" t="s">
        <v>19</v>
      </c>
      <c r="F998" s="1">
        <v>339.6</v>
      </c>
      <c r="G998" s="1" t="s">
        <v>66</v>
      </c>
      <c r="H998" s="2">
        <v>33192</v>
      </c>
      <c r="I998" s="2">
        <v>45730</v>
      </c>
      <c r="J998" s="1">
        <v>41.36</v>
      </c>
      <c r="K998" s="4">
        <f t="shared" si="36"/>
        <v>140.45856000000001</v>
      </c>
      <c r="L998" s="4">
        <f t="shared" si="37"/>
        <v>199.14144000000002</v>
      </c>
    </row>
    <row r="999" spans="1:12" x14ac:dyDescent="0.3">
      <c r="A999" s="1">
        <v>1997</v>
      </c>
      <c r="B999" s="2">
        <v>44735</v>
      </c>
      <c r="C999" s="1" t="s">
        <v>26</v>
      </c>
      <c r="D999" s="1" t="s">
        <v>49</v>
      </c>
      <c r="E999" s="1" t="s">
        <v>12</v>
      </c>
      <c r="F999" s="1">
        <v>3798.58</v>
      </c>
      <c r="G999" s="1" t="s">
        <v>256</v>
      </c>
      <c r="H999" s="2">
        <v>34537</v>
      </c>
      <c r="I999" s="2">
        <v>44746</v>
      </c>
      <c r="J999" s="1">
        <v>1.3</v>
      </c>
      <c r="K999" s="4">
        <f t="shared" si="36"/>
        <v>49.381540000000001</v>
      </c>
      <c r="L999" s="4">
        <f t="shared" si="37"/>
        <v>3749.1984600000001</v>
      </c>
    </row>
    <row r="1000" spans="1:12" x14ac:dyDescent="0.3">
      <c r="A1000" s="1">
        <v>1998</v>
      </c>
      <c r="B1000" s="2">
        <v>45399</v>
      </c>
      <c r="C1000" s="1" t="s">
        <v>14</v>
      </c>
      <c r="D1000" s="1" t="s">
        <v>18</v>
      </c>
      <c r="E1000" s="1" t="s">
        <v>19</v>
      </c>
      <c r="F1000" s="1">
        <v>2405.3000000000002</v>
      </c>
      <c r="G1000" s="1" t="s">
        <v>20</v>
      </c>
      <c r="H1000" s="2">
        <v>24232</v>
      </c>
      <c r="I1000" s="2">
        <v>45405</v>
      </c>
      <c r="J1000" s="1">
        <v>14.82</v>
      </c>
      <c r="K1000" s="4">
        <f t="shared" si="36"/>
        <v>356.46546000000001</v>
      </c>
      <c r="L1000" s="4">
        <f t="shared" si="37"/>
        <v>2048.8345400000003</v>
      </c>
    </row>
    <row r="1001" spans="1:12" x14ac:dyDescent="0.3">
      <c r="A1001" s="1">
        <v>1999</v>
      </c>
      <c r="B1001" s="2">
        <v>44652</v>
      </c>
      <c r="C1001" s="1" t="s">
        <v>35</v>
      </c>
      <c r="D1001" s="1" t="s">
        <v>30</v>
      </c>
      <c r="E1001" s="1" t="s">
        <v>31</v>
      </c>
      <c r="F1001" s="1">
        <v>964.49</v>
      </c>
      <c r="G1001" s="1" t="s">
        <v>112</v>
      </c>
      <c r="H1001" s="2">
        <v>38171</v>
      </c>
      <c r="I1001" s="2">
        <v>44664</v>
      </c>
      <c r="J1001" s="1">
        <v>32.28</v>
      </c>
      <c r="K1001" s="4">
        <f t="shared" si="36"/>
        <v>311.33737200000002</v>
      </c>
      <c r="L1001" s="4">
        <f t="shared" si="37"/>
        <v>653.15262800000005</v>
      </c>
    </row>
  </sheetData>
  <mergeCells count="3">
    <mergeCell ref="P1:U3"/>
    <mergeCell ref="W1:AB3"/>
    <mergeCell ref="P32:U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799E-5651-417A-9C04-8EA93CE4FEC2}">
  <dimension ref="A1:AH1001"/>
  <sheetViews>
    <sheetView topLeftCell="Q1" workbookViewId="0">
      <selection activeCell="AC5" sqref="AC5"/>
    </sheetView>
  </sheetViews>
  <sheetFormatPr defaultRowHeight="14.4" x14ac:dyDescent="0.3"/>
  <cols>
    <col min="1" max="1" width="7.33203125" bestFit="1" customWidth="1"/>
    <col min="2" max="2" width="10.33203125" bestFit="1" customWidth="1"/>
    <col min="3" max="3" width="6.88671875" bestFit="1" customWidth="1"/>
    <col min="4" max="4" width="12.109375" bestFit="1" customWidth="1"/>
    <col min="5" max="5" width="10.6640625" bestFit="1" customWidth="1"/>
    <col min="6" max="6" width="10.33203125" bestFit="1" customWidth="1"/>
    <col min="7" max="7" width="18.77734375" bestFit="1" customWidth="1"/>
    <col min="8" max="8" width="10.33203125" bestFit="1" customWidth="1"/>
    <col min="9" max="9" width="11.44140625" bestFit="1" customWidth="1"/>
    <col min="10" max="10" width="9.44140625" bestFit="1" customWidth="1"/>
    <col min="11" max="11" width="12.5546875" bestFit="1" customWidth="1"/>
    <col min="12" max="12" width="7.88671875" bestFit="1" customWidth="1"/>
    <col min="15" max="15" width="5" bestFit="1" customWidth="1"/>
    <col min="16" max="16" width="6" bestFit="1" customWidth="1"/>
    <col min="17" max="17" width="6.88671875" bestFit="1" customWidth="1"/>
    <col min="18" max="18" width="12.109375" bestFit="1" customWidth="1"/>
    <col min="19" max="19" width="10" bestFit="1" customWidth="1"/>
    <col min="20" max="20" width="8" bestFit="1" customWidth="1"/>
    <col min="21" max="21" width="18.77734375" bestFit="1" customWidth="1"/>
    <col min="22" max="24" width="6" bestFit="1" customWidth="1"/>
    <col min="25" max="26" width="12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329</v>
      </c>
      <c r="L1" s="1" t="s">
        <v>330</v>
      </c>
      <c r="Q1" s="12" t="s">
        <v>335</v>
      </c>
      <c r="R1" s="13"/>
      <c r="S1" s="13"/>
      <c r="T1" s="13"/>
      <c r="U1" s="13"/>
      <c r="V1" s="13"/>
      <c r="W1" s="13"/>
      <c r="X1" s="13"/>
    </row>
    <row r="2" spans="1:34" x14ac:dyDescent="0.3">
      <c r="A2" s="1">
        <v>1000</v>
      </c>
      <c r="B2" s="2">
        <v>44474</v>
      </c>
      <c r="C2" s="1" t="s">
        <v>10</v>
      </c>
      <c r="D2" s="1" t="s">
        <v>11</v>
      </c>
      <c r="E2" s="1" t="s">
        <v>12</v>
      </c>
      <c r="F2" s="1">
        <v>631.19000000000005</v>
      </c>
      <c r="G2" s="1" t="s">
        <v>13</v>
      </c>
      <c r="H2" s="2">
        <v>24348</v>
      </c>
      <c r="I2" s="2">
        <v>44481</v>
      </c>
      <c r="J2" s="1">
        <v>23.27</v>
      </c>
      <c r="K2" s="4">
        <f>F2*J2%</f>
        <v>146.87791300000001</v>
      </c>
      <c r="L2" s="4">
        <f>F2-K2</f>
        <v>484.31208700000002</v>
      </c>
      <c r="Q2" s="14"/>
      <c r="R2" s="14"/>
      <c r="S2" s="14"/>
      <c r="T2" s="14"/>
      <c r="U2" s="14"/>
      <c r="V2" s="14"/>
      <c r="W2" s="14"/>
      <c r="X2" s="14"/>
    </row>
    <row r="3" spans="1:34" x14ac:dyDescent="0.3">
      <c r="A3" s="1">
        <v>1001</v>
      </c>
      <c r="B3" s="2">
        <v>44531</v>
      </c>
      <c r="C3" s="1" t="s">
        <v>14</v>
      </c>
      <c r="D3" s="1" t="s">
        <v>15</v>
      </c>
      <c r="E3" s="1" t="s">
        <v>16</v>
      </c>
      <c r="F3" s="1">
        <v>2524.6</v>
      </c>
      <c r="G3" s="1" t="s">
        <v>17</v>
      </c>
      <c r="H3" s="2">
        <v>26484</v>
      </c>
      <c r="I3" s="2">
        <v>44540</v>
      </c>
      <c r="J3" s="1">
        <v>32.72</v>
      </c>
      <c r="K3" s="4">
        <f t="shared" ref="K3:K66" si="0">F3*J3%</f>
        <v>826.0491199999999</v>
      </c>
      <c r="L3" s="4">
        <f t="shared" ref="L3:L66" si="1">F3-K3</f>
        <v>1698.55088</v>
      </c>
      <c r="O3" s="1" t="s">
        <v>0</v>
      </c>
      <c r="P3" s="1" t="s">
        <v>1</v>
      </c>
      <c r="Q3" s="1" t="s">
        <v>2</v>
      </c>
      <c r="R3" s="1" t="s">
        <v>3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329</v>
      </c>
      <c r="Z3" s="1" t="s">
        <v>330</v>
      </c>
    </row>
    <row r="4" spans="1:34" x14ac:dyDescent="0.3">
      <c r="A4" s="1">
        <v>1002</v>
      </c>
      <c r="B4" s="2">
        <v>45090</v>
      </c>
      <c r="C4" s="1" t="s">
        <v>14</v>
      </c>
      <c r="D4" s="1" t="s">
        <v>18</v>
      </c>
      <c r="E4" s="1" t="s">
        <v>19</v>
      </c>
      <c r="F4" s="1">
        <v>4796.1499999999996</v>
      </c>
      <c r="G4" s="1" t="s">
        <v>20</v>
      </c>
      <c r="H4" s="2">
        <v>24232</v>
      </c>
      <c r="I4" s="2">
        <v>45100</v>
      </c>
      <c r="J4" s="1">
        <v>37.94</v>
      </c>
      <c r="K4" s="4">
        <f t="shared" si="0"/>
        <v>1819.6593099999998</v>
      </c>
      <c r="L4" s="4">
        <f t="shared" si="1"/>
        <v>2976.4906899999996</v>
      </c>
      <c r="O4" cm="1">
        <f t="array" ref="O4:Z730">_xlfn._xlws.FILTER(A2:L1001,L2:L1001&gt;1000)</f>
        <v>1001</v>
      </c>
      <c r="P4">
        <v>44531</v>
      </c>
      <c r="Q4" t="str">
        <v>North</v>
      </c>
      <c r="R4" t="str">
        <v>Milk</v>
      </c>
      <c r="S4" t="str">
        <v>Groceries</v>
      </c>
      <c r="T4">
        <v>2524.6</v>
      </c>
      <c r="U4" t="str">
        <v>Lisa Smith</v>
      </c>
      <c r="V4">
        <v>26484</v>
      </c>
      <c r="W4">
        <v>44540</v>
      </c>
      <c r="X4">
        <v>32.72</v>
      </c>
      <c r="Y4">
        <v>826.0491199999999</v>
      </c>
      <c r="Z4">
        <v>1698.55088</v>
      </c>
      <c r="AC4" s="1" t="s">
        <v>3</v>
      </c>
      <c r="AD4" s="1" t="s">
        <v>330</v>
      </c>
    </row>
    <row r="5" spans="1:34" x14ac:dyDescent="0.3">
      <c r="A5" s="1">
        <v>1003</v>
      </c>
      <c r="B5" s="2">
        <v>45255</v>
      </c>
      <c r="C5" s="1" t="s">
        <v>21</v>
      </c>
      <c r="D5" s="1" t="s">
        <v>22</v>
      </c>
      <c r="E5" s="1" t="s">
        <v>19</v>
      </c>
      <c r="F5" s="1">
        <v>2768.66</v>
      </c>
      <c r="G5" s="1" t="s">
        <v>23</v>
      </c>
      <c r="H5" s="2">
        <v>38378</v>
      </c>
      <c r="I5" s="2">
        <v>45261</v>
      </c>
      <c r="J5" s="1">
        <v>2.4500000000000002</v>
      </c>
      <c r="K5" s="4">
        <f t="shared" si="0"/>
        <v>67.832170000000005</v>
      </c>
      <c r="L5" s="4">
        <f t="shared" si="1"/>
        <v>2700.8278299999997</v>
      </c>
      <c r="O5">
        <v>1002</v>
      </c>
      <c r="P5">
        <v>45090</v>
      </c>
      <c r="Q5" t="str">
        <v>North</v>
      </c>
      <c r="R5" t="str">
        <v>Tablet</v>
      </c>
      <c r="S5" t="str">
        <v>Electronics</v>
      </c>
      <c r="T5">
        <v>4796.1499999999996</v>
      </c>
      <c r="U5" t="str">
        <v>Mrs. Marissa Hall</v>
      </c>
      <c r="V5">
        <v>24232</v>
      </c>
      <c r="W5">
        <v>45100</v>
      </c>
      <c r="X5">
        <v>37.94</v>
      </c>
      <c r="Y5">
        <v>1819.6593099999998</v>
      </c>
      <c r="Z5">
        <v>2976.4906899999996</v>
      </c>
      <c r="AC5" t="str" cm="1">
        <f t="array" ref="AC5:AD731">_xlfn.CHOOSECOLS(_xlfn._xlws.FILTER(A2:L1001,L2:L1001&gt;1000),4,12)</f>
        <v>Milk</v>
      </c>
      <c r="AD5">
        <v>1698.55088</v>
      </c>
    </row>
    <row r="6" spans="1:34" x14ac:dyDescent="0.3">
      <c r="A6" s="1">
        <v>1004</v>
      </c>
      <c r="B6" s="2">
        <v>44906</v>
      </c>
      <c r="C6" s="1" t="s">
        <v>14</v>
      </c>
      <c r="D6" s="1" t="s">
        <v>24</v>
      </c>
      <c r="E6" s="1" t="s">
        <v>19</v>
      </c>
      <c r="F6" s="1">
        <v>3730.38</v>
      </c>
      <c r="G6" s="1" t="s">
        <v>25</v>
      </c>
      <c r="H6" s="2">
        <v>33386</v>
      </c>
      <c r="I6" s="2">
        <v>44915</v>
      </c>
      <c r="J6" s="1">
        <v>39.65</v>
      </c>
      <c r="K6" s="4">
        <f t="shared" si="0"/>
        <v>1479.0956699999999</v>
      </c>
      <c r="L6" s="4">
        <f t="shared" si="1"/>
        <v>2251.2843300000004</v>
      </c>
      <c r="O6">
        <v>1003</v>
      </c>
      <c r="P6">
        <v>45255</v>
      </c>
      <c r="Q6" t="str">
        <v>South</v>
      </c>
      <c r="R6" t="str">
        <v>Headphones</v>
      </c>
      <c r="S6" t="str">
        <v>Electronics</v>
      </c>
      <c r="T6">
        <v>2768.66</v>
      </c>
      <c r="U6" t="str">
        <v>Darryl Cooper</v>
      </c>
      <c r="V6">
        <v>38378</v>
      </c>
      <c r="W6">
        <v>45261</v>
      </c>
      <c r="X6">
        <v>2.4500000000000002</v>
      </c>
      <c r="Y6">
        <v>67.832170000000005</v>
      </c>
      <c r="Z6">
        <v>2700.8278299999997</v>
      </c>
      <c r="AC6" t="str">
        <v>Tablet</v>
      </c>
      <c r="AD6">
        <v>2976.4906899999996</v>
      </c>
      <c r="AF6" cm="1">
        <f t="array" ref="AF6:AH732">_xlfn.CHOOSECOLS(_xlfn._xlws.FILTER(A2:L1001,L2:L1001&gt;1000),1,4,12)</f>
        <v>1001</v>
      </c>
      <c r="AG6" t="str">
        <v>Milk</v>
      </c>
      <c r="AH6">
        <v>1698.55088</v>
      </c>
    </row>
    <row r="7" spans="1:34" x14ac:dyDescent="0.3">
      <c r="A7" s="1">
        <v>1005</v>
      </c>
      <c r="B7" s="2">
        <v>45350</v>
      </c>
      <c r="C7" s="1" t="s">
        <v>26</v>
      </c>
      <c r="D7" s="1" t="s">
        <v>27</v>
      </c>
      <c r="E7" s="1" t="s">
        <v>28</v>
      </c>
      <c r="F7" s="1">
        <v>393.8</v>
      </c>
      <c r="G7" s="1" t="s">
        <v>29</v>
      </c>
      <c r="H7" s="2">
        <v>24033</v>
      </c>
      <c r="I7" s="2">
        <v>45364</v>
      </c>
      <c r="J7" s="1">
        <v>7.32</v>
      </c>
      <c r="K7" s="4">
        <f t="shared" si="0"/>
        <v>28.826160000000002</v>
      </c>
      <c r="L7" s="4">
        <f t="shared" si="1"/>
        <v>364.97384</v>
      </c>
      <c r="O7">
        <v>1004</v>
      </c>
      <c r="P7">
        <v>44906</v>
      </c>
      <c r="Q7" t="str">
        <v>North</v>
      </c>
      <c r="R7" t="str">
        <v>Camera</v>
      </c>
      <c r="S7" t="str">
        <v>Electronics</v>
      </c>
      <c r="T7">
        <v>3730.38</v>
      </c>
      <c r="U7" t="str">
        <v>Melissa Douglas</v>
      </c>
      <c r="V7">
        <v>33386</v>
      </c>
      <c r="W7">
        <v>44915</v>
      </c>
      <c r="X7">
        <v>39.65</v>
      </c>
      <c r="Y7">
        <v>1479.0956699999999</v>
      </c>
      <c r="Z7">
        <v>2251.2843300000004</v>
      </c>
      <c r="AC7" t="str">
        <v>Headphones</v>
      </c>
      <c r="AD7">
        <v>2700.8278299999997</v>
      </c>
      <c r="AF7">
        <v>1002</v>
      </c>
      <c r="AG7" t="str">
        <v>Tablet</v>
      </c>
      <c r="AH7">
        <v>2976.4906899999996</v>
      </c>
    </row>
    <row r="8" spans="1:34" x14ac:dyDescent="0.3">
      <c r="A8" s="1">
        <v>1006</v>
      </c>
      <c r="B8" s="2">
        <v>45582</v>
      </c>
      <c r="C8" s="1" t="s">
        <v>10</v>
      </c>
      <c r="D8" s="1" t="s">
        <v>30</v>
      </c>
      <c r="E8" s="1" t="s">
        <v>31</v>
      </c>
      <c r="F8" s="1">
        <v>1661.65</v>
      </c>
      <c r="G8" s="1" t="s">
        <v>32</v>
      </c>
      <c r="H8" s="2">
        <v>27166</v>
      </c>
      <c r="I8" s="2">
        <v>45596</v>
      </c>
      <c r="J8" s="1">
        <v>23.68</v>
      </c>
      <c r="K8" s="4">
        <f t="shared" si="0"/>
        <v>393.47872000000007</v>
      </c>
      <c r="L8" s="4">
        <f t="shared" si="1"/>
        <v>1268.17128</v>
      </c>
      <c r="O8">
        <v>1006</v>
      </c>
      <c r="P8">
        <v>45582</v>
      </c>
      <c r="Q8" t="str">
        <v>West</v>
      </c>
      <c r="R8" t="str">
        <v>Jeans</v>
      </c>
      <c r="S8" t="str">
        <v>Clothing</v>
      </c>
      <c r="T8">
        <v>1661.65</v>
      </c>
      <c r="U8" t="str">
        <v>Wesley Olson</v>
      </c>
      <c r="V8">
        <v>27166</v>
      </c>
      <c r="W8">
        <v>45596</v>
      </c>
      <c r="X8">
        <v>23.68</v>
      </c>
      <c r="Y8">
        <v>393.47872000000007</v>
      </c>
      <c r="Z8">
        <v>1268.17128</v>
      </c>
      <c r="AC8" t="str">
        <v>Camera</v>
      </c>
      <c r="AD8">
        <v>2251.2843300000004</v>
      </c>
      <c r="AF8">
        <v>1003</v>
      </c>
      <c r="AG8" t="str">
        <v>Headphones</v>
      </c>
      <c r="AH8">
        <v>2700.8278299999997</v>
      </c>
    </row>
    <row r="9" spans="1:34" x14ac:dyDescent="0.3">
      <c r="A9" s="1">
        <v>1007</v>
      </c>
      <c r="B9" s="2">
        <v>45601</v>
      </c>
      <c r="C9" s="1" t="s">
        <v>21</v>
      </c>
      <c r="D9" s="1" t="s">
        <v>33</v>
      </c>
      <c r="E9" s="1" t="s">
        <v>16</v>
      </c>
      <c r="F9" s="1">
        <v>1343.23</v>
      </c>
      <c r="G9" s="1" t="s">
        <v>34</v>
      </c>
      <c r="H9" s="2">
        <v>25232</v>
      </c>
      <c r="I9" s="2">
        <v>45606</v>
      </c>
      <c r="J9" s="1">
        <v>12.44</v>
      </c>
      <c r="K9" s="4">
        <f t="shared" si="0"/>
        <v>167.097812</v>
      </c>
      <c r="L9" s="4">
        <f t="shared" si="1"/>
        <v>1176.132188</v>
      </c>
      <c r="O9">
        <v>1007</v>
      </c>
      <c r="P9">
        <v>45601</v>
      </c>
      <c r="Q9" t="str">
        <v>South</v>
      </c>
      <c r="R9" t="str">
        <v>Oil</v>
      </c>
      <c r="S9" t="str">
        <v>Groceries</v>
      </c>
      <c r="T9">
        <v>1343.23</v>
      </c>
      <c r="U9" t="str">
        <v>Lawrence Frazier</v>
      </c>
      <c r="V9">
        <v>25232</v>
      </c>
      <c r="W9">
        <v>45606</v>
      </c>
      <c r="X9">
        <v>12.44</v>
      </c>
      <c r="Y9">
        <v>167.097812</v>
      </c>
      <c r="Z9">
        <v>1176.132188</v>
      </c>
      <c r="AC9" t="str">
        <v>Jeans</v>
      </c>
      <c r="AD9">
        <v>1268.17128</v>
      </c>
      <c r="AF9">
        <v>1004</v>
      </c>
      <c r="AG9" t="str">
        <v>Camera</v>
      </c>
      <c r="AH9">
        <v>2251.2843300000004</v>
      </c>
    </row>
    <row r="10" spans="1:34" x14ac:dyDescent="0.3">
      <c r="A10" s="1">
        <v>1008</v>
      </c>
      <c r="B10" s="2">
        <v>45269</v>
      </c>
      <c r="C10" s="1" t="s">
        <v>35</v>
      </c>
      <c r="D10" s="1" t="s">
        <v>36</v>
      </c>
      <c r="E10" s="1" t="s">
        <v>28</v>
      </c>
      <c r="F10" s="1">
        <v>3813.09</v>
      </c>
      <c r="G10" s="1" t="s">
        <v>37</v>
      </c>
      <c r="H10" s="2">
        <v>27534</v>
      </c>
      <c r="I10" s="2">
        <v>45279</v>
      </c>
      <c r="J10" s="1">
        <v>6.96</v>
      </c>
      <c r="K10" s="4">
        <f t="shared" si="0"/>
        <v>265.39106399999997</v>
      </c>
      <c r="L10" s="4">
        <f t="shared" si="1"/>
        <v>3547.6989360000002</v>
      </c>
      <c r="O10">
        <v>1008</v>
      </c>
      <c r="P10">
        <v>45269</v>
      </c>
      <c r="Q10" t="str">
        <v>Central</v>
      </c>
      <c r="R10" t="str">
        <v>Wardrobe</v>
      </c>
      <c r="S10" t="str">
        <v>Furniture</v>
      </c>
      <c r="T10">
        <v>3813.09</v>
      </c>
      <c r="U10" t="str">
        <v>Derek Boyle</v>
      </c>
      <c r="V10">
        <v>27534</v>
      </c>
      <c r="W10">
        <v>45279</v>
      </c>
      <c r="X10">
        <v>6.96</v>
      </c>
      <c r="Y10">
        <v>265.39106399999997</v>
      </c>
      <c r="Z10">
        <v>3547.6989360000002</v>
      </c>
      <c r="AC10" t="str">
        <v>Oil</v>
      </c>
      <c r="AD10">
        <v>1176.132188</v>
      </c>
      <c r="AF10">
        <v>1006</v>
      </c>
      <c r="AG10" t="str">
        <v>Jeans</v>
      </c>
      <c r="AH10">
        <v>1268.17128</v>
      </c>
    </row>
    <row r="11" spans="1:34" x14ac:dyDescent="0.3">
      <c r="A11" s="1">
        <v>1009</v>
      </c>
      <c r="B11" s="2">
        <v>44110</v>
      </c>
      <c r="C11" s="1" t="s">
        <v>35</v>
      </c>
      <c r="D11" s="1" t="s">
        <v>38</v>
      </c>
      <c r="E11" s="1" t="s">
        <v>28</v>
      </c>
      <c r="F11" s="1">
        <v>4445.5</v>
      </c>
      <c r="G11" s="1" t="s">
        <v>39</v>
      </c>
      <c r="H11" s="2">
        <v>26282</v>
      </c>
      <c r="I11" s="2">
        <v>44123</v>
      </c>
      <c r="J11" s="1">
        <v>27.08</v>
      </c>
      <c r="K11" s="4">
        <f t="shared" si="0"/>
        <v>1203.8414</v>
      </c>
      <c r="L11" s="4">
        <f t="shared" si="1"/>
        <v>3241.6585999999998</v>
      </c>
      <c r="O11">
        <v>1009</v>
      </c>
      <c r="P11">
        <v>44110</v>
      </c>
      <c r="Q11" t="str">
        <v>Central</v>
      </c>
      <c r="R11" t="str">
        <v>Sofa</v>
      </c>
      <c r="S11" t="str">
        <v>Furniture</v>
      </c>
      <c r="T11">
        <v>4445.5</v>
      </c>
      <c r="U11" t="str">
        <v>Danielle Holloway</v>
      </c>
      <c r="V11">
        <v>26282</v>
      </c>
      <c r="W11">
        <v>44123</v>
      </c>
      <c r="X11">
        <v>27.08</v>
      </c>
      <c r="Y11">
        <v>1203.8414</v>
      </c>
      <c r="Z11">
        <v>3241.6585999999998</v>
      </c>
      <c r="AC11" t="str">
        <v>Wardrobe</v>
      </c>
      <c r="AD11">
        <v>3547.6989360000002</v>
      </c>
      <c r="AF11">
        <v>1007</v>
      </c>
      <c r="AG11" t="str">
        <v>Oil</v>
      </c>
      <c r="AH11">
        <v>1176.132188</v>
      </c>
    </row>
    <row r="12" spans="1:34" x14ac:dyDescent="0.3">
      <c r="A12" s="1">
        <v>1010</v>
      </c>
      <c r="B12" s="2">
        <v>45125</v>
      </c>
      <c r="C12" s="1" t="s">
        <v>14</v>
      </c>
      <c r="D12" s="1" t="s">
        <v>40</v>
      </c>
      <c r="E12" s="1" t="s">
        <v>16</v>
      </c>
      <c r="F12" s="1">
        <v>179.63</v>
      </c>
      <c r="G12" s="1" t="s">
        <v>41</v>
      </c>
      <c r="H12" s="2">
        <v>35818</v>
      </c>
      <c r="I12" s="2">
        <v>45128</v>
      </c>
      <c r="J12" s="1">
        <v>19.760000000000002</v>
      </c>
      <c r="K12" s="4">
        <f t="shared" si="0"/>
        <v>35.494888000000003</v>
      </c>
      <c r="L12" s="4">
        <f t="shared" si="1"/>
        <v>144.13511199999999</v>
      </c>
      <c r="O12">
        <v>1011</v>
      </c>
      <c r="P12">
        <v>44588</v>
      </c>
      <c r="Q12" t="str">
        <v>West</v>
      </c>
      <c r="R12" t="str">
        <v>Rice</v>
      </c>
      <c r="S12" t="str">
        <v>Groceries</v>
      </c>
      <c r="T12">
        <v>3282.77</v>
      </c>
      <c r="U12" t="str">
        <v>Jerry Smith</v>
      </c>
      <c r="V12">
        <v>26027</v>
      </c>
      <c r="W12">
        <v>44597</v>
      </c>
      <c r="X12">
        <v>27.39</v>
      </c>
      <c r="Y12">
        <v>899.15070300000014</v>
      </c>
      <c r="Z12">
        <v>2383.6192969999997</v>
      </c>
      <c r="AC12" t="str">
        <v>Sofa</v>
      </c>
      <c r="AD12">
        <v>3241.6585999999998</v>
      </c>
      <c r="AF12">
        <v>1008</v>
      </c>
      <c r="AG12" t="str">
        <v>Wardrobe</v>
      </c>
      <c r="AH12">
        <v>3547.6989360000002</v>
      </c>
    </row>
    <row r="13" spans="1:34" x14ac:dyDescent="0.3">
      <c r="A13" s="1">
        <v>1011</v>
      </c>
      <c r="B13" s="2">
        <v>44588</v>
      </c>
      <c r="C13" s="1" t="s">
        <v>10</v>
      </c>
      <c r="D13" s="1" t="s">
        <v>40</v>
      </c>
      <c r="E13" s="1" t="s">
        <v>16</v>
      </c>
      <c r="F13" s="1">
        <v>3282.77</v>
      </c>
      <c r="G13" s="1" t="s">
        <v>42</v>
      </c>
      <c r="H13" s="2">
        <v>26027</v>
      </c>
      <c r="I13" s="2">
        <v>44597</v>
      </c>
      <c r="J13" s="1">
        <v>27.39</v>
      </c>
      <c r="K13" s="4">
        <f t="shared" si="0"/>
        <v>899.15070300000014</v>
      </c>
      <c r="L13" s="4">
        <f t="shared" si="1"/>
        <v>2383.6192969999997</v>
      </c>
      <c r="O13">
        <v>1014</v>
      </c>
      <c r="P13">
        <v>45352</v>
      </c>
      <c r="Q13" t="str">
        <v>East</v>
      </c>
      <c r="R13" t="str">
        <v>Rice</v>
      </c>
      <c r="S13" t="str">
        <v>Groceries</v>
      </c>
      <c r="T13">
        <v>4448.16</v>
      </c>
      <c r="U13" t="str">
        <v>Brittany Allen</v>
      </c>
      <c r="V13">
        <v>24670</v>
      </c>
      <c r="W13">
        <v>45366</v>
      </c>
      <c r="X13">
        <v>27.78</v>
      </c>
      <c r="Y13">
        <v>1235.698848</v>
      </c>
      <c r="Z13">
        <v>3212.4611519999999</v>
      </c>
      <c r="AC13" t="str">
        <v>Rice</v>
      </c>
      <c r="AD13">
        <v>2383.6192969999997</v>
      </c>
      <c r="AF13">
        <v>1009</v>
      </c>
      <c r="AG13" t="str">
        <v>Sofa</v>
      </c>
      <c r="AH13">
        <v>3241.6585999999998</v>
      </c>
    </row>
    <row r="14" spans="1:34" x14ac:dyDescent="0.3">
      <c r="A14" s="1">
        <v>1012</v>
      </c>
      <c r="B14" s="2">
        <v>45413</v>
      </c>
      <c r="C14" s="1" t="s">
        <v>26</v>
      </c>
      <c r="D14" s="1" t="s">
        <v>11</v>
      </c>
      <c r="E14" s="1" t="s">
        <v>12</v>
      </c>
      <c r="F14" s="1">
        <v>1004.87</v>
      </c>
      <c r="G14" s="1" t="s">
        <v>43</v>
      </c>
      <c r="H14" s="2">
        <v>30054</v>
      </c>
      <c r="I14" s="2">
        <v>45421</v>
      </c>
      <c r="J14" s="1">
        <v>21.81</v>
      </c>
      <c r="K14" s="4">
        <f t="shared" si="0"/>
        <v>219.16214699999998</v>
      </c>
      <c r="L14" s="4">
        <f t="shared" si="1"/>
        <v>785.707853</v>
      </c>
      <c r="O14">
        <v>1015</v>
      </c>
      <c r="P14">
        <v>45567</v>
      </c>
      <c r="Q14" t="str">
        <v>West</v>
      </c>
      <c r="R14" t="str">
        <v>Tennis Racket</v>
      </c>
      <c r="S14" t="str">
        <v>Sports</v>
      </c>
      <c r="T14">
        <v>1994.4</v>
      </c>
      <c r="U14" t="str">
        <v>Timothy Mueller</v>
      </c>
      <c r="V14">
        <v>22315</v>
      </c>
      <c r="W14">
        <v>45572</v>
      </c>
      <c r="X14">
        <v>14.86</v>
      </c>
      <c r="Y14">
        <v>296.36784</v>
      </c>
      <c r="Z14">
        <v>1698.0321600000002</v>
      </c>
      <c r="AC14" t="str">
        <v>Rice</v>
      </c>
      <c r="AD14">
        <v>3212.4611519999999</v>
      </c>
      <c r="AF14">
        <v>1011</v>
      </c>
      <c r="AG14" t="str">
        <v>Rice</v>
      </c>
      <c r="AH14">
        <v>2383.6192969999997</v>
      </c>
    </row>
    <row r="15" spans="1:34" x14ac:dyDescent="0.3">
      <c r="A15" s="1">
        <v>1013</v>
      </c>
      <c r="B15" s="2">
        <v>45452</v>
      </c>
      <c r="C15" s="1" t="s">
        <v>21</v>
      </c>
      <c r="D15" s="1" t="s">
        <v>44</v>
      </c>
      <c r="E15" s="1" t="s">
        <v>16</v>
      </c>
      <c r="F15" s="1">
        <v>1447.5</v>
      </c>
      <c r="G15" s="1" t="s">
        <v>45</v>
      </c>
      <c r="H15" s="2">
        <v>34367</v>
      </c>
      <c r="I15" s="2">
        <v>45465</v>
      </c>
      <c r="J15" s="1">
        <v>41.59</v>
      </c>
      <c r="K15" s="4">
        <f t="shared" si="0"/>
        <v>602.01525000000004</v>
      </c>
      <c r="L15" s="4">
        <f t="shared" si="1"/>
        <v>845.48474999999996</v>
      </c>
      <c r="O15">
        <v>1016</v>
      </c>
      <c r="P15">
        <v>44980</v>
      </c>
      <c r="Q15" t="str">
        <v>West</v>
      </c>
      <c r="R15" t="str">
        <v>Football</v>
      </c>
      <c r="S15" t="str">
        <v>Sports</v>
      </c>
      <c r="T15">
        <v>2282.94</v>
      </c>
      <c r="U15" t="str">
        <v>David Noble</v>
      </c>
      <c r="V15">
        <v>22594</v>
      </c>
      <c r="W15">
        <v>44982</v>
      </c>
      <c r="X15">
        <v>34.58</v>
      </c>
      <c r="Y15">
        <v>789.440652</v>
      </c>
      <c r="Z15">
        <v>1493.4993480000001</v>
      </c>
      <c r="AC15" t="str">
        <v>Tennis Racket</v>
      </c>
      <c r="AD15">
        <v>1698.0321600000002</v>
      </c>
      <c r="AF15">
        <v>1014</v>
      </c>
      <c r="AG15" t="str">
        <v>Rice</v>
      </c>
      <c r="AH15">
        <v>3212.4611519999999</v>
      </c>
    </row>
    <row r="16" spans="1:34" x14ac:dyDescent="0.3">
      <c r="A16" s="1">
        <v>1014</v>
      </c>
      <c r="B16" s="2">
        <v>45352</v>
      </c>
      <c r="C16" s="1" t="s">
        <v>26</v>
      </c>
      <c r="D16" s="1" t="s">
        <v>40</v>
      </c>
      <c r="E16" s="1" t="s">
        <v>16</v>
      </c>
      <c r="F16" s="1">
        <v>4448.16</v>
      </c>
      <c r="G16" s="1" t="s">
        <v>46</v>
      </c>
      <c r="H16" s="2">
        <v>24670</v>
      </c>
      <c r="I16" s="2">
        <v>45366</v>
      </c>
      <c r="J16" s="1">
        <v>27.78</v>
      </c>
      <c r="K16" s="4">
        <f t="shared" si="0"/>
        <v>1235.698848</v>
      </c>
      <c r="L16" s="4">
        <f t="shared" si="1"/>
        <v>3212.4611519999999</v>
      </c>
      <c r="O16">
        <v>1018</v>
      </c>
      <c r="P16">
        <v>44949</v>
      </c>
      <c r="Q16" t="str">
        <v>East</v>
      </c>
      <c r="R16" t="str">
        <v>Rice</v>
      </c>
      <c r="S16" t="str">
        <v>Groceries</v>
      </c>
      <c r="T16">
        <v>3380.12</v>
      </c>
      <c r="U16" t="str">
        <v>Gregory Cohen</v>
      </c>
      <c r="V16">
        <v>30154</v>
      </c>
      <c r="W16">
        <v>44959</v>
      </c>
      <c r="X16">
        <v>48.14</v>
      </c>
      <c r="Y16">
        <v>1627.189768</v>
      </c>
      <c r="Z16">
        <v>1752.9302319999999</v>
      </c>
      <c r="AC16" t="str">
        <v>Football</v>
      </c>
      <c r="AD16">
        <v>1493.4993480000001</v>
      </c>
      <c r="AF16">
        <v>1015</v>
      </c>
      <c r="AG16" t="str">
        <v>Tennis Racket</v>
      </c>
      <c r="AH16">
        <v>1698.0321600000002</v>
      </c>
    </row>
    <row r="17" spans="1:34" x14ac:dyDescent="0.3">
      <c r="A17" s="1">
        <v>1015</v>
      </c>
      <c r="B17" s="2">
        <v>45567</v>
      </c>
      <c r="C17" s="1" t="s">
        <v>10</v>
      </c>
      <c r="D17" s="1" t="s">
        <v>47</v>
      </c>
      <c r="E17" s="1" t="s">
        <v>12</v>
      </c>
      <c r="F17" s="1">
        <v>1994.4</v>
      </c>
      <c r="G17" s="1" t="s">
        <v>48</v>
      </c>
      <c r="H17" s="2">
        <v>22315</v>
      </c>
      <c r="I17" s="2">
        <v>45572</v>
      </c>
      <c r="J17" s="1">
        <v>14.86</v>
      </c>
      <c r="K17" s="4">
        <f t="shared" si="0"/>
        <v>296.36784</v>
      </c>
      <c r="L17" s="4">
        <f t="shared" si="1"/>
        <v>1698.0321600000002</v>
      </c>
      <c r="O17">
        <v>1019</v>
      </c>
      <c r="P17">
        <v>44364</v>
      </c>
      <c r="Q17" t="str">
        <v>East</v>
      </c>
      <c r="R17" t="str">
        <v>Chair</v>
      </c>
      <c r="S17" t="str">
        <v>Furniture</v>
      </c>
      <c r="T17">
        <v>2449.4499999999998</v>
      </c>
      <c r="U17" t="str">
        <v>Nathaniel Gonzalez</v>
      </c>
      <c r="V17">
        <v>31082</v>
      </c>
      <c r="W17">
        <v>44369</v>
      </c>
      <c r="X17">
        <v>44.38</v>
      </c>
      <c r="Y17">
        <v>1087.06591</v>
      </c>
      <c r="Z17">
        <v>1362.3840899999998</v>
      </c>
      <c r="AC17" t="str">
        <v>Rice</v>
      </c>
      <c r="AD17">
        <v>1752.9302319999999</v>
      </c>
      <c r="AF17">
        <v>1016</v>
      </c>
      <c r="AG17" t="str">
        <v>Football</v>
      </c>
      <c r="AH17">
        <v>1493.4993480000001</v>
      </c>
    </row>
    <row r="18" spans="1:34" x14ac:dyDescent="0.3">
      <c r="A18" s="1">
        <v>1016</v>
      </c>
      <c r="B18" s="2">
        <v>44980</v>
      </c>
      <c r="C18" s="1" t="s">
        <v>10</v>
      </c>
      <c r="D18" s="1" t="s">
        <v>49</v>
      </c>
      <c r="E18" s="1" t="s">
        <v>12</v>
      </c>
      <c r="F18" s="1">
        <v>2282.94</v>
      </c>
      <c r="G18" s="1" t="s">
        <v>50</v>
      </c>
      <c r="H18" s="2">
        <v>22594</v>
      </c>
      <c r="I18" s="2">
        <v>44982</v>
      </c>
      <c r="J18" s="1">
        <v>34.58</v>
      </c>
      <c r="K18" s="4">
        <f t="shared" si="0"/>
        <v>789.440652</v>
      </c>
      <c r="L18" s="4">
        <f t="shared" si="1"/>
        <v>1493.4993480000001</v>
      </c>
      <c r="O18">
        <v>1021</v>
      </c>
      <c r="P18">
        <v>44260</v>
      </c>
      <c r="Q18" t="str">
        <v>West</v>
      </c>
      <c r="R18" t="str">
        <v>Rice</v>
      </c>
      <c r="S18" t="str">
        <v>Groceries</v>
      </c>
      <c r="T18">
        <v>3787.11</v>
      </c>
      <c r="U18" t="str">
        <v>Daniel Owens MD</v>
      </c>
      <c r="V18">
        <v>38353</v>
      </c>
      <c r="W18">
        <v>44274</v>
      </c>
      <c r="X18">
        <v>43.05</v>
      </c>
      <c r="Y18">
        <v>1630.3508550000001</v>
      </c>
      <c r="Z18">
        <v>2156.759145</v>
      </c>
      <c r="AC18" t="str">
        <v>Chair</v>
      </c>
      <c r="AD18">
        <v>1362.3840899999998</v>
      </c>
      <c r="AF18">
        <v>1018</v>
      </c>
      <c r="AG18" t="str">
        <v>Rice</v>
      </c>
      <c r="AH18">
        <v>1752.9302319999999</v>
      </c>
    </row>
    <row r="19" spans="1:34" x14ac:dyDescent="0.3">
      <c r="A19" s="1">
        <v>1017</v>
      </c>
      <c r="B19" s="2">
        <v>45057</v>
      </c>
      <c r="C19" s="1" t="s">
        <v>10</v>
      </c>
      <c r="D19" s="1" t="s">
        <v>27</v>
      </c>
      <c r="E19" s="1" t="s">
        <v>28</v>
      </c>
      <c r="F19" s="1">
        <v>300.31</v>
      </c>
      <c r="G19" s="1" t="s">
        <v>51</v>
      </c>
      <c r="H19" s="2">
        <v>30183</v>
      </c>
      <c r="I19" s="2">
        <v>45069</v>
      </c>
      <c r="J19" s="1">
        <v>23.72</v>
      </c>
      <c r="K19" s="4">
        <f t="shared" si="0"/>
        <v>71.233531999999997</v>
      </c>
      <c r="L19" s="4">
        <f t="shared" si="1"/>
        <v>229.07646800000001</v>
      </c>
      <c r="O19">
        <v>1022</v>
      </c>
      <c r="P19">
        <v>44985</v>
      </c>
      <c r="Q19" t="str">
        <v>South</v>
      </c>
      <c r="R19" t="str">
        <v>Cap</v>
      </c>
      <c r="S19" t="str">
        <v>Clothing</v>
      </c>
      <c r="T19">
        <v>4407.51</v>
      </c>
      <c r="U19" t="str">
        <v>Zachary Franklin</v>
      </c>
      <c r="V19">
        <v>25166</v>
      </c>
      <c r="W19">
        <v>44991</v>
      </c>
      <c r="X19">
        <v>40.35</v>
      </c>
      <c r="Y19">
        <v>1778.4302850000001</v>
      </c>
      <c r="Z19">
        <v>2629.0797149999999</v>
      </c>
      <c r="AC19" t="str">
        <v>Rice</v>
      </c>
      <c r="AD19">
        <v>2156.759145</v>
      </c>
      <c r="AF19">
        <v>1019</v>
      </c>
      <c r="AG19" t="str">
        <v>Chair</v>
      </c>
      <c r="AH19">
        <v>1362.3840899999998</v>
      </c>
    </row>
    <row r="20" spans="1:34" x14ac:dyDescent="0.3">
      <c r="A20" s="1">
        <v>1018</v>
      </c>
      <c r="B20" s="2">
        <v>44949</v>
      </c>
      <c r="C20" s="1" t="s">
        <v>26</v>
      </c>
      <c r="D20" s="1" t="s">
        <v>40</v>
      </c>
      <c r="E20" s="1" t="s">
        <v>16</v>
      </c>
      <c r="F20" s="1">
        <v>3380.12</v>
      </c>
      <c r="G20" s="1" t="s">
        <v>52</v>
      </c>
      <c r="H20" s="2">
        <v>30154</v>
      </c>
      <c r="I20" s="2">
        <v>44959</v>
      </c>
      <c r="J20" s="1">
        <v>48.14</v>
      </c>
      <c r="K20" s="4">
        <f t="shared" si="0"/>
        <v>1627.189768</v>
      </c>
      <c r="L20" s="4">
        <f t="shared" si="1"/>
        <v>1752.9302319999999</v>
      </c>
      <c r="O20">
        <v>1023</v>
      </c>
      <c r="P20">
        <v>44173</v>
      </c>
      <c r="Q20" t="str">
        <v>East</v>
      </c>
      <c r="R20" t="str">
        <v>Jeans</v>
      </c>
      <c r="S20" t="str">
        <v>Clothing</v>
      </c>
      <c r="T20">
        <v>2818.88</v>
      </c>
      <c r="U20" t="str">
        <v>Donald Mckenzie</v>
      </c>
      <c r="V20">
        <v>33482</v>
      </c>
      <c r="W20">
        <v>44181</v>
      </c>
      <c r="X20">
        <v>32.270000000000003</v>
      </c>
      <c r="Y20">
        <v>909.65257600000018</v>
      </c>
      <c r="Z20">
        <v>1909.2274239999999</v>
      </c>
      <c r="AC20" t="str">
        <v>Cap</v>
      </c>
      <c r="AD20">
        <v>2629.0797149999999</v>
      </c>
      <c r="AF20">
        <v>1021</v>
      </c>
      <c r="AG20" t="str">
        <v>Rice</v>
      </c>
      <c r="AH20">
        <v>2156.759145</v>
      </c>
    </row>
    <row r="21" spans="1:34" x14ac:dyDescent="0.3">
      <c r="A21" s="1">
        <v>1019</v>
      </c>
      <c r="B21" s="2">
        <v>44364</v>
      </c>
      <c r="C21" s="1" t="s">
        <v>26</v>
      </c>
      <c r="D21" s="1" t="s">
        <v>53</v>
      </c>
      <c r="E21" s="1" t="s">
        <v>28</v>
      </c>
      <c r="F21" s="1">
        <v>2449.4499999999998</v>
      </c>
      <c r="G21" s="1" t="s">
        <v>54</v>
      </c>
      <c r="H21" s="2">
        <v>31082</v>
      </c>
      <c r="I21" s="2">
        <v>44369</v>
      </c>
      <c r="J21" s="1">
        <v>44.38</v>
      </c>
      <c r="K21" s="4">
        <f t="shared" si="0"/>
        <v>1087.06591</v>
      </c>
      <c r="L21" s="4">
        <f t="shared" si="1"/>
        <v>1362.3840899999998</v>
      </c>
      <c r="O21">
        <v>1026</v>
      </c>
      <c r="P21">
        <v>44998</v>
      </c>
      <c r="Q21" t="str">
        <v>West</v>
      </c>
      <c r="R21" t="str">
        <v>Wheat</v>
      </c>
      <c r="S21" t="str">
        <v>Groceries</v>
      </c>
      <c r="T21">
        <v>2239.94</v>
      </c>
      <c r="U21" t="str">
        <v>Mrs. Vanessa Henson</v>
      </c>
      <c r="V21">
        <v>32375</v>
      </c>
      <c r="W21">
        <v>45003</v>
      </c>
      <c r="X21">
        <v>40.1</v>
      </c>
      <c r="Y21">
        <v>898.21594000000005</v>
      </c>
      <c r="Z21">
        <v>1341.72406</v>
      </c>
      <c r="AC21" t="str">
        <v>Jeans</v>
      </c>
      <c r="AD21">
        <v>1909.2274239999999</v>
      </c>
      <c r="AF21">
        <v>1022</v>
      </c>
      <c r="AG21" t="str">
        <v>Cap</v>
      </c>
      <c r="AH21">
        <v>2629.0797149999999</v>
      </c>
    </row>
    <row r="22" spans="1:34" x14ac:dyDescent="0.3">
      <c r="A22" s="1">
        <v>1020</v>
      </c>
      <c r="B22" s="2">
        <v>44609</v>
      </c>
      <c r="C22" s="1" t="s">
        <v>35</v>
      </c>
      <c r="D22" s="1" t="s">
        <v>55</v>
      </c>
      <c r="E22" s="1" t="s">
        <v>31</v>
      </c>
      <c r="F22" s="1">
        <v>1160.4000000000001</v>
      </c>
      <c r="G22" s="1" t="s">
        <v>56</v>
      </c>
      <c r="H22" s="2">
        <v>25712</v>
      </c>
      <c r="I22" s="2">
        <v>44618</v>
      </c>
      <c r="J22" s="1">
        <v>40.840000000000003</v>
      </c>
      <c r="K22" s="4">
        <f t="shared" si="0"/>
        <v>473.9073600000001</v>
      </c>
      <c r="L22" s="4">
        <f t="shared" si="1"/>
        <v>686.49263999999994</v>
      </c>
      <c r="O22">
        <v>1027</v>
      </c>
      <c r="P22">
        <v>45397</v>
      </c>
      <c r="Q22" t="str">
        <v>North</v>
      </c>
      <c r="R22" t="str">
        <v>Smartphone</v>
      </c>
      <c r="S22" t="str">
        <v>Electronics</v>
      </c>
      <c r="T22">
        <v>1759.25</v>
      </c>
      <c r="U22" t="str">
        <v>Nancy French</v>
      </c>
      <c r="V22">
        <v>33192</v>
      </c>
      <c r="W22">
        <v>45401</v>
      </c>
      <c r="X22">
        <v>5.46</v>
      </c>
      <c r="Y22">
        <v>96.055050000000008</v>
      </c>
      <c r="Z22">
        <v>1663.1949500000001</v>
      </c>
      <c r="AC22" t="str">
        <v>Wheat</v>
      </c>
      <c r="AD22">
        <v>1341.72406</v>
      </c>
      <c r="AF22">
        <v>1023</v>
      </c>
      <c r="AG22" t="str">
        <v>Jeans</v>
      </c>
      <c r="AH22">
        <v>1909.2274239999999</v>
      </c>
    </row>
    <row r="23" spans="1:34" x14ac:dyDescent="0.3">
      <c r="A23" s="1">
        <v>1021</v>
      </c>
      <c r="B23" s="2">
        <v>44260</v>
      </c>
      <c r="C23" s="1" t="s">
        <v>10</v>
      </c>
      <c r="D23" s="1" t="s">
        <v>40</v>
      </c>
      <c r="E23" s="1" t="s">
        <v>16</v>
      </c>
      <c r="F23" s="1">
        <v>3787.11</v>
      </c>
      <c r="G23" s="1" t="s">
        <v>57</v>
      </c>
      <c r="H23" s="2">
        <v>38353</v>
      </c>
      <c r="I23" s="2">
        <v>44274</v>
      </c>
      <c r="J23" s="1">
        <v>43.05</v>
      </c>
      <c r="K23" s="4">
        <f t="shared" si="0"/>
        <v>1630.3508550000001</v>
      </c>
      <c r="L23" s="4">
        <f t="shared" si="1"/>
        <v>2156.759145</v>
      </c>
      <c r="O23">
        <v>1028</v>
      </c>
      <c r="P23">
        <v>45841</v>
      </c>
      <c r="Q23" t="str">
        <v>West</v>
      </c>
      <c r="R23" t="str">
        <v>Milk</v>
      </c>
      <c r="S23" t="str">
        <v>Groceries</v>
      </c>
      <c r="T23">
        <v>4018.52</v>
      </c>
      <c r="U23" t="str">
        <v>Jason Davidson</v>
      </c>
      <c r="V23">
        <v>34016</v>
      </c>
      <c r="W23">
        <v>45852</v>
      </c>
      <c r="X23">
        <v>19.98</v>
      </c>
      <c r="Y23">
        <v>802.90029600000003</v>
      </c>
      <c r="Z23">
        <v>3215.6197039999997</v>
      </c>
      <c r="AC23" t="str">
        <v>Smartphone</v>
      </c>
      <c r="AD23">
        <v>1663.1949500000001</v>
      </c>
      <c r="AF23">
        <v>1026</v>
      </c>
      <c r="AG23" t="str">
        <v>Wheat</v>
      </c>
      <c r="AH23">
        <v>1341.72406</v>
      </c>
    </row>
    <row r="24" spans="1:34" x14ac:dyDescent="0.3">
      <c r="A24" s="1">
        <v>1022</v>
      </c>
      <c r="B24" s="2">
        <v>44985</v>
      </c>
      <c r="C24" s="1" t="s">
        <v>21</v>
      </c>
      <c r="D24" s="1" t="s">
        <v>58</v>
      </c>
      <c r="E24" s="1" t="s">
        <v>31</v>
      </c>
      <c r="F24" s="1">
        <v>4407.51</v>
      </c>
      <c r="G24" s="1" t="s">
        <v>59</v>
      </c>
      <c r="H24" s="2">
        <v>25166</v>
      </c>
      <c r="I24" s="2">
        <v>44991</v>
      </c>
      <c r="J24" s="1">
        <v>40.35</v>
      </c>
      <c r="K24" s="4">
        <f t="shared" si="0"/>
        <v>1778.4302850000001</v>
      </c>
      <c r="L24" s="4">
        <f t="shared" si="1"/>
        <v>2629.0797149999999</v>
      </c>
      <c r="O24">
        <v>1029</v>
      </c>
      <c r="P24">
        <v>44115</v>
      </c>
      <c r="Q24" t="str">
        <v>North</v>
      </c>
      <c r="R24" t="str">
        <v>Tennis Racket</v>
      </c>
      <c r="S24" t="str">
        <v>Sports</v>
      </c>
      <c r="T24">
        <v>1620.46</v>
      </c>
      <c r="U24" t="str">
        <v>Andrew Watson</v>
      </c>
      <c r="V24">
        <v>22079</v>
      </c>
      <c r="W24">
        <v>44127</v>
      </c>
      <c r="X24">
        <v>6.11</v>
      </c>
      <c r="Y24">
        <v>99.010106000000007</v>
      </c>
      <c r="Z24">
        <v>1521.4498940000001</v>
      </c>
      <c r="AC24" t="str">
        <v>Milk</v>
      </c>
      <c r="AD24">
        <v>3215.6197039999997</v>
      </c>
      <c r="AF24">
        <v>1027</v>
      </c>
      <c r="AG24" t="str">
        <v>Smartphone</v>
      </c>
      <c r="AH24">
        <v>1663.1949500000001</v>
      </c>
    </row>
    <row r="25" spans="1:34" x14ac:dyDescent="0.3">
      <c r="A25" s="1">
        <v>1023</v>
      </c>
      <c r="B25" s="2">
        <v>44173</v>
      </c>
      <c r="C25" s="1" t="s">
        <v>26</v>
      </c>
      <c r="D25" s="1" t="s">
        <v>30</v>
      </c>
      <c r="E25" s="1" t="s">
        <v>31</v>
      </c>
      <c r="F25" s="1">
        <v>2818.88</v>
      </c>
      <c r="G25" s="1" t="s">
        <v>60</v>
      </c>
      <c r="H25" s="2">
        <v>33482</v>
      </c>
      <c r="I25" s="2">
        <v>44181</v>
      </c>
      <c r="J25" s="1">
        <v>32.270000000000003</v>
      </c>
      <c r="K25" s="4">
        <f t="shared" si="0"/>
        <v>909.65257600000018</v>
      </c>
      <c r="L25" s="4">
        <f t="shared" si="1"/>
        <v>1909.2274239999999</v>
      </c>
      <c r="O25">
        <v>1030</v>
      </c>
      <c r="P25">
        <v>44911</v>
      </c>
      <c r="Q25" t="str">
        <v>West</v>
      </c>
      <c r="R25" t="str">
        <v>Shoes</v>
      </c>
      <c r="S25" t="str">
        <v>Sports</v>
      </c>
      <c r="T25">
        <v>4976.51</v>
      </c>
      <c r="U25" t="str">
        <v>Samuel Humphrey</v>
      </c>
      <c r="V25">
        <v>30887</v>
      </c>
      <c r="W25">
        <v>44925</v>
      </c>
      <c r="X25">
        <v>36.06</v>
      </c>
      <c r="Y25">
        <v>1794.5295060000003</v>
      </c>
      <c r="Z25">
        <v>3181.9804939999999</v>
      </c>
      <c r="AC25" t="str">
        <v>Tennis Racket</v>
      </c>
      <c r="AD25">
        <v>1521.4498940000001</v>
      </c>
      <c r="AF25">
        <v>1028</v>
      </c>
      <c r="AG25" t="str">
        <v>Milk</v>
      </c>
      <c r="AH25">
        <v>3215.6197039999997</v>
      </c>
    </row>
    <row r="26" spans="1:34" x14ac:dyDescent="0.3">
      <c r="A26" s="1">
        <v>1024</v>
      </c>
      <c r="B26" s="2">
        <v>45385</v>
      </c>
      <c r="C26" s="1" t="s">
        <v>21</v>
      </c>
      <c r="D26" s="1" t="s">
        <v>61</v>
      </c>
      <c r="E26" s="1" t="s">
        <v>19</v>
      </c>
      <c r="F26" s="1">
        <v>923.98</v>
      </c>
      <c r="G26" s="1" t="s">
        <v>62</v>
      </c>
      <c r="H26" s="2">
        <v>22870</v>
      </c>
      <c r="I26" s="2">
        <v>45387</v>
      </c>
      <c r="J26" s="1">
        <v>1.62</v>
      </c>
      <c r="K26" s="4">
        <f t="shared" si="0"/>
        <v>14.968476000000003</v>
      </c>
      <c r="L26" s="4">
        <f t="shared" si="1"/>
        <v>909.01152400000001</v>
      </c>
      <c r="O26">
        <v>1031</v>
      </c>
      <c r="P26">
        <v>44709</v>
      </c>
      <c r="Q26" t="str">
        <v>North</v>
      </c>
      <c r="R26" t="str">
        <v>T-Shirt</v>
      </c>
      <c r="S26" t="str">
        <v>Clothing</v>
      </c>
      <c r="T26">
        <v>4139.5600000000004</v>
      </c>
      <c r="U26" t="str">
        <v>Kayla Patel</v>
      </c>
      <c r="V26">
        <v>32992</v>
      </c>
      <c r="W26">
        <v>44715</v>
      </c>
      <c r="X26">
        <v>22.24</v>
      </c>
      <c r="Y26">
        <v>920.63814400000001</v>
      </c>
      <c r="Z26">
        <v>3218.9218560000004</v>
      </c>
      <c r="AC26" t="str">
        <v>Shoes</v>
      </c>
      <c r="AD26">
        <v>3181.9804939999999</v>
      </c>
      <c r="AF26">
        <v>1029</v>
      </c>
      <c r="AG26" t="str">
        <v>Tennis Racket</v>
      </c>
      <c r="AH26">
        <v>1521.4498940000001</v>
      </c>
    </row>
    <row r="27" spans="1:34" x14ac:dyDescent="0.3">
      <c r="A27" s="1">
        <v>1025</v>
      </c>
      <c r="B27" s="2">
        <v>45184</v>
      </c>
      <c r="C27" s="1" t="s">
        <v>10</v>
      </c>
      <c r="D27" s="1" t="s">
        <v>30</v>
      </c>
      <c r="E27" s="1" t="s">
        <v>31</v>
      </c>
      <c r="F27" s="1">
        <v>1341.71</v>
      </c>
      <c r="G27" s="1" t="s">
        <v>63</v>
      </c>
      <c r="H27" s="2">
        <v>25430</v>
      </c>
      <c r="I27" s="2">
        <v>45189</v>
      </c>
      <c r="J27" s="1">
        <v>38.22</v>
      </c>
      <c r="K27" s="4">
        <f t="shared" si="0"/>
        <v>512.80156199999999</v>
      </c>
      <c r="L27" s="4">
        <f t="shared" si="1"/>
        <v>828.90843800000005</v>
      </c>
      <c r="O27">
        <v>1032</v>
      </c>
      <c r="P27">
        <v>44282</v>
      </c>
      <c r="Q27" t="str">
        <v>Central</v>
      </c>
      <c r="R27" t="str">
        <v>Sofa</v>
      </c>
      <c r="S27" t="str">
        <v>Furniture</v>
      </c>
      <c r="T27">
        <v>4770.8999999999996</v>
      </c>
      <c r="U27" t="str">
        <v>Jerry Smith</v>
      </c>
      <c r="V27">
        <v>26027</v>
      </c>
      <c r="W27">
        <v>44284</v>
      </c>
      <c r="X27">
        <v>37.08</v>
      </c>
      <c r="Y27">
        <v>1769.0497199999998</v>
      </c>
      <c r="Z27">
        <v>3001.8502799999997</v>
      </c>
      <c r="AC27" t="str">
        <v>T-Shirt</v>
      </c>
      <c r="AD27">
        <v>3218.9218560000004</v>
      </c>
      <c r="AF27">
        <v>1030</v>
      </c>
      <c r="AG27" t="str">
        <v>Shoes</v>
      </c>
      <c r="AH27">
        <v>3181.9804939999999</v>
      </c>
    </row>
    <row r="28" spans="1:34" x14ac:dyDescent="0.3">
      <c r="A28" s="1">
        <v>1026</v>
      </c>
      <c r="B28" s="2">
        <v>44998</v>
      </c>
      <c r="C28" s="1" t="s">
        <v>10</v>
      </c>
      <c r="D28" s="1" t="s">
        <v>44</v>
      </c>
      <c r="E28" s="1" t="s">
        <v>16</v>
      </c>
      <c r="F28" s="1">
        <v>2239.94</v>
      </c>
      <c r="G28" s="1" t="s">
        <v>64</v>
      </c>
      <c r="H28" s="2">
        <v>32375</v>
      </c>
      <c r="I28" s="2">
        <v>45003</v>
      </c>
      <c r="J28" s="1">
        <v>40.1</v>
      </c>
      <c r="K28" s="4">
        <f t="shared" si="0"/>
        <v>898.21594000000005</v>
      </c>
      <c r="L28" s="4">
        <f t="shared" si="1"/>
        <v>1341.72406</v>
      </c>
      <c r="O28">
        <v>1033</v>
      </c>
      <c r="P28">
        <v>44348</v>
      </c>
      <c r="Q28" t="str">
        <v>West</v>
      </c>
      <c r="R28" t="str">
        <v>Table</v>
      </c>
      <c r="S28" t="str">
        <v>Furniture</v>
      </c>
      <c r="T28">
        <v>4960.07</v>
      </c>
      <c r="U28" t="str">
        <v>Billy Chavez</v>
      </c>
      <c r="V28">
        <v>31224</v>
      </c>
      <c r="W28">
        <v>44362</v>
      </c>
      <c r="X28">
        <v>32.39</v>
      </c>
      <c r="Y28">
        <v>1606.566673</v>
      </c>
      <c r="Z28">
        <v>3353.5033269999994</v>
      </c>
      <c r="AC28" t="str">
        <v>Sofa</v>
      </c>
      <c r="AD28">
        <v>3001.8502799999997</v>
      </c>
      <c r="AF28">
        <v>1031</v>
      </c>
      <c r="AG28" t="str">
        <v>T-Shirt</v>
      </c>
      <c r="AH28">
        <v>3218.9218560000004</v>
      </c>
    </row>
    <row r="29" spans="1:34" x14ac:dyDescent="0.3">
      <c r="A29" s="1">
        <v>1027</v>
      </c>
      <c r="B29" s="2">
        <v>45397</v>
      </c>
      <c r="C29" s="1" t="s">
        <v>14</v>
      </c>
      <c r="D29" s="1" t="s">
        <v>65</v>
      </c>
      <c r="E29" s="1" t="s">
        <v>19</v>
      </c>
      <c r="F29" s="1">
        <v>1759.25</v>
      </c>
      <c r="G29" s="1" t="s">
        <v>66</v>
      </c>
      <c r="H29" s="2">
        <v>33192</v>
      </c>
      <c r="I29" s="2">
        <v>45401</v>
      </c>
      <c r="J29" s="1">
        <v>5.46</v>
      </c>
      <c r="K29" s="4">
        <f t="shared" si="0"/>
        <v>96.055050000000008</v>
      </c>
      <c r="L29" s="4">
        <f t="shared" si="1"/>
        <v>1663.1949500000001</v>
      </c>
      <c r="O29">
        <v>1034</v>
      </c>
      <c r="P29">
        <v>45016</v>
      </c>
      <c r="Q29" t="str">
        <v>West</v>
      </c>
      <c r="R29" t="str">
        <v>Tennis Racket</v>
      </c>
      <c r="S29" t="str">
        <v>Sports</v>
      </c>
      <c r="T29">
        <v>3598.89</v>
      </c>
      <c r="U29" t="str">
        <v>Taylor Richardson</v>
      </c>
      <c r="V29">
        <v>25853</v>
      </c>
      <c r="W29">
        <v>45026</v>
      </c>
      <c r="X29">
        <v>2.8</v>
      </c>
      <c r="Y29">
        <v>100.76891999999998</v>
      </c>
      <c r="Z29">
        <v>3498.1210799999999</v>
      </c>
      <c r="AC29" t="str">
        <v>Table</v>
      </c>
      <c r="AD29">
        <v>3353.5033269999994</v>
      </c>
      <c r="AF29">
        <v>1032</v>
      </c>
      <c r="AG29" t="str">
        <v>Sofa</v>
      </c>
      <c r="AH29">
        <v>3001.8502799999997</v>
      </c>
    </row>
    <row r="30" spans="1:34" x14ac:dyDescent="0.3">
      <c r="A30" s="1">
        <v>1028</v>
      </c>
      <c r="B30" s="2">
        <v>45841</v>
      </c>
      <c r="C30" s="1" t="s">
        <v>10</v>
      </c>
      <c r="D30" s="1" t="s">
        <v>15</v>
      </c>
      <c r="E30" s="1" t="s">
        <v>16</v>
      </c>
      <c r="F30" s="1">
        <v>4018.52</v>
      </c>
      <c r="G30" s="1" t="s">
        <v>67</v>
      </c>
      <c r="H30" s="2">
        <v>34016</v>
      </c>
      <c r="I30" s="2">
        <v>45852</v>
      </c>
      <c r="J30" s="1">
        <v>19.98</v>
      </c>
      <c r="K30" s="4">
        <f t="shared" si="0"/>
        <v>802.90029600000003</v>
      </c>
      <c r="L30" s="4">
        <f t="shared" si="1"/>
        <v>3215.6197039999997</v>
      </c>
      <c r="O30">
        <v>1035</v>
      </c>
      <c r="P30">
        <v>45070</v>
      </c>
      <c r="Q30" t="str">
        <v>East</v>
      </c>
      <c r="R30" t="str">
        <v>Shoes</v>
      </c>
      <c r="S30" t="str">
        <v>Clothing</v>
      </c>
      <c r="T30">
        <v>2445.59</v>
      </c>
      <c r="U30" t="str">
        <v>Carol Lopez</v>
      </c>
      <c r="V30">
        <v>37049</v>
      </c>
      <c r="W30">
        <v>45081</v>
      </c>
      <c r="X30">
        <v>9.6</v>
      </c>
      <c r="Y30">
        <v>234.77664000000001</v>
      </c>
      <c r="Z30">
        <v>2210.8133600000001</v>
      </c>
      <c r="AC30" t="str">
        <v>Tennis Racket</v>
      </c>
      <c r="AD30">
        <v>3498.1210799999999</v>
      </c>
      <c r="AF30">
        <v>1033</v>
      </c>
      <c r="AG30" t="str">
        <v>Table</v>
      </c>
      <c r="AH30">
        <v>3353.5033269999994</v>
      </c>
    </row>
    <row r="31" spans="1:34" x14ac:dyDescent="0.3">
      <c r="A31" s="1">
        <v>1029</v>
      </c>
      <c r="B31" s="2">
        <v>44115</v>
      </c>
      <c r="C31" s="1" t="s">
        <v>14</v>
      </c>
      <c r="D31" s="1" t="s">
        <v>47</v>
      </c>
      <c r="E31" s="1" t="s">
        <v>12</v>
      </c>
      <c r="F31" s="1">
        <v>1620.46</v>
      </c>
      <c r="G31" s="1" t="s">
        <v>68</v>
      </c>
      <c r="H31" s="2">
        <v>22079</v>
      </c>
      <c r="I31" s="2">
        <v>44127</v>
      </c>
      <c r="J31" s="1">
        <v>6.11</v>
      </c>
      <c r="K31" s="4">
        <f t="shared" si="0"/>
        <v>99.010106000000007</v>
      </c>
      <c r="L31" s="4">
        <f t="shared" si="1"/>
        <v>1521.4498940000001</v>
      </c>
      <c r="O31">
        <v>1036</v>
      </c>
      <c r="P31">
        <v>45035</v>
      </c>
      <c r="Q31" t="str">
        <v>Central</v>
      </c>
      <c r="R31" t="str">
        <v>Cap</v>
      </c>
      <c r="S31" t="str">
        <v>Clothing</v>
      </c>
      <c r="T31">
        <v>3781.84</v>
      </c>
      <c r="U31" t="str">
        <v>Sherry Henry</v>
      </c>
      <c r="V31">
        <v>38696</v>
      </c>
      <c r="W31">
        <v>45038</v>
      </c>
      <c r="X31">
        <v>35.909999999999997</v>
      </c>
      <c r="Y31">
        <v>1358.0587439999999</v>
      </c>
      <c r="Z31">
        <v>2423.7812560000002</v>
      </c>
      <c r="AC31" t="str">
        <v>Shoes</v>
      </c>
      <c r="AD31">
        <v>2210.8133600000001</v>
      </c>
      <c r="AF31">
        <v>1034</v>
      </c>
      <c r="AG31" t="str">
        <v>Tennis Racket</v>
      </c>
      <c r="AH31">
        <v>3498.1210799999999</v>
      </c>
    </row>
    <row r="32" spans="1:34" x14ac:dyDescent="0.3">
      <c r="A32" s="1">
        <v>1030</v>
      </c>
      <c r="B32" s="2">
        <v>44911</v>
      </c>
      <c r="C32" s="1" t="s">
        <v>10</v>
      </c>
      <c r="D32" s="1" t="s">
        <v>69</v>
      </c>
      <c r="E32" s="1" t="s">
        <v>12</v>
      </c>
      <c r="F32" s="1">
        <v>4976.51</v>
      </c>
      <c r="G32" s="1" t="s">
        <v>70</v>
      </c>
      <c r="H32" s="2">
        <v>30887</v>
      </c>
      <c r="I32" s="2">
        <v>44925</v>
      </c>
      <c r="J32" s="1">
        <v>36.06</v>
      </c>
      <c r="K32" s="4">
        <f t="shared" si="0"/>
        <v>1794.5295060000003</v>
      </c>
      <c r="L32" s="4">
        <f t="shared" si="1"/>
        <v>3181.9804939999999</v>
      </c>
      <c r="O32">
        <v>1037</v>
      </c>
      <c r="P32">
        <v>45283</v>
      </c>
      <c r="Q32" t="str">
        <v>South</v>
      </c>
      <c r="R32" t="str">
        <v>T-Shirt</v>
      </c>
      <c r="S32" t="str">
        <v>Clothing</v>
      </c>
      <c r="T32">
        <v>2577.08</v>
      </c>
      <c r="U32" t="str">
        <v>Shane Morgan</v>
      </c>
      <c r="V32">
        <v>25099</v>
      </c>
      <c r="W32">
        <v>45294</v>
      </c>
      <c r="X32">
        <v>14.51</v>
      </c>
      <c r="Y32">
        <v>373.93430799999999</v>
      </c>
      <c r="Z32">
        <v>2203.1456920000001</v>
      </c>
      <c r="AC32" t="str">
        <v>Cap</v>
      </c>
      <c r="AD32">
        <v>2423.7812560000002</v>
      </c>
      <c r="AF32">
        <v>1035</v>
      </c>
      <c r="AG32" t="str">
        <v>Shoes</v>
      </c>
      <c r="AH32">
        <v>2210.8133600000001</v>
      </c>
    </row>
    <row r="33" spans="1:34" x14ac:dyDescent="0.3">
      <c r="A33" s="1">
        <v>1031</v>
      </c>
      <c r="B33" s="2">
        <v>44709</v>
      </c>
      <c r="C33" s="1" t="s">
        <v>14</v>
      </c>
      <c r="D33" s="1" t="s">
        <v>71</v>
      </c>
      <c r="E33" s="1" t="s">
        <v>31</v>
      </c>
      <c r="F33" s="1">
        <v>4139.5600000000004</v>
      </c>
      <c r="G33" s="1" t="s">
        <v>72</v>
      </c>
      <c r="H33" s="2">
        <v>32992</v>
      </c>
      <c r="I33" s="2">
        <v>44715</v>
      </c>
      <c r="J33" s="1">
        <v>22.24</v>
      </c>
      <c r="K33" s="4">
        <f t="shared" si="0"/>
        <v>920.63814400000001</v>
      </c>
      <c r="L33" s="4">
        <f t="shared" si="1"/>
        <v>3218.9218560000004</v>
      </c>
      <c r="O33">
        <v>1039</v>
      </c>
      <c r="P33">
        <v>44521</v>
      </c>
      <c r="Q33" t="str">
        <v>Central</v>
      </c>
      <c r="R33" t="str">
        <v>Cap</v>
      </c>
      <c r="S33" t="str">
        <v>Clothing</v>
      </c>
      <c r="T33">
        <v>2471.8000000000002</v>
      </c>
      <c r="U33" t="str">
        <v>Lisa Garcia</v>
      </c>
      <c r="V33">
        <v>31578</v>
      </c>
      <c r="W33">
        <v>44522</v>
      </c>
      <c r="X33">
        <v>29.86</v>
      </c>
      <c r="Y33">
        <v>738.07947999999999</v>
      </c>
      <c r="Z33">
        <v>1733.7205200000003</v>
      </c>
      <c r="AC33" t="str">
        <v>T-Shirt</v>
      </c>
      <c r="AD33">
        <v>2203.1456920000001</v>
      </c>
      <c r="AF33">
        <v>1036</v>
      </c>
      <c r="AG33" t="str">
        <v>Cap</v>
      </c>
      <c r="AH33">
        <v>2423.7812560000002</v>
      </c>
    </row>
    <row r="34" spans="1:34" x14ac:dyDescent="0.3">
      <c r="A34" s="1">
        <v>1032</v>
      </c>
      <c r="B34" s="2">
        <v>44282</v>
      </c>
      <c r="C34" s="1" t="s">
        <v>35</v>
      </c>
      <c r="D34" s="1" t="s">
        <v>38</v>
      </c>
      <c r="E34" s="1" t="s">
        <v>28</v>
      </c>
      <c r="F34" s="1">
        <v>4770.8999999999996</v>
      </c>
      <c r="G34" s="1" t="s">
        <v>42</v>
      </c>
      <c r="H34" s="2">
        <v>26027</v>
      </c>
      <c r="I34" s="2">
        <v>44284</v>
      </c>
      <c r="J34" s="1">
        <v>37.08</v>
      </c>
      <c r="K34" s="4">
        <f t="shared" si="0"/>
        <v>1769.0497199999998</v>
      </c>
      <c r="L34" s="4">
        <f t="shared" si="1"/>
        <v>3001.8502799999997</v>
      </c>
      <c r="O34">
        <v>1040</v>
      </c>
      <c r="P34">
        <v>45056</v>
      </c>
      <c r="Q34" t="str">
        <v>West</v>
      </c>
      <c r="R34" t="str">
        <v>Camera</v>
      </c>
      <c r="S34" t="str">
        <v>Electronics</v>
      </c>
      <c r="T34">
        <v>2421.06</v>
      </c>
      <c r="U34" t="str">
        <v>Timothy Diaz</v>
      </c>
      <c r="V34">
        <v>38350</v>
      </c>
      <c r="W34">
        <v>45069</v>
      </c>
      <c r="X34">
        <v>41.86</v>
      </c>
      <c r="Y34">
        <v>1013.4557159999999</v>
      </c>
      <c r="Z34">
        <v>1407.604284</v>
      </c>
      <c r="AC34" t="str">
        <v>Cap</v>
      </c>
      <c r="AD34">
        <v>1733.7205200000003</v>
      </c>
      <c r="AF34">
        <v>1037</v>
      </c>
      <c r="AG34" t="str">
        <v>T-Shirt</v>
      </c>
      <c r="AH34">
        <v>2203.1456920000001</v>
      </c>
    </row>
    <row r="35" spans="1:34" x14ac:dyDescent="0.3">
      <c r="A35" s="1">
        <v>1033</v>
      </c>
      <c r="B35" s="2">
        <v>44348</v>
      </c>
      <c r="C35" s="1" t="s">
        <v>10</v>
      </c>
      <c r="D35" s="1" t="s">
        <v>73</v>
      </c>
      <c r="E35" s="1" t="s">
        <v>28</v>
      </c>
      <c r="F35" s="1">
        <v>4960.07</v>
      </c>
      <c r="G35" s="1" t="s">
        <v>74</v>
      </c>
      <c r="H35" s="2">
        <v>31224</v>
      </c>
      <c r="I35" s="2">
        <v>44362</v>
      </c>
      <c r="J35" s="1">
        <v>32.39</v>
      </c>
      <c r="K35" s="4">
        <f t="shared" si="0"/>
        <v>1606.566673</v>
      </c>
      <c r="L35" s="4">
        <f t="shared" si="1"/>
        <v>3353.5033269999994</v>
      </c>
      <c r="O35">
        <v>1041</v>
      </c>
      <c r="P35">
        <v>44876</v>
      </c>
      <c r="Q35" t="str">
        <v>East</v>
      </c>
      <c r="R35" t="str">
        <v>Tablet</v>
      </c>
      <c r="S35" t="str">
        <v>Electronics</v>
      </c>
      <c r="T35">
        <v>2755.69</v>
      </c>
      <c r="U35" t="str">
        <v>Anthony Lee</v>
      </c>
      <c r="V35">
        <v>38879</v>
      </c>
      <c r="W35">
        <v>44881</v>
      </c>
      <c r="X35">
        <v>8.0500000000000007</v>
      </c>
      <c r="Y35">
        <v>221.833045</v>
      </c>
      <c r="Z35">
        <v>2533.8569550000002</v>
      </c>
      <c r="AC35" t="str">
        <v>Camera</v>
      </c>
      <c r="AD35">
        <v>1407.604284</v>
      </c>
      <c r="AF35">
        <v>1039</v>
      </c>
      <c r="AG35" t="str">
        <v>Cap</v>
      </c>
      <c r="AH35">
        <v>1733.7205200000003</v>
      </c>
    </row>
    <row r="36" spans="1:34" x14ac:dyDescent="0.3">
      <c r="A36" s="1">
        <v>1034</v>
      </c>
      <c r="B36" s="2">
        <v>45016</v>
      </c>
      <c r="C36" s="1" t="s">
        <v>10</v>
      </c>
      <c r="D36" s="1" t="s">
        <v>47</v>
      </c>
      <c r="E36" s="1" t="s">
        <v>12</v>
      </c>
      <c r="F36" s="1">
        <v>3598.89</v>
      </c>
      <c r="G36" s="1" t="s">
        <v>75</v>
      </c>
      <c r="H36" s="2">
        <v>25853</v>
      </c>
      <c r="I36" s="2">
        <v>45026</v>
      </c>
      <c r="J36" s="1">
        <v>2.8</v>
      </c>
      <c r="K36" s="4">
        <f t="shared" si="0"/>
        <v>100.76891999999998</v>
      </c>
      <c r="L36" s="4">
        <f t="shared" si="1"/>
        <v>3498.1210799999999</v>
      </c>
      <c r="O36">
        <v>1042</v>
      </c>
      <c r="P36">
        <v>44218</v>
      </c>
      <c r="Q36" t="str">
        <v>Central</v>
      </c>
      <c r="R36" t="str">
        <v>Smartphone</v>
      </c>
      <c r="S36" t="str">
        <v>Electronics</v>
      </c>
      <c r="T36">
        <v>2810.19</v>
      </c>
      <c r="U36" t="str">
        <v>Patricia Burton</v>
      </c>
      <c r="V36">
        <v>24673</v>
      </c>
      <c r="W36">
        <v>44225</v>
      </c>
      <c r="X36">
        <v>22.77</v>
      </c>
      <c r="Y36">
        <v>639.88026300000001</v>
      </c>
      <c r="Z36">
        <v>2170.309737</v>
      </c>
      <c r="AC36" t="str">
        <v>Tablet</v>
      </c>
      <c r="AD36">
        <v>2533.8569550000002</v>
      </c>
      <c r="AF36">
        <v>1040</v>
      </c>
      <c r="AG36" t="str">
        <v>Camera</v>
      </c>
      <c r="AH36">
        <v>1407.604284</v>
      </c>
    </row>
    <row r="37" spans="1:34" x14ac:dyDescent="0.3">
      <c r="A37" s="1">
        <v>1035</v>
      </c>
      <c r="B37" s="2">
        <v>45070</v>
      </c>
      <c r="C37" s="1" t="s">
        <v>26</v>
      </c>
      <c r="D37" s="1" t="s">
        <v>69</v>
      </c>
      <c r="E37" s="1" t="s">
        <v>31</v>
      </c>
      <c r="F37" s="1">
        <v>2445.59</v>
      </c>
      <c r="G37" s="1" t="s">
        <v>76</v>
      </c>
      <c r="H37" s="2">
        <v>37049</v>
      </c>
      <c r="I37" s="2">
        <v>45081</v>
      </c>
      <c r="J37" s="1">
        <v>9.6</v>
      </c>
      <c r="K37" s="4">
        <f t="shared" si="0"/>
        <v>234.77664000000001</v>
      </c>
      <c r="L37" s="4">
        <f t="shared" si="1"/>
        <v>2210.8133600000001</v>
      </c>
      <c r="O37">
        <v>1043</v>
      </c>
      <c r="P37">
        <v>45566</v>
      </c>
      <c r="Q37" t="str">
        <v>South</v>
      </c>
      <c r="R37" t="str">
        <v>T-Shirt</v>
      </c>
      <c r="S37" t="str">
        <v>Clothing</v>
      </c>
      <c r="T37">
        <v>2567.7399999999998</v>
      </c>
      <c r="U37" t="str">
        <v>Alexandria Stone</v>
      </c>
      <c r="V37">
        <v>26472</v>
      </c>
      <c r="W37">
        <v>45578</v>
      </c>
      <c r="X37">
        <v>43.1</v>
      </c>
      <c r="Y37">
        <v>1106.6959399999998</v>
      </c>
      <c r="Z37">
        <v>1461.0440599999999</v>
      </c>
      <c r="AC37" t="str">
        <v>Smartphone</v>
      </c>
      <c r="AD37">
        <v>2170.309737</v>
      </c>
      <c r="AF37">
        <v>1041</v>
      </c>
      <c r="AG37" t="str">
        <v>Tablet</v>
      </c>
      <c r="AH37">
        <v>2533.8569550000002</v>
      </c>
    </row>
    <row r="38" spans="1:34" x14ac:dyDescent="0.3">
      <c r="A38" s="1">
        <v>1036</v>
      </c>
      <c r="B38" s="2">
        <v>45035</v>
      </c>
      <c r="C38" s="1" t="s">
        <v>35</v>
      </c>
      <c r="D38" s="1" t="s">
        <v>58</v>
      </c>
      <c r="E38" s="1" t="s">
        <v>31</v>
      </c>
      <c r="F38" s="1">
        <v>3781.84</v>
      </c>
      <c r="G38" s="1" t="s">
        <v>77</v>
      </c>
      <c r="H38" s="2">
        <v>38696</v>
      </c>
      <c r="I38" s="2">
        <v>45038</v>
      </c>
      <c r="J38" s="1">
        <v>35.909999999999997</v>
      </c>
      <c r="K38" s="4">
        <f t="shared" si="0"/>
        <v>1358.0587439999999</v>
      </c>
      <c r="L38" s="4">
        <f t="shared" si="1"/>
        <v>2423.7812560000002</v>
      </c>
      <c r="O38">
        <v>1044</v>
      </c>
      <c r="P38">
        <v>45605</v>
      </c>
      <c r="Q38" t="str">
        <v>East</v>
      </c>
      <c r="R38" t="str">
        <v>Wheat</v>
      </c>
      <c r="S38" t="str">
        <v>Groceries</v>
      </c>
      <c r="T38">
        <v>1716.51</v>
      </c>
      <c r="U38" t="str">
        <v>Jason Davidson</v>
      </c>
      <c r="V38">
        <v>34016</v>
      </c>
      <c r="W38">
        <v>45619</v>
      </c>
      <c r="X38">
        <v>4.53</v>
      </c>
      <c r="Y38">
        <v>77.757902999999999</v>
      </c>
      <c r="Z38">
        <v>1638.752097</v>
      </c>
      <c r="AC38" t="str">
        <v>T-Shirt</v>
      </c>
      <c r="AD38">
        <v>1461.0440599999999</v>
      </c>
      <c r="AF38">
        <v>1042</v>
      </c>
      <c r="AG38" t="str">
        <v>Smartphone</v>
      </c>
      <c r="AH38">
        <v>2170.309737</v>
      </c>
    </row>
    <row r="39" spans="1:34" x14ac:dyDescent="0.3">
      <c r="A39" s="1">
        <v>1037</v>
      </c>
      <c r="B39" s="2">
        <v>45283</v>
      </c>
      <c r="C39" s="1" t="s">
        <v>21</v>
      </c>
      <c r="D39" s="1" t="s">
        <v>71</v>
      </c>
      <c r="E39" s="1" t="s">
        <v>31</v>
      </c>
      <c r="F39" s="1">
        <v>2577.08</v>
      </c>
      <c r="G39" s="1" t="s">
        <v>78</v>
      </c>
      <c r="H39" s="2">
        <v>25099</v>
      </c>
      <c r="I39" s="2">
        <v>45294</v>
      </c>
      <c r="J39" s="1">
        <v>14.51</v>
      </c>
      <c r="K39" s="4">
        <f t="shared" si="0"/>
        <v>373.93430799999999</v>
      </c>
      <c r="L39" s="4">
        <f t="shared" si="1"/>
        <v>2203.1456920000001</v>
      </c>
      <c r="O39">
        <v>1045</v>
      </c>
      <c r="P39">
        <v>44129</v>
      </c>
      <c r="Q39" t="str">
        <v>West</v>
      </c>
      <c r="R39" t="str">
        <v>Wheat</v>
      </c>
      <c r="S39" t="str">
        <v>Groceries</v>
      </c>
      <c r="T39">
        <v>2117.04</v>
      </c>
      <c r="U39" t="str">
        <v>Adrian Howe</v>
      </c>
      <c r="V39">
        <v>37236</v>
      </c>
      <c r="W39">
        <v>44138</v>
      </c>
      <c r="X39">
        <v>44.1</v>
      </c>
      <c r="Y39">
        <v>933.61464000000001</v>
      </c>
      <c r="Z39">
        <v>1183.42536</v>
      </c>
      <c r="AC39" t="str">
        <v>Wheat</v>
      </c>
      <c r="AD39">
        <v>1638.752097</v>
      </c>
      <c r="AF39">
        <v>1043</v>
      </c>
      <c r="AG39" t="str">
        <v>T-Shirt</v>
      </c>
      <c r="AH39">
        <v>1461.0440599999999</v>
      </c>
    </row>
    <row r="40" spans="1:34" x14ac:dyDescent="0.3">
      <c r="A40" s="1">
        <v>1038</v>
      </c>
      <c r="B40" s="2">
        <v>45444</v>
      </c>
      <c r="C40" s="1" t="s">
        <v>26</v>
      </c>
      <c r="D40" s="1" t="s">
        <v>33</v>
      </c>
      <c r="E40" s="1" t="s">
        <v>16</v>
      </c>
      <c r="F40" s="1">
        <v>301.27999999999997</v>
      </c>
      <c r="G40" s="1" t="s">
        <v>79</v>
      </c>
      <c r="H40" s="2">
        <v>28675</v>
      </c>
      <c r="I40" s="2">
        <v>45447</v>
      </c>
      <c r="J40" s="1">
        <v>40.67</v>
      </c>
      <c r="K40" s="4">
        <f t="shared" si="0"/>
        <v>122.530576</v>
      </c>
      <c r="L40" s="4">
        <f t="shared" si="1"/>
        <v>178.74942399999998</v>
      </c>
      <c r="O40">
        <v>1046</v>
      </c>
      <c r="P40">
        <v>45878</v>
      </c>
      <c r="Q40" t="str">
        <v>North</v>
      </c>
      <c r="R40" t="str">
        <v>Jacket</v>
      </c>
      <c r="S40" t="str">
        <v>Clothing</v>
      </c>
      <c r="T40">
        <v>4425.8100000000004</v>
      </c>
      <c r="U40" t="str">
        <v>Melanie Shaffer</v>
      </c>
      <c r="V40">
        <v>37858</v>
      </c>
      <c r="W40">
        <v>45886</v>
      </c>
      <c r="X40">
        <v>25.08</v>
      </c>
      <c r="Y40">
        <v>1109.993148</v>
      </c>
      <c r="Z40">
        <v>3315.8168520000004</v>
      </c>
      <c r="AC40" t="str">
        <v>Wheat</v>
      </c>
      <c r="AD40">
        <v>1183.42536</v>
      </c>
      <c r="AF40">
        <v>1044</v>
      </c>
      <c r="AG40" t="str">
        <v>Wheat</v>
      </c>
      <c r="AH40">
        <v>1638.752097</v>
      </c>
    </row>
    <row r="41" spans="1:34" x14ac:dyDescent="0.3">
      <c r="A41" s="1">
        <v>1039</v>
      </c>
      <c r="B41" s="2">
        <v>44521</v>
      </c>
      <c r="C41" s="1" t="s">
        <v>35</v>
      </c>
      <c r="D41" s="1" t="s">
        <v>58</v>
      </c>
      <c r="E41" s="1" t="s">
        <v>31</v>
      </c>
      <c r="F41" s="1">
        <v>2471.8000000000002</v>
      </c>
      <c r="G41" s="1" t="s">
        <v>80</v>
      </c>
      <c r="H41" s="2">
        <v>31578</v>
      </c>
      <c r="I41" s="2">
        <v>44522</v>
      </c>
      <c r="J41" s="1">
        <v>29.86</v>
      </c>
      <c r="K41" s="4">
        <f t="shared" si="0"/>
        <v>738.07947999999999</v>
      </c>
      <c r="L41" s="4">
        <f t="shared" si="1"/>
        <v>1733.7205200000003</v>
      </c>
      <c r="O41">
        <v>1048</v>
      </c>
      <c r="P41">
        <v>44436</v>
      </c>
      <c r="Q41" t="str">
        <v>South</v>
      </c>
      <c r="R41" t="str">
        <v>Eggs</v>
      </c>
      <c r="S41" t="str">
        <v>Groceries</v>
      </c>
      <c r="T41">
        <v>2162.52</v>
      </c>
      <c r="U41" t="str">
        <v>Margaret Wilson</v>
      </c>
      <c r="V41">
        <v>37141</v>
      </c>
      <c r="W41">
        <v>44437</v>
      </c>
      <c r="X41">
        <v>37.590000000000003</v>
      </c>
      <c r="Y41">
        <v>812.89126799999997</v>
      </c>
      <c r="Z41">
        <v>1349.6287320000001</v>
      </c>
      <c r="AC41" t="str">
        <v>Jacket</v>
      </c>
      <c r="AD41">
        <v>3315.8168520000004</v>
      </c>
      <c r="AF41">
        <v>1045</v>
      </c>
      <c r="AG41" t="str">
        <v>Wheat</v>
      </c>
      <c r="AH41">
        <v>1183.42536</v>
      </c>
    </row>
    <row r="42" spans="1:34" x14ac:dyDescent="0.3">
      <c r="A42" s="1">
        <v>1040</v>
      </c>
      <c r="B42" s="2">
        <v>45056</v>
      </c>
      <c r="C42" s="1" t="s">
        <v>10</v>
      </c>
      <c r="D42" s="1" t="s">
        <v>24</v>
      </c>
      <c r="E42" s="1" t="s">
        <v>19</v>
      </c>
      <c r="F42" s="1">
        <v>2421.06</v>
      </c>
      <c r="G42" s="1" t="s">
        <v>81</v>
      </c>
      <c r="H42" s="2">
        <v>38350</v>
      </c>
      <c r="I42" s="2">
        <v>45069</v>
      </c>
      <c r="J42" s="1">
        <v>41.86</v>
      </c>
      <c r="K42" s="4">
        <f t="shared" si="0"/>
        <v>1013.4557159999999</v>
      </c>
      <c r="L42" s="4">
        <f t="shared" si="1"/>
        <v>1407.604284</v>
      </c>
      <c r="O42">
        <v>1049</v>
      </c>
      <c r="P42">
        <v>44339</v>
      </c>
      <c r="Q42" t="str">
        <v>North</v>
      </c>
      <c r="R42" t="str">
        <v>Camera</v>
      </c>
      <c r="S42" t="str">
        <v>Electronics</v>
      </c>
      <c r="T42">
        <v>2194.81</v>
      </c>
      <c r="U42" t="str">
        <v>Troy Kelley</v>
      </c>
      <c r="V42">
        <v>29348</v>
      </c>
      <c r="W42">
        <v>44343</v>
      </c>
      <c r="X42">
        <v>31.26</v>
      </c>
      <c r="Y42">
        <v>686.09760599999993</v>
      </c>
      <c r="Z42">
        <v>1508.7123940000001</v>
      </c>
      <c r="AC42" t="str">
        <v>Eggs</v>
      </c>
      <c r="AD42">
        <v>1349.6287320000001</v>
      </c>
      <c r="AF42">
        <v>1046</v>
      </c>
      <c r="AG42" t="str">
        <v>Jacket</v>
      </c>
      <c r="AH42">
        <v>3315.8168520000004</v>
      </c>
    </row>
    <row r="43" spans="1:34" x14ac:dyDescent="0.3">
      <c r="A43" s="1">
        <v>1041</v>
      </c>
      <c r="B43" s="2">
        <v>44876</v>
      </c>
      <c r="C43" s="1" t="s">
        <v>26</v>
      </c>
      <c r="D43" s="1" t="s">
        <v>18</v>
      </c>
      <c r="E43" s="1" t="s">
        <v>19</v>
      </c>
      <c r="F43" s="1">
        <v>2755.69</v>
      </c>
      <c r="G43" s="1" t="s">
        <v>82</v>
      </c>
      <c r="H43" s="2">
        <v>38879</v>
      </c>
      <c r="I43" s="2">
        <v>44881</v>
      </c>
      <c r="J43" s="1">
        <v>8.0500000000000007</v>
      </c>
      <c r="K43" s="4">
        <f t="shared" si="0"/>
        <v>221.833045</v>
      </c>
      <c r="L43" s="4">
        <f t="shared" si="1"/>
        <v>2533.8569550000002</v>
      </c>
      <c r="O43">
        <v>1050</v>
      </c>
      <c r="P43">
        <v>45450</v>
      </c>
      <c r="Q43" t="str">
        <v>Central</v>
      </c>
      <c r="R43" t="str">
        <v>Laptop</v>
      </c>
      <c r="S43" t="str">
        <v>Electronics</v>
      </c>
      <c r="T43">
        <v>4255.5600000000004</v>
      </c>
      <c r="U43" t="str">
        <v>Jenna Campbell</v>
      </c>
      <c r="V43">
        <v>34220</v>
      </c>
      <c r="W43">
        <v>45452</v>
      </c>
      <c r="X43">
        <v>31.49</v>
      </c>
      <c r="Y43">
        <v>1340.075844</v>
      </c>
      <c r="Z43">
        <v>2915.4841560000004</v>
      </c>
      <c r="AC43" t="str">
        <v>Camera</v>
      </c>
      <c r="AD43">
        <v>1508.7123940000001</v>
      </c>
      <c r="AF43">
        <v>1048</v>
      </c>
      <c r="AG43" t="str">
        <v>Eggs</v>
      </c>
      <c r="AH43">
        <v>1349.6287320000001</v>
      </c>
    </row>
    <row r="44" spans="1:34" x14ac:dyDescent="0.3">
      <c r="A44" s="1">
        <v>1042</v>
      </c>
      <c r="B44" s="2">
        <v>44218</v>
      </c>
      <c r="C44" s="1" t="s">
        <v>35</v>
      </c>
      <c r="D44" s="1" t="s">
        <v>65</v>
      </c>
      <c r="E44" s="1" t="s">
        <v>19</v>
      </c>
      <c r="F44" s="1">
        <v>2810.19</v>
      </c>
      <c r="G44" s="1" t="s">
        <v>83</v>
      </c>
      <c r="H44" s="2">
        <v>24673</v>
      </c>
      <c r="I44" s="2">
        <v>44225</v>
      </c>
      <c r="J44" s="1">
        <v>22.77</v>
      </c>
      <c r="K44" s="4">
        <f t="shared" si="0"/>
        <v>639.88026300000001</v>
      </c>
      <c r="L44" s="4">
        <f t="shared" si="1"/>
        <v>2170.309737</v>
      </c>
      <c r="O44">
        <v>1051</v>
      </c>
      <c r="P44">
        <v>44296</v>
      </c>
      <c r="Q44" t="str">
        <v>Central</v>
      </c>
      <c r="R44" t="str">
        <v>Shoes</v>
      </c>
      <c r="S44" t="str">
        <v>Sports</v>
      </c>
      <c r="T44">
        <v>3921.4</v>
      </c>
      <c r="U44" t="str">
        <v>Regina Lopez</v>
      </c>
      <c r="V44">
        <v>24544</v>
      </c>
      <c r="W44">
        <v>44304</v>
      </c>
      <c r="X44">
        <v>23.42</v>
      </c>
      <c r="Y44">
        <v>918.39188000000013</v>
      </c>
      <c r="Z44">
        <v>3003.00812</v>
      </c>
      <c r="AC44" t="str">
        <v>Laptop</v>
      </c>
      <c r="AD44">
        <v>2915.4841560000004</v>
      </c>
      <c r="AF44">
        <v>1049</v>
      </c>
      <c r="AG44" t="str">
        <v>Camera</v>
      </c>
      <c r="AH44">
        <v>1508.7123940000001</v>
      </c>
    </row>
    <row r="45" spans="1:34" x14ac:dyDescent="0.3">
      <c r="A45" s="1">
        <v>1043</v>
      </c>
      <c r="B45" s="2">
        <v>45566</v>
      </c>
      <c r="C45" s="1" t="s">
        <v>21</v>
      </c>
      <c r="D45" s="1" t="s">
        <v>71</v>
      </c>
      <c r="E45" s="1" t="s">
        <v>31</v>
      </c>
      <c r="F45" s="1">
        <v>2567.7399999999998</v>
      </c>
      <c r="G45" s="1" t="s">
        <v>84</v>
      </c>
      <c r="H45" s="2">
        <v>26472</v>
      </c>
      <c r="I45" s="2">
        <v>45578</v>
      </c>
      <c r="J45" s="1">
        <v>43.1</v>
      </c>
      <c r="K45" s="4">
        <f t="shared" si="0"/>
        <v>1106.6959399999998</v>
      </c>
      <c r="L45" s="4">
        <f t="shared" si="1"/>
        <v>1461.0440599999999</v>
      </c>
      <c r="O45">
        <v>1052</v>
      </c>
      <c r="P45">
        <v>44954</v>
      </c>
      <c r="Q45" t="str">
        <v>Central</v>
      </c>
      <c r="R45" t="str">
        <v>Smartphone</v>
      </c>
      <c r="S45" t="str">
        <v>Electronics</v>
      </c>
      <c r="T45">
        <v>4847.83</v>
      </c>
      <c r="U45" t="str">
        <v>Alicia Campbell</v>
      </c>
      <c r="V45">
        <v>33984</v>
      </c>
      <c r="W45">
        <v>44960</v>
      </c>
      <c r="X45">
        <v>14.96</v>
      </c>
      <c r="Y45">
        <v>725.23536799999999</v>
      </c>
      <c r="Z45">
        <v>4122.5946320000003</v>
      </c>
      <c r="AC45" t="str">
        <v>Shoes</v>
      </c>
      <c r="AD45">
        <v>3003.00812</v>
      </c>
      <c r="AF45">
        <v>1050</v>
      </c>
      <c r="AG45" t="str">
        <v>Laptop</v>
      </c>
      <c r="AH45">
        <v>2915.4841560000004</v>
      </c>
    </row>
    <row r="46" spans="1:34" x14ac:dyDescent="0.3">
      <c r="A46" s="1">
        <v>1044</v>
      </c>
      <c r="B46" s="2">
        <v>45605</v>
      </c>
      <c r="C46" s="1" t="s">
        <v>26</v>
      </c>
      <c r="D46" s="1" t="s">
        <v>44</v>
      </c>
      <c r="E46" s="1" t="s">
        <v>16</v>
      </c>
      <c r="F46" s="1">
        <v>1716.51</v>
      </c>
      <c r="G46" s="1" t="s">
        <v>67</v>
      </c>
      <c r="H46" s="2">
        <v>34016</v>
      </c>
      <c r="I46" s="2">
        <v>45619</v>
      </c>
      <c r="J46" s="1">
        <v>4.53</v>
      </c>
      <c r="K46" s="4">
        <f t="shared" si="0"/>
        <v>77.757902999999999</v>
      </c>
      <c r="L46" s="4">
        <f t="shared" si="1"/>
        <v>1638.752097</v>
      </c>
      <c r="O46">
        <v>1053</v>
      </c>
      <c r="P46">
        <v>45512</v>
      </c>
      <c r="Q46" t="str">
        <v>North</v>
      </c>
      <c r="R46" t="str">
        <v>Tablet</v>
      </c>
      <c r="S46" t="str">
        <v>Electronics</v>
      </c>
      <c r="T46">
        <v>1731.23</v>
      </c>
      <c r="U46" t="str">
        <v>Angela Mooney</v>
      </c>
      <c r="V46">
        <v>25516</v>
      </c>
      <c r="W46">
        <v>45516</v>
      </c>
      <c r="X46">
        <v>8.27</v>
      </c>
      <c r="Y46">
        <v>143.172721</v>
      </c>
      <c r="Z46">
        <v>1588.0572790000001</v>
      </c>
      <c r="AC46" t="str">
        <v>Smartphone</v>
      </c>
      <c r="AD46">
        <v>4122.5946320000003</v>
      </c>
      <c r="AF46">
        <v>1051</v>
      </c>
      <c r="AG46" t="str">
        <v>Shoes</v>
      </c>
      <c r="AH46">
        <v>3003.00812</v>
      </c>
    </row>
    <row r="47" spans="1:34" x14ac:dyDescent="0.3">
      <c r="A47" s="1">
        <v>1045</v>
      </c>
      <c r="B47" s="2">
        <v>44129</v>
      </c>
      <c r="C47" s="1" t="s">
        <v>10</v>
      </c>
      <c r="D47" s="1" t="s">
        <v>44</v>
      </c>
      <c r="E47" s="1" t="s">
        <v>16</v>
      </c>
      <c r="F47" s="1">
        <v>2117.04</v>
      </c>
      <c r="G47" s="1" t="s">
        <v>85</v>
      </c>
      <c r="H47" s="2">
        <v>37236</v>
      </c>
      <c r="I47" s="2">
        <v>44138</v>
      </c>
      <c r="J47" s="1">
        <v>44.1</v>
      </c>
      <c r="K47" s="4">
        <f t="shared" si="0"/>
        <v>933.61464000000001</v>
      </c>
      <c r="L47" s="4">
        <f t="shared" si="1"/>
        <v>1183.42536</v>
      </c>
      <c r="O47">
        <v>1054</v>
      </c>
      <c r="P47">
        <v>45579</v>
      </c>
      <c r="Q47" t="str">
        <v>West</v>
      </c>
      <c r="R47" t="str">
        <v>Milk</v>
      </c>
      <c r="S47" t="str">
        <v>Groceries</v>
      </c>
      <c r="T47">
        <v>1414.61</v>
      </c>
      <c r="U47" t="str">
        <v>Joe Rivera</v>
      </c>
      <c r="V47">
        <v>25821</v>
      </c>
      <c r="W47">
        <v>45580</v>
      </c>
      <c r="X47">
        <v>10.31</v>
      </c>
      <c r="Y47">
        <v>145.84629100000001</v>
      </c>
      <c r="Z47">
        <v>1268.7637089999998</v>
      </c>
      <c r="AC47" t="str">
        <v>Tablet</v>
      </c>
      <c r="AD47">
        <v>1588.0572790000001</v>
      </c>
      <c r="AF47">
        <v>1052</v>
      </c>
      <c r="AG47" t="str">
        <v>Smartphone</v>
      </c>
      <c r="AH47">
        <v>4122.5946320000003</v>
      </c>
    </row>
    <row r="48" spans="1:34" x14ac:dyDescent="0.3">
      <c r="A48" s="1">
        <v>1046</v>
      </c>
      <c r="B48" s="2">
        <v>45878</v>
      </c>
      <c r="C48" s="1" t="s">
        <v>14</v>
      </c>
      <c r="D48" s="1" t="s">
        <v>55</v>
      </c>
      <c r="E48" s="1" t="s">
        <v>31</v>
      </c>
      <c r="F48" s="1">
        <v>4425.8100000000004</v>
      </c>
      <c r="G48" s="1" t="s">
        <v>86</v>
      </c>
      <c r="H48" s="2">
        <v>37858</v>
      </c>
      <c r="I48" s="2">
        <v>45886</v>
      </c>
      <c r="J48" s="1">
        <v>25.08</v>
      </c>
      <c r="K48" s="4">
        <f t="shared" si="0"/>
        <v>1109.993148</v>
      </c>
      <c r="L48" s="4">
        <f t="shared" si="1"/>
        <v>3315.8168520000004</v>
      </c>
      <c r="O48">
        <v>1055</v>
      </c>
      <c r="P48">
        <v>45293</v>
      </c>
      <c r="Q48" t="str">
        <v>Central</v>
      </c>
      <c r="R48" t="str">
        <v>Bed</v>
      </c>
      <c r="S48" t="str">
        <v>Furniture</v>
      </c>
      <c r="T48">
        <v>2130.08</v>
      </c>
      <c r="U48" t="str">
        <v>Andrea Mendez</v>
      </c>
      <c r="V48">
        <v>36236</v>
      </c>
      <c r="W48">
        <v>45298</v>
      </c>
      <c r="X48">
        <v>20.03</v>
      </c>
      <c r="Y48">
        <v>426.65502400000003</v>
      </c>
      <c r="Z48">
        <v>1703.4249759999998</v>
      </c>
      <c r="AC48" t="str">
        <v>Milk</v>
      </c>
      <c r="AD48">
        <v>1268.7637089999998</v>
      </c>
      <c r="AF48">
        <v>1053</v>
      </c>
      <c r="AG48" t="str">
        <v>Tablet</v>
      </c>
      <c r="AH48">
        <v>1588.0572790000001</v>
      </c>
    </row>
    <row r="49" spans="1:34" x14ac:dyDescent="0.3">
      <c r="A49" s="1">
        <v>1047</v>
      </c>
      <c r="B49" s="2">
        <v>45337</v>
      </c>
      <c r="C49" s="1" t="s">
        <v>26</v>
      </c>
      <c r="D49" s="1" t="s">
        <v>18</v>
      </c>
      <c r="E49" s="1" t="s">
        <v>19</v>
      </c>
      <c r="F49" s="1">
        <v>1443.45</v>
      </c>
      <c r="G49" s="1" t="s">
        <v>87</v>
      </c>
      <c r="H49" s="2">
        <v>36012</v>
      </c>
      <c r="I49" s="2">
        <v>45338</v>
      </c>
      <c r="J49" s="1">
        <v>34.08</v>
      </c>
      <c r="K49" s="4">
        <f t="shared" si="0"/>
        <v>491.92775999999998</v>
      </c>
      <c r="L49" s="4">
        <f t="shared" si="1"/>
        <v>951.52224000000001</v>
      </c>
      <c r="O49">
        <v>1056</v>
      </c>
      <c r="P49">
        <v>44987</v>
      </c>
      <c r="Q49" t="str">
        <v>West</v>
      </c>
      <c r="R49" t="str">
        <v>Rice</v>
      </c>
      <c r="S49" t="str">
        <v>Groceries</v>
      </c>
      <c r="T49">
        <v>3373.61</v>
      </c>
      <c r="U49" t="str">
        <v>Joseph Vaughan</v>
      </c>
      <c r="V49">
        <v>24706</v>
      </c>
      <c r="W49">
        <v>45000</v>
      </c>
      <c r="X49">
        <v>23.87</v>
      </c>
      <c r="Y49">
        <v>805.28070700000012</v>
      </c>
      <c r="Z49">
        <v>2568.3292929999998</v>
      </c>
      <c r="AC49" t="str">
        <v>Bed</v>
      </c>
      <c r="AD49">
        <v>1703.4249759999998</v>
      </c>
      <c r="AF49">
        <v>1054</v>
      </c>
      <c r="AG49" t="str">
        <v>Milk</v>
      </c>
      <c r="AH49">
        <v>1268.7637089999998</v>
      </c>
    </row>
    <row r="50" spans="1:34" x14ac:dyDescent="0.3">
      <c r="A50" s="1">
        <v>1048</v>
      </c>
      <c r="B50" s="2">
        <v>44436</v>
      </c>
      <c r="C50" s="1" t="s">
        <v>21</v>
      </c>
      <c r="D50" s="1" t="s">
        <v>88</v>
      </c>
      <c r="E50" s="1" t="s">
        <v>16</v>
      </c>
      <c r="F50" s="1">
        <v>2162.52</v>
      </c>
      <c r="G50" s="1" t="s">
        <v>89</v>
      </c>
      <c r="H50" s="2">
        <v>37141</v>
      </c>
      <c r="I50" s="2">
        <v>44437</v>
      </c>
      <c r="J50" s="1">
        <v>37.590000000000003</v>
      </c>
      <c r="K50" s="4">
        <f t="shared" si="0"/>
        <v>812.89126799999997</v>
      </c>
      <c r="L50" s="4">
        <f t="shared" si="1"/>
        <v>1349.6287320000001</v>
      </c>
      <c r="O50">
        <v>1057</v>
      </c>
      <c r="P50">
        <v>44784</v>
      </c>
      <c r="Q50" t="str">
        <v>Central</v>
      </c>
      <c r="R50" t="str">
        <v>Chair</v>
      </c>
      <c r="S50" t="str">
        <v>Furniture</v>
      </c>
      <c r="T50">
        <v>2471.33</v>
      </c>
      <c r="U50" t="str">
        <v>Wesley Olson</v>
      </c>
      <c r="V50">
        <v>27166</v>
      </c>
      <c r="W50">
        <v>44788</v>
      </c>
      <c r="X50">
        <v>19.45</v>
      </c>
      <c r="Y50">
        <v>480.67368499999998</v>
      </c>
      <c r="Z50">
        <v>1990.6563149999999</v>
      </c>
      <c r="AC50" t="str">
        <v>Rice</v>
      </c>
      <c r="AD50">
        <v>2568.3292929999998</v>
      </c>
      <c r="AF50">
        <v>1055</v>
      </c>
      <c r="AG50" t="str">
        <v>Bed</v>
      </c>
      <c r="AH50">
        <v>1703.4249759999998</v>
      </c>
    </row>
    <row r="51" spans="1:34" x14ac:dyDescent="0.3">
      <c r="A51" s="1">
        <v>1049</v>
      </c>
      <c r="B51" s="2">
        <v>44339</v>
      </c>
      <c r="C51" s="1" t="s">
        <v>14</v>
      </c>
      <c r="D51" s="1" t="s">
        <v>24</v>
      </c>
      <c r="E51" s="1" t="s">
        <v>19</v>
      </c>
      <c r="F51" s="1">
        <v>2194.81</v>
      </c>
      <c r="G51" s="1" t="s">
        <v>90</v>
      </c>
      <c r="H51" s="2">
        <v>29348</v>
      </c>
      <c r="I51" s="2">
        <v>44343</v>
      </c>
      <c r="J51" s="1">
        <v>31.26</v>
      </c>
      <c r="K51" s="4">
        <f t="shared" si="0"/>
        <v>686.09760599999993</v>
      </c>
      <c r="L51" s="4">
        <f t="shared" si="1"/>
        <v>1508.7123940000001</v>
      </c>
      <c r="O51">
        <v>1058</v>
      </c>
      <c r="P51">
        <v>44862</v>
      </c>
      <c r="Q51" t="str">
        <v>South</v>
      </c>
      <c r="R51" t="str">
        <v>Chair</v>
      </c>
      <c r="S51" t="str">
        <v>Furniture</v>
      </c>
      <c r="T51">
        <v>2895.56</v>
      </c>
      <c r="U51" t="str">
        <v>Suzanne Brooks</v>
      </c>
      <c r="V51">
        <v>38134</v>
      </c>
      <c r="W51">
        <v>44870</v>
      </c>
      <c r="X51">
        <v>2.38</v>
      </c>
      <c r="Y51">
        <v>68.914327999999998</v>
      </c>
      <c r="Z51">
        <v>2826.6456720000001</v>
      </c>
      <c r="AC51" t="str">
        <v>Chair</v>
      </c>
      <c r="AD51">
        <v>1990.6563149999999</v>
      </c>
      <c r="AF51">
        <v>1056</v>
      </c>
      <c r="AG51" t="str">
        <v>Rice</v>
      </c>
      <c r="AH51">
        <v>2568.3292929999998</v>
      </c>
    </row>
    <row r="52" spans="1:34" x14ac:dyDescent="0.3">
      <c r="A52" s="1">
        <v>1050</v>
      </c>
      <c r="B52" s="2">
        <v>45450</v>
      </c>
      <c r="C52" s="1" t="s">
        <v>35</v>
      </c>
      <c r="D52" s="1" t="s">
        <v>61</v>
      </c>
      <c r="E52" s="1" t="s">
        <v>19</v>
      </c>
      <c r="F52" s="1">
        <v>4255.5600000000004</v>
      </c>
      <c r="G52" s="1" t="s">
        <v>91</v>
      </c>
      <c r="H52" s="2">
        <v>34220</v>
      </c>
      <c r="I52" s="2">
        <v>45452</v>
      </c>
      <c r="J52" s="1">
        <v>31.49</v>
      </c>
      <c r="K52" s="4">
        <f t="shared" si="0"/>
        <v>1340.075844</v>
      </c>
      <c r="L52" s="4">
        <f t="shared" si="1"/>
        <v>2915.4841560000004</v>
      </c>
      <c r="O52">
        <v>1060</v>
      </c>
      <c r="P52">
        <v>44494</v>
      </c>
      <c r="Q52" t="str">
        <v>West</v>
      </c>
      <c r="R52" t="str">
        <v>Basketball</v>
      </c>
      <c r="S52" t="str">
        <v>Sports</v>
      </c>
      <c r="T52">
        <v>2174.4499999999998</v>
      </c>
      <c r="U52" t="str">
        <v>Dustin Cooley</v>
      </c>
      <c r="V52">
        <v>26397</v>
      </c>
      <c r="W52">
        <v>44501</v>
      </c>
      <c r="X52">
        <v>42.65</v>
      </c>
      <c r="Y52">
        <v>927.40292499999987</v>
      </c>
      <c r="Z52">
        <v>1247.0470749999999</v>
      </c>
      <c r="AC52" t="str">
        <v>Chair</v>
      </c>
      <c r="AD52">
        <v>2826.6456720000001</v>
      </c>
      <c r="AF52">
        <v>1057</v>
      </c>
      <c r="AG52" t="str">
        <v>Chair</v>
      </c>
      <c r="AH52">
        <v>1990.6563149999999</v>
      </c>
    </row>
    <row r="53" spans="1:34" x14ac:dyDescent="0.3">
      <c r="A53" s="1">
        <v>1051</v>
      </c>
      <c r="B53" s="2">
        <v>44296</v>
      </c>
      <c r="C53" s="1" t="s">
        <v>35</v>
      </c>
      <c r="D53" s="1" t="s">
        <v>69</v>
      </c>
      <c r="E53" s="1" t="s">
        <v>12</v>
      </c>
      <c r="F53" s="1">
        <v>3921.4</v>
      </c>
      <c r="G53" s="1" t="s">
        <v>92</v>
      </c>
      <c r="H53" s="2">
        <v>24544</v>
      </c>
      <c r="I53" s="2">
        <v>44304</v>
      </c>
      <c r="J53" s="1">
        <v>23.42</v>
      </c>
      <c r="K53" s="4">
        <f t="shared" si="0"/>
        <v>918.39188000000013</v>
      </c>
      <c r="L53" s="4">
        <f t="shared" si="1"/>
        <v>3003.00812</v>
      </c>
      <c r="O53">
        <v>1061</v>
      </c>
      <c r="P53">
        <v>45886</v>
      </c>
      <c r="Q53" t="str">
        <v>North</v>
      </c>
      <c r="R53" t="str">
        <v>Cap</v>
      </c>
      <c r="S53" t="str">
        <v>Clothing</v>
      </c>
      <c r="T53">
        <v>2919.16</v>
      </c>
      <c r="U53" t="str">
        <v>Jaime Haynes</v>
      </c>
      <c r="V53">
        <v>22100</v>
      </c>
      <c r="W53">
        <v>45892</v>
      </c>
      <c r="X53">
        <v>19.739999999999998</v>
      </c>
      <c r="Y53">
        <v>576.24218399999995</v>
      </c>
      <c r="Z53">
        <v>2342.9178160000001</v>
      </c>
      <c r="AC53" t="str">
        <v>Basketball</v>
      </c>
      <c r="AD53">
        <v>1247.0470749999999</v>
      </c>
      <c r="AF53">
        <v>1058</v>
      </c>
      <c r="AG53" t="str">
        <v>Chair</v>
      </c>
      <c r="AH53">
        <v>2826.6456720000001</v>
      </c>
    </row>
    <row r="54" spans="1:34" x14ac:dyDescent="0.3">
      <c r="A54" s="1">
        <v>1052</v>
      </c>
      <c r="B54" s="2">
        <v>44954</v>
      </c>
      <c r="C54" s="1" t="s">
        <v>35</v>
      </c>
      <c r="D54" s="1" t="s">
        <v>65</v>
      </c>
      <c r="E54" s="1" t="s">
        <v>19</v>
      </c>
      <c r="F54" s="1">
        <v>4847.83</v>
      </c>
      <c r="G54" s="1" t="s">
        <v>93</v>
      </c>
      <c r="H54" s="2">
        <v>33984</v>
      </c>
      <c r="I54" s="2">
        <v>44960</v>
      </c>
      <c r="J54" s="1">
        <v>14.96</v>
      </c>
      <c r="K54" s="4">
        <f t="shared" si="0"/>
        <v>725.23536799999999</v>
      </c>
      <c r="L54" s="4">
        <f t="shared" si="1"/>
        <v>4122.5946320000003</v>
      </c>
      <c r="O54">
        <v>1062</v>
      </c>
      <c r="P54">
        <v>45749</v>
      </c>
      <c r="Q54" t="str">
        <v>West</v>
      </c>
      <c r="R54" t="str">
        <v>Oil</v>
      </c>
      <c r="S54" t="str">
        <v>Groceries</v>
      </c>
      <c r="T54">
        <v>4834.29</v>
      </c>
      <c r="U54" t="str">
        <v>Karla Garcia</v>
      </c>
      <c r="V54">
        <v>31331</v>
      </c>
      <c r="W54">
        <v>45759</v>
      </c>
      <c r="X54">
        <v>2.39</v>
      </c>
      <c r="Y54">
        <v>115.53953100000001</v>
      </c>
      <c r="Z54">
        <v>4718.7504689999996</v>
      </c>
      <c r="AC54" t="str">
        <v>Cap</v>
      </c>
      <c r="AD54">
        <v>2342.9178160000001</v>
      </c>
      <c r="AF54">
        <v>1060</v>
      </c>
      <c r="AG54" t="str">
        <v>Basketball</v>
      </c>
      <c r="AH54">
        <v>1247.0470749999999</v>
      </c>
    </row>
    <row r="55" spans="1:34" x14ac:dyDescent="0.3">
      <c r="A55" s="1">
        <v>1053</v>
      </c>
      <c r="B55" s="2">
        <v>45512</v>
      </c>
      <c r="C55" s="1" t="s">
        <v>14</v>
      </c>
      <c r="D55" s="1" t="s">
        <v>18</v>
      </c>
      <c r="E55" s="1" t="s">
        <v>19</v>
      </c>
      <c r="F55" s="1">
        <v>1731.23</v>
      </c>
      <c r="G55" s="1" t="s">
        <v>94</v>
      </c>
      <c r="H55" s="2">
        <v>25516</v>
      </c>
      <c r="I55" s="2">
        <v>45516</v>
      </c>
      <c r="J55" s="1">
        <v>8.27</v>
      </c>
      <c r="K55" s="4">
        <f t="shared" si="0"/>
        <v>143.172721</v>
      </c>
      <c r="L55" s="4">
        <f t="shared" si="1"/>
        <v>1588.0572790000001</v>
      </c>
      <c r="O55">
        <v>1065</v>
      </c>
      <c r="P55">
        <v>45418</v>
      </c>
      <c r="Q55" t="str">
        <v>East</v>
      </c>
      <c r="R55" t="str">
        <v>Cap</v>
      </c>
      <c r="S55" t="str">
        <v>Clothing</v>
      </c>
      <c r="T55">
        <v>3284.07</v>
      </c>
      <c r="U55" t="str">
        <v>Laura Sanchez</v>
      </c>
      <c r="V55">
        <v>30923</v>
      </c>
      <c r="W55">
        <v>45425</v>
      </c>
      <c r="X55">
        <v>32.409999999999997</v>
      </c>
      <c r="Y55">
        <v>1064.3670869999999</v>
      </c>
      <c r="Z55">
        <v>2219.7029130000001</v>
      </c>
      <c r="AC55" t="str">
        <v>Oil</v>
      </c>
      <c r="AD55">
        <v>4718.7504689999996</v>
      </c>
      <c r="AF55">
        <v>1061</v>
      </c>
      <c r="AG55" t="str">
        <v>Cap</v>
      </c>
      <c r="AH55">
        <v>2342.9178160000001</v>
      </c>
    </row>
    <row r="56" spans="1:34" x14ac:dyDescent="0.3">
      <c r="A56" s="1">
        <v>1054</v>
      </c>
      <c r="B56" s="2">
        <v>45579</v>
      </c>
      <c r="C56" s="1" t="s">
        <v>10</v>
      </c>
      <c r="D56" s="1" t="s">
        <v>15</v>
      </c>
      <c r="E56" s="1" t="s">
        <v>16</v>
      </c>
      <c r="F56" s="1">
        <v>1414.61</v>
      </c>
      <c r="G56" s="1" t="s">
        <v>95</v>
      </c>
      <c r="H56" s="2">
        <v>25821</v>
      </c>
      <c r="I56" s="2">
        <v>45580</v>
      </c>
      <c r="J56" s="1">
        <v>10.31</v>
      </c>
      <c r="K56" s="4">
        <f t="shared" si="0"/>
        <v>145.84629100000001</v>
      </c>
      <c r="L56" s="4">
        <f t="shared" si="1"/>
        <v>1268.7637089999998</v>
      </c>
      <c r="O56">
        <v>1066</v>
      </c>
      <c r="P56">
        <v>44121</v>
      </c>
      <c r="Q56" t="str">
        <v>North</v>
      </c>
      <c r="R56" t="str">
        <v>Jeans</v>
      </c>
      <c r="S56" t="str">
        <v>Clothing</v>
      </c>
      <c r="T56">
        <v>3022.63</v>
      </c>
      <c r="U56" t="str">
        <v>Kristi Chan</v>
      </c>
      <c r="V56">
        <v>24852</v>
      </c>
      <c r="W56">
        <v>44124</v>
      </c>
      <c r="X56">
        <v>15.46</v>
      </c>
      <c r="Y56">
        <v>467.29859800000008</v>
      </c>
      <c r="Z56">
        <v>2555.3314019999998</v>
      </c>
      <c r="AC56" t="str">
        <v>Cap</v>
      </c>
      <c r="AD56">
        <v>2219.7029130000001</v>
      </c>
      <c r="AF56">
        <v>1062</v>
      </c>
      <c r="AG56" t="str">
        <v>Oil</v>
      </c>
      <c r="AH56">
        <v>4718.7504689999996</v>
      </c>
    </row>
    <row r="57" spans="1:34" x14ac:dyDescent="0.3">
      <c r="A57" s="1">
        <v>1055</v>
      </c>
      <c r="B57" s="2">
        <v>45293</v>
      </c>
      <c r="C57" s="1" t="s">
        <v>35</v>
      </c>
      <c r="D57" s="1" t="s">
        <v>27</v>
      </c>
      <c r="E57" s="1" t="s">
        <v>28</v>
      </c>
      <c r="F57" s="1">
        <v>2130.08</v>
      </c>
      <c r="G57" s="1" t="s">
        <v>96</v>
      </c>
      <c r="H57" s="2">
        <v>36236</v>
      </c>
      <c r="I57" s="2">
        <v>45298</v>
      </c>
      <c r="J57" s="1">
        <v>20.03</v>
      </c>
      <c r="K57" s="4">
        <f t="shared" si="0"/>
        <v>426.65502400000003</v>
      </c>
      <c r="L57" s="4">
        <f t="shared" si="1"/>
        <v>1703.4249759999998</v>
      </c>
      <c r="O57">
        <v>1067</v>
      </c>
      <c r="P57">
        <v>44633</v>
      </c>
      <c r="Q57" t="str">
        <v>North</v>
      </c>
      <c r="R57" t="str">
        <v>Laptop</v>
      </c>
      <c r="S57" t="str">
        <v>Electronics</v>
      </c>
      <c r="T57">
        <v>1227.01</v>
      </c>
      <c r="U57" t="str">
        <v>Savannah Smith</v>
      </c>
      <c r="V57">
        <v>35889</v>
      </c>
      <c r="W57">
        <v>44635</v>
      </c>
      <c r="X57">
        <v>10.28</v>
      </c>
      <c r="Y57">
        <v>126.13662799999999</v>
      </c>
      <c r="Z57">
        <v>1100.873372</v>
      </c>
      <c r="AC57" t="str">
        <v>Jeans</v>
      </c>
      <c r="AD57">
        <v>2555.3314019999998</v>
      </c>
      <c r="AF57">
        <v>1065</v>
      </c>
      <c r="AG57" t="str">
        <v>Cap</v>
      </c>
      <c r="AH57">
        <v>2219.7029130000001</v>
      </c>
    </row>
    <row r="58" spans="1:34" x14ac:dyDescent="0.3">
      <c r="A58" s="1">
        <v>1056</v>
      </c>
      <c r="B58" s="2">
        <v>44987</v>
      </c>
      <c r="C58" s="1" t="s">
        <v>10</v>
      </c>
      <c r="D58" s="1" t="s">
        <v>40</v>
      </c>
      <c r="E58" s="1" t="s">
        <v>16</v>
      </c>
      <c r="F58" s="1">
        <v>3373.61</v>
      </c>
      <c r="G58" s="1" t="s">
        <v>97</v>
      </c>
      <c r="H58" s="2">
        <v>24706</v>
      </c>
      <c r="I58" s="2">
        <v>45000</v>
      </c>
      <c r="J58" s="1">
        <v>23.87</v>
      </c>
      <c r="K58" s="4">
        <f t="shared" si="0"/>
        <v>805.28070700000012</v>
      </c>
      <c r="L58" s="4">
        <f t="shared" si="1"/>
        <v>2568.3292929999998</v>
      </c>
      <c r="O58">
        <v>1068</v>
      </c>
      <c r="P58">
        <v>45567</v>
      </c>
      <c r="Q58" t="str">
        <v>West</v>
      </c>
      <c r="R58" t="str">
        <v>Milk</v>
      </c>
      <c r="S58" t="str">
        <v>Groceries</v>
      </c>
      <c r="T58">
        <v>2133.52</v>
      </c>
      <c r="U58" t="str">
        <v>April Morgan</v>
      </c>
      <c r="V58">
        <v>22870</v>
      </c>
      <c r="W58">
        <v>45572</v>
      </c>
      <c r="X58">
        <v>49.58</v>
      </c>
      <c r="Y58">
        <v>1057.7992159999999</v>
      </c>
      <c r="Z58">
        <v>1075.7207840000001</v>
      </c>
      <c r="AC58" t="str">
        <v>Laptop</v>
      </c>
      <c r="AD58">
        <v>1100.873372</v>
      </c>
      <c r="AF58">
        <v>1066</v>
      </c>
      <c r="AG58" t="str">
        <v>Jeans</v>
      </c>
      <c r="AH58">
        <v>2555.3314019999998</v>
      </c>
    </row>
    <row r="59" spans="1:34" x14ac:dyDescent="0.3">
      <c r="A59" s="1">
        <v>1057</v>
      </c>
      <c r="B59" s="2">
        <v>44784</v>
      </c>
      <c r="C59" s="1" t="s">
        <v>35</v>
      </c>
      <c r="D59" s="1" t="s">
        <v>53</v>
      </c>
      <c r="E59" s="1" t="s">
        <v>28</v>
      </c>
      <c r="F59" s="1">
        <v>2471.33</v>
      </c>
      <c r="G59" s="1" t="s">
        <v>32</v>
      </c>
      <c r="H59" s="2">
        <v>27166</v>
      </c>
      <c r="I59" s="2">
        <v>44788</v>
      </c>
      <c r="J59" s="1">
        <v>19.45</v>
      </c>
      <c r="K59" s="4">
        <f t="shared" si="0"/>
        <v>480.67368499999998</v>
      </c>
      <c r="L59" s="4">
        <f t="shared" si="1"/>
        <v>1990.6563149999999</v>
      </c>
      <c r="O59">
        <v>1069</v>
      </c>
      <c r="P59">
        <v>45534</v>
      </c>
      <c r="Q59" t="str">
        <v>North</v>
      </c>
      <c r="R59" t="str">
        <v>Wheat</v>
      </c>
      <c r="S59" t="str">
        <v>Groceries</v>
      </c>
      <c r="T59">
        <v>1837.32</v>
      </c>
      <c r="U59" t="str">
        <v>Brandon Maxwell</v>
      </c>
      <c r="V59">
        <v>35506</v>
      </c>
      <c r="W59">
        <v>45540</v>
      </c>
      <c r="X59">
        <v>11.64</v>
      </c>
      <c r="Y59">
        <v>213.864048</v>
      </c>
      <c r="Z59">
        <v>1623.455952</v>
      </c>
      <c r="AC59" t="str">
        <v>Milk</v>
      </c>
      <c r="AD59">
        <v>1075.7207840000001</v>
      </c>
      <c r="AF59">
        <v>1067</v>
      </c>
      <c r="AG59" t="str">
        <v>Laptop</v>
      </c>
      <c r="AH59">
        <v>1100.873372</v>
      </c>
    </row>
    <row r="60" spans="1:34" x14ac:dyDescent="0.3">
      <c r="A60" s="1">
        <v>1058</v>
      </c>
      <c r="B60" s="2">
        <v>44862</v>
      </c>
      <c r="C60" s="1" t="s">
        <v>21</v>
      </c>
      <c r="D60" s="1" t="s">
        <v>53</v>
      </c>
      <c r="E60" s="1" t="s">
        <v>28</v>
      </c>
      <c r="F60" s="1">
        <v>2895.56</v>
      </c>
      <c r="G60" s="1" t="s">
        <v>98</v>
      </c>
      <c r="H60" s="2">
        <v>38134</v>
      </c>
      <c r="I60" s="2">
        <v>44870</v>
      </c>
      <c r="J60" s="1">
        <v>2.38</v>
      </c>
      <c r="K60" s="4">
        <f t="shared" si="0"/>
        <v>68.914327999999998</v>
      </c>
      <c r="L60" s="4">
        <f t="shared" si="1"/>
        <v>2826.6456720000001</v>
      </c>
      <c r="O60">
        <v>1070</v>
      </c>
      <c r="P60">
        <v>44633</v>
      </c>
      <c r="Q60" t="str">
        <v>East</v>
      </c>
      <c r="R60" t="str">
        <v>Eggs</v>
      </c>
      <c r="S60" t="str">
        <v>Groceries</v>
      </c>
      <c r="T60">
        <v>3460.16</v>
      </c>
      <c r="U60" t="str">
        <v>Vincent Wiggins</v>
      </c>
      <c r="V60">
        <v>26671</v>
      </c>
      <c r="W60">
        <v>44634</v>
      </c>
      <c r="X60">
        <v>11.06</v>
      </c>
      <c r="Y60">
        <v>382.69369599999999</v>
      </c>
      <c r="Z60">
        <v>3077.466304</v>
      </c>
      <c r="AC60" t="str">
        <v>Wheat</v>
      </c>
      <c r="AD60">
        <v>1623.455952</v>
      </c>
      <c r="AF60">
        <v>1068</v>
      </c>
      <c r="AG60" t="str">
        <v>Milk</v>
      </c>
      <c r="AH60">
        <v>1075.7207840000001</v>
      </c>
    </row>
    <row r="61" spans="1:34" x14ac:dyDescent="0.3">
      <c r="A61" s="1">
        <v>1059</v>
      </c>
      <c r="B61" s="2">
        <v>45636</v>
      </c>
      <c r="C61" s="1" t="s">
        <v>10</v>
      </c>
      <c r="D61" s="1" t="s">
        <v>15</v>
      </c>
      <c r="E61" s="1" t="s">
        <v>16</v>
      </c>
      <c r="F61" s="1">
        <v>401.47</v>
      </c>
      <c r="G61" s="1" t="s">
        <v>66</v>
      </c>
      <c r="H61" s="2">
        <v>33192</v>
      </c>
      <c r="I61" s="2">
        <v>45637</v>
      </c>
      <c r="J61" s="1">
        <v>41.19</v>
      </c>
      <c r="K61" s="4">
        <f t="shared" si="0"/>
        <v>165.36549300000001</v>
      </c>
      <c r="L61" s="4">
        <f t="shared" si="1"/>
        <v>236.10450700000001</v>
      </c>
      <c r="O61">
        <v>1071</v>
      </c>
      <c r="P61">
        <v>45780</v>
      </c>
      <c r="Q61" t="str">
        <v>West</v>
      </c>
      <c r="R61" t="str">
        <v>Basketball</v>
      </c>
      <c r="S61" t="str">
        <v>Sports</v>
      </c>
      <c r="T61">
        <v>3450.56</v>
      </c>
      <c r="U61" t="str">
        <v>Lisa Bray MD</v>
      </c>
      <c r="V61">
        <v>33413</v>
      </c>
      <c r="W61">
        <v>45792</v>
      </c>
      <c r="X61">
        <v>28.47</v>
      </c>
      <c r="Y61">
        <v>982.37443200000007</v>
      </c>
      <c r="Z61">
        <v>2468.1855679999999</v>
      </c>
      <c r="AC61" t="str">
        <v>Eggs</v>
      </c>
      <c r="AD61">
        <v>3077.466304</v>
      </c>
      <c r="AF61">
        <v>1069</v>
      </c>
      <c r="AG61" t="str">
        <v>Wheat</v>
      </c>
      <c r="AH61">
        <v>1623.455952</v>
      </c>
    </row>
    <row r="62" spans="1:34" x14ac:dyDescent="0.3">
      <c r="A62" s="1">
        <v>1060</v>
      </c>
      <c r="B62" s="2">
        <v>44494</v>
      </c>
      <c r="C62" s="1" t="s">
        <v>10</v>
      </c>
      <c r="D62" s="1" t="s">
        <v>11</v>
      </c>
      <c r="E62" s="1" t="s">
        <v>12</v>
      </c>
      <c r="F62" s="1">
        <v>2174.4499999999998</v>
      </c>
      <c r="G62" s="1" t="s">
        <v>99</v>
      </c>
      <c r="H62" s="2">
        <v>26397</v>
      </c>
      <c r="I62" s="2">
        <v>44501</v>
      </c>
      <c r="J62" s="1">
        <v>42.65</v>
      </c>
      <c r="K62" s="4">
        <f t="shared" si="0"/>
        <v>927.40292499999987</v>
      </c>
      <c r="L62" s="4">
        <f t="shared" si="1"/>
        <v>1247.0470749999999</v>
      </c>
      <c r="O62">
        <v>1072</v>
      </c>
      <c r="P62">
        <v>45585</v>
      </c>
      <c r="Q62" t="str">
        <v>North</v>
      </c>
      <c r="R62" t="str">
        <v>Basketball</v>
      </c>
      <c r="S62" t="str">
        <v>Sports</v>
      </c>
      <c r="T62">
        <v>4220.8999999999996</v>
      </c>
      <c r="U62" t="str">
        <v>Alicia Campbell</v>
      </c>
      <c r="V62">
        <v>33984</v>
      </c>
      <c r="W62">
        <v>45590</v>
      </c>
      <c r="X62">
        <v>10.25</v>
      </c>
      <c r="Y62">
        <v>432.64224999999993</v>
      </c>
      <c r="Z62">
        <v>3788.2577499999998</v>
      </c>
      <c r="AC62" t="str">
        <v>Basketball</v>
      </c>
      <c r="AD62">
        <v>2468.1855679999999</v>
      </c>
      <c r="AF62">
        <v>1070</v>
      </c>
      <c r="AG62" t="str">
        <v>Eggs</v>
      </c>
      <c r="AH62">
        <v>3077.466304</v>
      </c>
    </row>
    <row r="63" spans="1:34" x14ac:dyDescent="0.3">
      <c r="A63" s="1">
        <v>1061</v>
      </c>
      <c r="B63" s="2">
        <v>45886</v>
      </c>
      <c r="C63" s="1" t="s">
        <v>14</v>
      </c>
      <c r="D63" s="1" t="s">
        <v>58</v>
      </c>
      <c r="E63" s="1" t="s">
        <v>31</v>
      </c>
      <c r="F63" s="1">
        <v>2919.16</v>
      </c>
      <c r="G63" s="1" t="s">
        <v>100</v>
      </c>
      <c r="H63" s="2">
        <v>22100</v>
      </c>
      <c r="I63" s="2">
        <v>45892</v>
      </c>
      <c r="J63" s="1">
        <v>19.739999999999998</v>
      </c>
      <c r="K63" s="4">
        <f t="shared" si="0"/>
        <v>576.24218399999995</v>
      </c>
      <c r="L63" s="4">
        <f t="shared" si="1"/>
        <v>2342.9178160000001</v>
      </c>
      <c r="O63">
        <v>1073</v>
      </c>
      <c r="P63">
        <v>45238</v>
      </c>
      <c r="Q63" t="str">
        <v>South</v>
      </c>
      <c r="R63" t="str">
        <v>Eggs</v>
      </c>
      <c r="S63" t="str">
        <v>Groceries</v>
      </c>
      <c r="T63">
        <v>1397.31</v>
      </c>
      <c r="U63" t="str">
        <v>Karla Garcia</v>
      </c>
      <c r="V63">
        <v>31331</v>
      </c>
      <c r="W63">
        <v>45244</v>
      </c>
      <c r="X63">
        <v>9.11</v>
      </c>
      <c r="Y63">
        <v>127.29494099999999</v>
      </c>
      <c r="Z63">
        <v>1270.0150589999998</v>
      </c>
      <c r="AC63" t="str">
        <v>Basketball</v>
      </c>
      <c r="AD63">
        <v>3788.2577499999998</v>
      </c>
      <c r="AF63">
        <v>1071</v>
      </c>
      <c r="AG63" t="str">
        <v>Basketball</v>
      </c>
      <c r="AH63">
        <v>2468.1855679999999</v>
      </c>
    </row>
    <row r="64" spans="1:34" x14ac:dyDescent="0.3">
      <c r="A64" s="1">
        <v>1062</v>
      </c>
      <c r="B64" s="2">
        <v>45749</v>
      </c>
      <c r="C64" s="1" t="s">
        <v>10</v>
      </c>
      <c r="D64" s="1" t="s">
        <v>33</v>
      </c>
      <c r="E64" s="1" t="s">
        <v>16</v>
      </c>
      <c r="F64" s="1">
        <v>4834.29</v>
      </c>
      <c r="G64" s="1" t="s">
        <v>101</v>
      </c>
      <c r="H64" s="2">
        <v>31331</v>
      </c>
      <c r="I64" s="2">
        <v>45759</v>
      </c>
      <c r="J64" s="1">
        <v>2.39</v>
      </c>
      <c r="K64" s="4">
        <f t="shared" si="0"/>
        <v>115.53953100000001</v>
      </c>
      <c r="L64" s="4">
        <f t="shared" si="1"/>
        <v>4718.7504689999996</v>
      </c>
      <c r="O64">
        <v>1074</v>
      </c>
      <c r="P64">
        <v>45174</v>
      </c>
      <c r="Q64" t="str">
        <v>Central</v>
      </c>
      <c r="R64" t="str">
        <v>Eggs</v>
      </c>
      <c r="S64" t="str">
        <v>Groceries</v>
      </c>
      <c r="T64">
        <v>2618.06</v>
      </c>
      <c r="U64" t="str">
        <v>Christina Young</v>
      </c>
      <c r="V64">
        <v>26011</v>
      </c>
      <c r="W64">
        <v>45176</v>
      </c>
      <c r="X64">
        <v>11.89</v>
      </c>
      <c r="Y64">
        <v>311.28733399999999</v>
      </c>
      <c r="Z64">
        <v>2306.7726659999998</v>
      </c>
      <c r="AC64" t="str">
        <v>Eggs</v>
      </c>
      <c r="AD64">
        <v>1270.0150589999998</v>
      </c>
      <c r="AF64">
        <v>1072</v>
      </c>
      <c r="AG64" t="str">
        <v>Basketball</v>
      </c>
      <c r="AH64">
        <v>3788.2577499999998</v>
      </c>
    </row>
    <row r="65" spans="1:34" x14ac:dyDescent="0.3">
      <c r="A65" s="1">
        <v>1063</v>
      </c>
      <c r="B65" s="2">
        <v>44590</v>
      </c>
      <c r="C65" s="1" t="s">
        <v>14</v>
      </c>
      <c r="D65" s="1" t="s">
        <v>36</v>
      </c>
      <c r="E65" s="1" t="s">
        <v>28</v>
      </c>
      <c r="F65" s="1">
        <v>543.84</v>
      </c>
      <c r="G65" s="1" t="s">
        <v>39</v>
      </c>
      <c r="H65" s="2">
        <v>26282</v>
      </c>
      <c r="I65" s="2">
        <v>44603</v>
      </c>
      <c r="J65" s="1">
        <v>27.65</v>
      </c>
      <c r="K65" s="4">
        <f t="shared" si="0"/>
        <v>150.37175999999999</v>
      </c>
      <c r="L65" s="4">
        <f t="shared" si="1"/>
        <v>393.46824000000004</v>
      </c>
      <c r="O65">
        <v>1075</v>
      </c>
      <c r="P65">
        <v>45212</v>
      </c>
      <c r="Q65" t="str">
        <v>East</v>
      </c>
      <c r="R65" t="str">
        <v>Bed</v>
      </c>
      <c r="S65" t="str">
        <v>Furniture</v>
      </c>
      <c r="T65">
        <v>4787.12</v>
      </c>
      <c r="U65" t="str">
        <v>Kevin Preston</v>
      </c>
      <c r="V65">
        <v>32064</v>
      </c>
      <c r="W65">
        <v>45226</v>
      </c>
      <c r="X65">
        <v>1.25</v>
      </c>
      <c r="Y65">
        <v>59.838999999999999</v>
      </c>
      <c r="Z65">
        <v>4727.2809999999999</v>
      </c>
      <c r="AC65" t="str">
        <v>Eggs</v>
      </c>
      <c r="AD65">
        <v>2306.7726659999998</v>
      </c>
      <c r="AF65">
        <v>1073</v>
      </c>
      <c r="AG65" t="str">
        <v>Eggs</v>
      </c>
      <c r="AH65">
        <v>1270.0150589999998</v>
      </c>
    </row>
    <row r="66" spans="1:34" x14ac:dyDescent="0.3">
      <c r="A66" s="1">
        <v>1064</v>
      </c>
      <c r="B66" s="2">
        <v>44565</v>
      </c>
      <c r="C66" s="1" t="s">
        <v>35</v>
      </c>
      <c r="D66" s="1" t="s">
        <v>102</v>
      </c>
      <c r="E66" s="1" t="s">
        <v>12</v>
      </c>
      <c r="F66" s="1">
        <v>809.73</v>
      </c>
      <c r="G66" s="1" t="s">
        <v>94</v>
      </c>
      <c r="H66" s="2">
        <v>25516</v>
      </c>
      <c r="I66" s="2">
        <v>44571</v>
      </c>
      <c r="J66" s="1">
        <v>34.11</v>
      </c>
      <c r="K66" s="4">
        <f t="shared" si="0"/>
        <v>276.19890300000003</v>
      </c>
      <c r="L66" s="4">
        <f t="shared" si="1"/>
        <v>533.53109700000005</v>
      </c>
      <c r="O66">
        <v>1077</v>
      </c>
      <c r="P66">
        <v>44472</v>
      </c>
      <c r="Q66" t="str">
        <v>West</v>
      </c>
      <c r="R66" t="str">
        <v>Oil</v>
      </c>
      <c r="S66" t="str">
        <v>Groceries</v>
      </c>
      <c r="T66">
        <v>2607.7399999999998</v>
      </c>
      <c r="U66" t="str">
        <v>Frank Davis</v>
      </c>
      <c r="V66">
        <v>38171</v>
      </c>
      <c r="W66">
        <v>44482</v>
      </c>
      <c r="X66">
        <v>36.32</v>
      </c>
      <c r="Y66">
        <v>947.131168</v>
      </c>
      <c r="Z66">
        <v>1660.6088319999999</v>
      </c>
      <c r="AC66" t="str">
        <v>Bed</v>
      </c>
      <c r="AD66">
        <v>4727.2809999999999</v>
      </c>
      <c r="AF66">
        <v>1074</v>
      </c>
      <c r="AG66" t="str">
        <v>Eggs</v>
      </c>
      <c r="AH66">
        <v>2306.7726659999998</v>
      </c>
    </row>
    <row r="67" spans="1:34" x14ac:dyDescent="0.3">
      <c r="A67" s="1">
        <v>1065</v>
      </c>
      <c r="B67" s="2">
        <v>45418</v>
      </c>
      <c r="C67" s="1" t="s">
        <v>26</v>
      </c>
      <c r="D67" s="1" t="s">
        <v>58</v>
      </c>
      <c r="E67" s="1" t="s">
        <v>31</v>
      </c>
      <c r="F67" s="1">
        <v>3284.07</v>
      </c>
      <c r="G67" s="1" t="s">
        <v>103</v>
      </c>
      <c r="H67" s="2">
        <v>30923</v>
      </c>
      <c r="I67" s="2">
        <v>45425</v>
      </c>
      <c r="J67" s="1">
        <v>32.409999999999997</v>
      </c>
      <c r="K67" s="4">
        <f t="shared" ref="K67:K130" si="2">F67*J67%</f>
        <v>1064.3670869999999</v>
      </c>
      <c r="L67" s="4">
        <f t="shared" ref="L67:L130" si="3">F67-K67</f>
        <v>2219.7029130000001</v>
      </c>
      <c r="O67">
        <v>1080</v>
      </c>
      <c r="P67">
        <v>44967</v>
      </c>
      <c r="Q67" t="str">
        <v>North</v>
      </c>
      <c r="R67" t="str">
        <v>Bed</v>
      </c>
      <c r="S67" t="str">
        <v>Furniture</v>
      </c>
      <c r="T67">
        <v>2009.76</v>
      </c>
      <c r="U67" t="str">
        <v>Kayla Patel</v>
      </c>
      <c r="V67">
        <v>32992</v>
      </c>
      <c r="W67">
        <v>44971</v>
      </c>
      <c r="X67">
        <v>13.06</v>
      </c>
      <c r="Y67">
        <v>262.47465599999998</v>
      </c>
      <c r="Z67">
        <v>1747.2853439999999</v>
      </c>
      <c r="AC67" t="str">
        <v>Oil</v>
      </c>
      <c r="AD67">
        <v>1660.6088319999999</v>
      </c>
      <c r="AF67">
        <v>1075</v>
      </c>
      <c r="AG67" t="str">
        <v>Bed</v>
      </c>
      <c r="AH67">
        <v>4727.2809999999999</v>
      </c>
    </row>
    <row r="68" spans="1:34" x14ac:dyDescent="0.3">
      <c r="A68" s="1">
        <v>1066</v>
      </c>
      <c r="B68" s="2">
        <v>44121</v>
      </c>
      <c r="C68" s="1" t="s">
        <v>14</v>
      </c>
      <c r="D68" s="1" t="s">
        <v>30</v>
      </c>
      <c r="E68" s="1" t="s">
        <v>31</v>
      </c>
      <c r="F68" s="1">
        <v>3022.63</v>
      </c>
      <c r="G68" s="1" t="s">
        <v>104</v>
      </c>
      <c r="H68" s="2">
        <v>24852</v>
      </c>
      <c r="I68" s="2">
        <v>44124</v>
      </c>
      <c r="J68" s="1">
        <v>15.46</v>
      </c>
      <c r="K68" s="4">
        <f t="shared" si="2"/>
        <v>467.29859800000008</v>
      </c>
      <c r="L68" s="4">
        <f t="shared" si="3"/>
        <v>2555.3314019999998</v>
      </c>
      <c r="O68">
        <v>1083</v>
      </c>
      <c r="P68">
        <v>44429</v>
      </c>
      <c r="Q68" t="str">
        <v>West</v>
      </c>
      <c r="R68" t="str">
        <v>Chair</v>
      </c>
      <c r="S68" t="str">
        <v>Furniture</v>
      </c>
      <c r="T68">
        <v>2800.45</v>
      </c>
      <c r="U68" t="str">
        <v>Charles Delgado</v>
      </c>
      <c r="V68">
        <v>29486</v>
      </c>
      <c r="W68">
        <v>44430</v>
      </c>
      <c r="X68">
        <v>19.16</v>
      </c>
      <c r="Y68">
        <v>536.56621999999993</v>
      </c>
      <c r="Z68">
        <v>2263.8837800000001</v>
      </c>
      <c r="AC68" t="str">
        <v>Bed</v>
      </c>
      <c r="AD68">
        <v>1747.2853439999999</v>
      </c>
      <c r="AF68">
        <v>1077</v>
      </c>
      <c r="AG68" t="str">
        <v>Oil</v>
      </c>
      <c r="AH68">
        <v>1660.6088319999999</v>
      </c>
    </row>
    <row r="69" spans="1:34" x14ac:dyDescent="0.3">
      <c r="A69" s="1">
        <v>1067</v>
      </c>
      <c r="B69" s="2">
        <v>44633</v>
      </c>
      <c r="C69" s="1" t="s">
        <v>14</v>
      </c>
      <c r="D69" s="1" t="s">
        <v>61</v>
      </c>
      <c r="E69" s="1" t="s">
        <v>19</v>
      </c>
      <c r="F69" s="1">
        <v>1227.01</v>
      </c>
      <c r="G69" s="1" t="s">
        <v>105</v>
      </c>
      <c r="H69" s="2">
        <v>35889</v>
      </c>
      <c r="I69" s="2">
        <v>44635</v>
      </c>
      <c r="J69" s="1">
        <v>10.28</v>
      </c>
      <c r="K69" s="4">
        <f t="shared" si="2"/>
        <v>126.13662799999999</v>
      </c>
      <c r="L69" s="4">
        <f t="shared" si="3"/>
        <v>1100.873372</v>
      </c>
      <c r="O69">
        <v>1084</v>
      </c>
      <c r="P69">
        <v>44453</v>
      </c>
      <c r="Q69" t="str">
        <v>Central</v>
      </c>
      <c r="R69" t="str">
        <v>T-Shirt</v>
      </c>
      <c r="S69" t="str">
        <v>Clothing</v>
      </c>
      <c r="T69">
        <v>3499.14</v>
      </c>
      <c r="U69" t="str">
        <v>Mary Hicks</v>
      </c>
      <c r="V69">
        <v>39294</v>
      </c>
      <c r="W69">
        <v>44463</v>
      </c>
      <c r="X69">
        <v>13.33</v>
      </c>
      <c r="Y69">
        <v>466.435362</v>
      </c>
      <c r="Z69">
        <v>3032.7046379999997</v>
      </c>
      <c r="AC69" t="str">
        <v>Chair</v>
      </c>
      <c r="AD69">
        <v>2263.8837800000001</v>
      </c>
      <c r="AF69">
        <v>1080</v>
      </c>
      <c r="AG69" t="str">
        <v>Bed</v>
      </c>
      <c r="AH69">
        <v>1747.2853439999999</v>
      </c>
    </row>
    <row r="70" spans="1:34" x14ac:dyDescent="0.3">
      <c r="A70" s="1">
        <v>1068</v>
      </c>
      <c r="B70" s="2">
        <v>45567</v>
      </c>
      <c r="C70" s="1" t="s">
        <v>10</v>
      </c>
      <c r="D70" s="1" t="s">
        <v>15</v>
      </c>
      <c r="E70" s="1" t="s">
        <v>16</v>
      </c>
      <c r="F70" s="1">
        <v>2133.52</v>
      </c>
      <c r="G70" s="1" t="s">
        <v>62</v>
      </c>
      <c r="H70" s="2">
        <v>22870</v>
      </c>
      <c r="I70" s="2">
        <v>45572</v>
      </c>
      <c r="J70" s="1">
        <v>49.58</v>
      </c>
      <c r="K70" s="4">
        <f t="shared" si="2"/>
        <v>1057.7992159999999</v>
      </c>
      <c r="L70" s="4">
        <f t="shared" si="3"/>
        <v>1075.7207840000001</v>
      </c>
      <c r="O70">
        <v>1085</v>
      </c>
      <c r="P70">
        <v>44713</v>
      </c>
      <c r="Q70" t="str">
        <v>South</v>
      </c>
      <c r="R70" t="str">
        <v>Football</v>
      </c>
      <c r="S70" t="str">
        <v>Sports</v>
      </c>
      <c r="T70">
        <v>4470.8599999999997</v>
      </c>
      <c r="U70" t="str">
        <v>Charles Lewis</v>
      </c>
      <c r="V70">
        <v>23513</v>
      </c>
      <c r="W70">
        <v>44727</v>
      </c>
      <c r="X70">
        <v>32.76</v>
      </c>
      <c r="Y70">
        <v>1464.653736</v>
      </c>
      <c r="Z70">
        <v>3006.2062639999995</v>
      </c>
      <c r="AC70" t="str">
        <v>T-Shirt</v>
      </c>
      <c r="AD70">
        <v>3032.7046379999997</v>
      </c>
      <c r="AF70">
        <v>1083</v>
      </c>
      <c r="AG70" t="str">
        <v>Chair</v>
      </c>
      <c r="AH70">
        <v>2263.8837800000001</v>
      </c>
    </row>
    <row r="71" spans="1:34" x14ac:dyDescent="0.3">
      <c r="A71" s="1">
        <v>1069</v>
      </c>
      <c r="B71" s="2">
        <v>45534</v>
      </c>
      <c r="C71" s="1" t="s">
        <v>14</v>
      </c>
      <c r="D71" s="1" t="s">
        <v>44</v>
      </c>
      <c r="E71" s="1" t="s">
        <v>16</v>
      </c>
      <c r="F71" s="1">
        <v>1837.32</v>
      </c>
      <c r="G71" s="1" t="s">
        <v>106</v>
      </c>
      <c r="H71" s="2">
        <v>35506</v>
      </c>
      <c r="I71" s="2">
        <v>45540</v>
      </c>
      <c r="J71" s="1">
        <v>11.64</v>
      </c>
      <c r="K71" s="4">
        <f t="shared" si="2"/>
        <v>213.864048</v>
      </c>
      <c r="L71" s="4">
        <f t="shared" si="3"/>
        <v>1623.455952</v>
      </c>
      <c r="O71">
        <v>1086</v>
      </c>
      <c r="P71">
        <v>45703</v>
      </c>
      <c r="Q71" t="str">
        <v>Central</v>
      </c>
      <c r="R71" t="str">
        <v>Camera</v>
      </c>
      <c r="S71" t="str">
        <v>Electronics</v>
      </c>
      <c r="T71">
        <v>3968.35</v>
      </c>
      <c r="U71" t="str">
        <v>Adam Martinez</v>
      </c>
      <c r="V71">
        <v>22599</v>
      </c>
      <c r="W71">
        <v>45712</v>
      </c>
      <c r="X71">
        <v>30.13</v>
      </c>
      <c r="Y71">
        <v>1195.663855</v>
      </c>
      <c r="Z71">
        <v>2772.6861449999997</v>
      </c>
      <c r="AC71" t="str">
        <v>Football</v>
      </c>
      <c r="AD71">
        <v>3006.2062639999995</v>
      </c>
      <c r="AF71">
        <v>1084</v>
      </c>
      <c r="AG71" t="str">
        <v>T-Shirt</v>
      </c>
      <c r="AH71">
        <v>3032.7046379999997</v>
      </c>
    </row>
    <row r="72" spans="1:34" x14ac:dyDescent="0.3">
      <c r="A72" s="1">
        <v>1070</v>
      </c>
      <c r="B72" s="2">
        <v>44633</v>
      </c>
      <c r="C72" s="1" t="s">
        <v>26</v>
      </c>
      <c r="D72" s="1" t="s">
        <v>88</v>
      </c>
      <c r="E72" s="1" t="s">
        <v>16</v>
      </c>
      <c r="F72" s="1">
        <v>3460.16</v>
      </c>
      <c r="G72" s="1" t="s">
        <v>107</v>
      </c>
      <c r="H72" s="2">
        <v>26671</v>
      </c>
      <c r="I72" s="2">
        <v>44634</v>
      </c>
      <c r="J72" s="1">
        <v>11.06</v>
      </c>
      <c r="K72" s="4">
        <f t="shared" si="2"/>
        <v>382.69369599999999</v>
      </c>
      <c r="L72" s="4">
        <f t="shared" si="3"/>
        <v>3077.466304</v>
      </c>
      <c r="O72">
        <v>1087</v>
      </c>
      <c r="P72">
        <v>45003</v>
      </c>
      <c r="Q72" t="str">
        <v>Central</v>
      </c>
      <c r="R72" t="str">
        <v>Football</v>
      </c>
      <c r="S72" t="str">
        <v>Sports</v>
      </c>
      <c r="T72">
        <v>4586.37</v>
      </c>
      <c r="U72" t="str">
        <v>Beth Landry</v>
      </c>
      <c r="V72">
        <v>34954</v>
      </c>
      <c r="W72">
        <v>45005</v>
      </c>
      <c r="X72">
        <v>40.15</v>
      </c>
      <c r="Y72">
        <v>1841.4275549999998</v>
      </c>
      <c r="Z72">
        <v>2744.9424450000001</v>
      </c>
      <c r="AC72" t="str">
        <v>Camera</v>
      </c>
      <c r="AD72">
        <v>2772.6861449999997</v>
      </c>
      <c r="AF72">
        <v>1085</v>
      </c>
      <c r="AG72" t="str">
        <v>Football</v>
      </c>
      <c r="AH72">
        <v>3006.2062639999995</v>
      </c>
    </row>
    <row r="73" spans="1:34" x14ac:dyDescent="0.3">
      <c r="A73" s="1">
        <v>1071</v>
      </c>
      <c r="B73" s="2">
        <v>45780</v>
      </c>
      <c r="C73" s="1" t="s">
        <v>10</v>
      </c>
      <c r="D73" s="1" t="s">
        <v>11</v>
      </c>
      <c r="E73" s="1" t="s">
        <v>12</v>
      </c>
      <c r="F73" s="1">
        <v>3450.56</v>
      </c>
      <c r="G73" s="1" t="s">
        <v>108</v>
      </c>
      <c r="H73" s="2">
        <v>33413</v>
      </c>
      <c r="I73" s="2">
        <v>45792</v>
      </c>
      <c r="J73" s="1">
        <v>28.47</v>
      </c>
      <c r="K73" s="4">
        <f t="shared" si="2"/>
        <v>982.37443200000007</v>
      </c>
      <c r="L73" s="4">
        <f t="shared" si="3"/>
        <v>2468.1855679999999</v>
      </c>
      <c r="O73">
        <v>1088</v>
      </c>
      <c r="P73">
        <v>45268</v>
      </c>
      <c r="Q73" t="str">
        <v>East</v>
      </c>
      <c r="R73" t="str">
        <v>Rice</v>
      </c>
      <c r="S73" t="str">
        <v>Groceries</v>
      </c>
      <c r="T73">
        <v>3650.88</v>
      </c>
      <c r="U73" t="str">
        <v>Mrs. Rebecca Young</v>
      </c>
      <c r="V73">
        <v>30820</v>
      </c>
      <c r="W73">
        <v>45270</v>
      </c>
      <c r="X73">
        <v>31.44</v>
      </c>
      <c r="Y73">
        <v>1147.8366720000001</v>
      </c>
      <c r="Z73">
        <v>2503.0433279999997</v>
      </c>
      <c r="AC73" t="str">
        <v>Football</v>
      </c>
      <c r="AD73">
        <v>2744.9424450000001</v>
      </c>
      <c r="AF73">
        <v>1086</v>
      </c>
      <c r="AG73" t="str">
        <v>Camera</v>
      </c>
      <c r="AH73">
        <v>2772.6861449999997</v>
      </c>
    </row>
    <row r="74" spans="1:34" x14ac:dyDescent="0.3">
      <c r="A74" s="1">
        <v>1072</v>
      </c>
      <c r="B74" s="2">
        <v>45585</v>
      </c>
      <c r="C74" s="1" t="s">
        <v>14</v>
      </c>
      <c r="D74" s="1" t="s">
        <v>11</v>
      </c>
      <c r="E74" s="1" t="s">
        <v>12</v>
      </c>
      <c r="F74" s="1">
        <v>4220.8999999999996</v>
      </c>
      <c r="G74" s="1" t="s">
        <v>93</v>
      </c>
      <c r="H74" s="2">
        <v>33984</v>
      </c>
      <c r="I74" s="2">
        <v>45590</v>
      </c>
      <c r="J74" s="1">
        <v>10.25</v>
      </c>
      <c r="K74" s="4">
        <f t="shared" si="2"/>
        <v>432.64224999999993</v>
      </c>
      <c r="L74" s="4">
        <f t="shared" si="3"/>
        <v>3788.2577499999998</v>
      </c>
      <c r="O74">
        <v>1089</v>
      </c>
      <c r="P74">
        <v>45319</v>
      </c>
      <c r="Q74" t="str">
        <v>East</v>
      </c>
      <c r="R74" t="str">
        <v>Sofa</v>
      </c>
      <c r="S74" t="str">
        <v>Furniture</v>
      </c>
      <c r="T74">
        <v>2648.98</v>
      </c>
      <c r="U74" t="str">
        <v>Antonio David</v>
      </c>
      <c r="V74">
        <v>24580</v>
      </c>
      <c r="W74">
        <v>45332</v>
      </c>
      <c r="X74">
        <v>32.72</v>
      </c>
      <c r="Y74">
        <v>866.74625600000002</v>
      </c>
      <c r="Z74">
        <v>1782.2337440000001</v>
      </c>
      <c r="AC74" t="str">
        <v>Rice</v>
      </c>
      <c r="AD74">
        <v>2503.0433279999997</v>
      </c>
      <c r="AF74">
        <v>1087</v>
      </c>
      <c r="AG74" t="str">
        <v>Football</v>
      </c>
      <c r="AH74">
        <v>2744.9424450000001</v>
      </c>
    </row>
    <row r="75" spans="1:34" x14ac:dyDescent="0.3">
      <c r="A75" s="1">
        <v>1073</v>
      </c>
      <c r="B75" s="2">
        <v>45238</v>
      </c>
      <c r="C75" s="1" t="s">
        <v>21</v>
      </c>
      <c r="D75" s="1" t="s">
        <v>88</v>
      </c>
      <c r="E75" s="1" t="s">
        <v>16</v>
      </c>
      <c r="F75" s="1">
        <v>1397.31</v>
      </c>
      <c r="G75" s="1" t="s">
        <v>101</v>
      </c>
      <c r="H75" s="2">
        <v>31331</v>
      </c>
      <c r="I75" s="2">
        <v>45244</v>
      </c>
      <c r="J75" s="1">
        <v>9.11</v>
      </c>
      <c r="K75" s="4">
        <f t="shared" si="2"/>
        <v>127.29494099999999</v>
      </c>
      <c r="L75" s="4">
        <f t="shared" si="3"/>
        <v>1270.0150589999998</v>
      </c>
      <c r="O75">
        <v>1090</v>
      </c>
      <c r="P75">
        <v>45589</v>
      </c>
      <c r="Q75" t="str">
        <v>North</v>
      </c>
      <c r="R75" t="str">
        <v>T-Shirt</v>
      </c>
      <c r="S75" t="str">
        <v>Clothing</v>
      </c>
      <c r="T75">
        <v>4552.96</v>
      </c>
      <c r="U75" t="str">
        <v>Sierra Elliott</v>
      </c>
      <c r="V75">
        <v>29720</v>
      </c>
      <c r="W75">
        <v>45598</v>
      </c>
      <c r="X75">
        <v>45.91</v>
      </c>
      <c r="Y75">
        <v>2090.2639359999998</v>
      </c>
      <c r="Z75">
        <v>2462.6960640000002</v>
      </c>
      <c r="AC75" t="str">
        <v>Sofa</v>
      </c>
      <c r="AD75">
        <v>1782.2337440000001</v>
      </c>
      <c r="AF75">
        <v>1088</v>
      </c>
      <c r="AG75" t="str">
        <v>Rice</v>
      </c>
      <c r="AH75">
        <v>2503.0433279999997</v>
      </c>
    </row>
    <row r="76" spans="1:34" x14ac:dyDescent="0.3">
      <c r="A76" s="1">
        <v>1074</v>
      </c>
      <c r="B76" s="2">
        <v>45174</v>
      </c>
      <c r="C76" s="1" t="s">
        <v>35</v>
      </c>
      <c r="D76" s="1" t="s">
        <v>88</v>
      </c>
      <c r="E76" s="1" t="s">
        <v>16</v>
      </c>
      <c r="F76" s="1">
        <v>2618.06</v>
      </c>
      <c r="G76" s="1" t="s">
        <v>109</v>
      </c>
      <c r="H76" s="2">
        <v>26011</v>
      </c>
      <c r="I76" s="2">
        <v>45176</v>
      </c>
      <c r="J76" s="1">
        <v>11.89</v>
      </c>
      <c r="K76" s="4">
        <f t="shared" si="2"/>
        <v>311.28733399999999</v>
      </c>
      <c r="L76" s="4">
        <f t="shared" si="3"/>
        <v>2306.7726659999998</v>
      </c>
      <c r="O76">
        <v>1091</v>
      </c>
      <c r="P76">
        <v>45476</v>
      </c>
      <c r="Q76" t="str">
        <v>West</v>
      </c>
      <c r="R76" t="str">
        <v>Jeans</v>
      </c>
      <c r="S76" t="str">
        <v>Clothing</v>
      </c>
      <c r="T76">
        <v>1851.24</v>
      </c>
      <c r="U76" t="str">
        <v>Christina Bennett</v>
      </c>
      <c r="V76">
        <v>36120</v>
      </c>
      <c r="W76">
        <v>45479</v>
      </c>
      <c r="X76">
        <v>24.89</v>
      </c>
      <c r="Y76">
        <v>460.77363600000001</v>
      </c>
      <c r="Z76">
        <v>1390.4663639999999</v>
      </c>
      <c r="AC76" t="str">
        <v>T-Shirt</v>
      </c>
      <c r="AD76">
        <v>2462.6960640000002</v>
      </c>
      <c r="AF76">
        <v>1089</v>
      </c>
      <c r="AG76" t="str">
        <v>Sofa</v>
      </c>
      <c r="AH76">
        <v>1782.2337440000001</v>
      </c>
    </row>
    <row r="77" spans="1:34" x14ac:dyDescent="0.3">
      <c r="A77" s="1">
        <v>1075</v>
      </c>
      <c r="B77" s="2">
        <v>45212</v>
      </c>
      <c r="C77" s="1" t="s">
        <v>26</v>
      </c>
      <c r="D77" s="1" t="s">
        <v>27</v>
      </c>
      <c r="E77" s="1" t="s">
        <v>28</v>
      </c>
      <c r="F77" s="1">
        <v>4787.12</v>
      </c>
      <c r="G77" s="1" t="s">
        <v>110</v>
      </c>
      <c r="H77" s="2">
        <v>32064</v>
      </c>
      <c r="I77" s="2">
        <v>45226</v>
      </c>
      <c r="J77" s="1">
        <v>1.25</v>
      </c>
      <c r="K77" s="4">
        <f t="shared" si="2"/>
        <v>59.838999999999999</v>
      </c>
      <c r="L77" s="4">
        <f t="shared" si="3"/>
        <v>4727.2809999999999</v>
      </c>
      <c r="O77">
        <v>1092</v>
      </c>
      <c r="P77">
        <v>45544</v>
      </c>
      <c r="Q77" t="str">
        <v>West</v>
      </c>
      <c r="R77" t="str">
        <v>Chair</v>
      </c>
      <c r="S77" t="str">
        <v>Furniture</v>
      </c>
      <c r="T77">
        <v>2920.84</v>
      </c>
      <c r="U77" t="str">
        <v>Kevin Preston</v>
      </c>
      <c r="V77">
        <v>32064</v>
      </c>
      <c r="W77">
        <v>45556</v>
      </c>
      <c r="X77">
        <v>13.81</v>
      </c>
      <c r="Y77">
        <v>403.36800400000004</v>
      </c>
      <c r="Z77">
        <v>2517.4719960000002</v>
      </c>
      <c r="AC77" t="str">
        <v>Jeans</v>
      </c>
      <c r="AD77">
        <v>1390.4663639999999</v>
      </c>
      <c r="AF77">
        <v>1090</v>
      </c>
      <c r="AG77" t="str">
        <v>T-Shirt</v>
      </c>
      <c r="AH77">
        <v>2462.6960640000002</v>
      </c>
    </row>
    <row r="78" spans="1:34" x14ac:dyDescent="0.3">
      <c r="A78" s="1">
        <v>1076</v>
      </c>
      <c r="B78" s="2">
        <v>44682</v>
      </c>
      <c r="C78" s="1" t="s">
        <v>21</v>
      </c>
      <c r="D78" s="1" t="s">
        <v>44</v>
      </c>
      <c r="E78" s="1" t="s">
        <v>16</v>
      </c>
      <c r="F78" s="1">
        <v>316.27</v>
      </c>
      <c r="G78" s="1" t="s">
        <v>111</v>
      </c>
      <c r="H78" s="2">
        <v>34704</v>
      </c>
      <c r="I78" s="2">
        <v>44695</v>
      </c>
      <c r="J78" s="1">
        <v>22.2</v>
      </c>
      <c r="K78" s="4">
        <f t="shared" si="2"/>
        <v>70.211939999999998</v>
      </c>
      <c r="L78" s="4">
        <f t="shared" si="3"/>
        <v>246.05805999999998</v>
      </c>
      <c r="O78">
        <v>1093</v>
      </c>
      <c r="P78">
        <v>45520</v>
      </c>
      <c r="Q78" t="str">
        <v>South</v>
      </c>
      <c r="R78" t="str">
        <v>Tablet</v>
      </c>
      <c r="S78" t="str">
        <v>Electronics</v>
      </c>
      <c r="T78">
        <v>3885.89</v>
      </c>
      <c r="U78" t="str">
        <v>Patricia Burton</v>
      </c>
      <c r="V78">
        <v>24673</v>
      </c>
      <c r="W78">
        <v>45525</v>
      </c>
      <c r="X78">
        <v>42.07</v>
      </c>
      <c r="Y78">
        <v>1634.7939229999999</v>
      </c>
      <c r="Z78">
        <v>2251.0960770000002</v>
      </c>
      <c r="AC78" t="str">
        <v>Chair</v>
      </c>
      <c r="AD78">
        <v>2517.4719960000002</v>
      </c>
      <c r="AF78">
        <v>1091</v>
      </c>
      <c r="AG78" t="str">
        <v>Jeans</v>
      </c>
      <c r="AH78">
        <v>1390.4663639999999</v>
      </c>
    </row>
    <row r="79" spans="1:34" x14ac:dyDescent="0.3">
      <c r="A79" s="1">
        <v>1077</v>
      </c>
      <c r="B79" s="2">
        <v>44472</v>
      </c>
      <c r="C79" s="1" t="s">
        <v>10</v>
      </c>
      <c r="D79" s="1" t="s">
        <v>33</v>
      </c>
      <c r="E79" s="1" t="s">
        <v>16</v>
      </c>
      <c r="F79" s="1">
        <v>2607.7399999999998</v>
      </c>
      <c r="G79" s="1" t="s">
        <v>112</v>
      </c>
      <c r="H79" s="2">
        <v>38171</v>
      </c>
      <c r="I79" s="2">
        <v>44482</v>
      </c>
      <c r="J79" s="1">
        <v>36.32</v>
      </c>
      <c r="K79" s="4">
        <f t="shared" si="2"/>
        <v>947.131168</v>
      </c>
      <c r="L79" s="4">
        <f t="shared" si="3"/>
        <v>1660.6088319999999</v>
      </c>
      <c r="O79">
        <v>1095</v>
      </c>
      <c r="P79">
        <v>44895</v>
      </c>
      <c r="Q79" t="str">
        <v>North</v>
      </c>
      <c r="R79" t="str">
        <v>Wardrobe</v>
      </c>
      <c r="S79" t="str">
        <v>Furniture</v>
      </c>
      <c r="T79">
        <v>3199.23</v>
      </c>
      <c r="U79" t="str">
        <v>William Robles</v>
      </c>
      <c r="V79">
        <v>30786</v>
      </c>
      <c r="W79">
        <v>44905</v>
      </c>
      <c r="X79">
        <v>33.99</v>
      </c>
      <c r="Y79">
        <v>1087.4182770000002</v>
      </c>
      <c r="Z79">
        <v>2111.8117229999998</v>
      </c>
      <c r="AC79" t="str">
        <v>Tablet</v>
      </c>
      <c r="AD79">
        <v>2251.0960770000002</v>
      </c>
      <c r="AF79">
        <v>1092</v>
      </c>
      <c r="AG79" t="str">
        <v>Chair</v>
      </c>
      <c r="AH79">
        <v>2517.4719960000002</v>
      </c>
    </row>
    <row r="80" spans="1:34" x14ac:dyDescent="0.3">
      <c r="A80" s="1">
        <v>1078</v>
      </c>
      <c r="B80" s="2">
        <v>44790</v>
      </c>
      <c r="C80" s="1" t="s">
        <v>14</v>
      </c>
      <c r="D80" s="1" t="s">
        <v>55</v>
      </c>
      <c r="E80" s="1" t="s">
        <v>31</v>
      </c>
      <c r="F80" s="1">
        <v>1059.23</v>
      </c>
      <c r="G80" s="1" t="s">
        <v>20</v>
      </c>
      <c r="H80" s="2">
        <v>24232</v>
      </c>
      <c r="I80" s="2">
        <v>44795</v>
      </c>
      <c r="J80" s="1">
        <v>37.99</v>
      </c>
      <c r="K80" s="4">
        <f t="shared" si="2"/>
        <v>402.401477</v>
      </c>
      <c r="L80" s="4">
        <f t="shared" si="3"/>
        <v>656.82852300000002</v>
      </c>
      <c r="O80">
        <v>1097</v>
      </c>
      <c r="P80">
        <v>45757</v>
      </c>
      <c r="Q80" t="str">
        <v>Central</v>
      </c>
      <c r="R80" t="str">
        <v>Tennis Racket</v>
      </c>
      <c r="S80" t="str">
        <v>Sports</v>
      </c>
      <c r="T80">
        <v>1679.27</v>
      </c>
      <c r="U80" t="str">
        <v>James Campbell</v>
      </c>
      <c r="V80">
        <v>28644</v>
      </c>
      <c r="W80">
        <v>45768</v>
      </c>
      <c r="X80">
        <v>14.47</v>
      </c>
      <c r="Y80">
        <v>242.99036899999999</v>
      </c>
      <c r="Z80">
        <v>1436.2796309999999</v>
      </c>
      <c r="AC80" t="str">
        <v>Wardrobe</v>
      </c>
      <c r="AD80">
        <v>2111.8117229999998</v>
      </c>
      <c r="AF80">
        <v>1093</v>
      </c>
      <c r="AG80" t="str">
        <v>Tablet</v>
      </c>
      <c r="AH80">
        <v>2251.0960770000002</v>
      </c>
    </row>
    <row r="81" spans="1:34" x14ac:dyDescent="0.3">
      <c r="A81" s="1">
        <v>1079</v>
      </c>
      <c r="B81" s="2">
        <v>44587</v>
      </c>
      <c r="C81" s="1" t="s">
        <v>21</v>
      </c>
      <c r="D81" s="1" t="s">
        <v>11</v>
      </c>
      <c r="E81" s="1" t="s">
        <v>12</v>
      </c>
      <c r="F81" s="1">
        <v>222.13</v>
      </c>
      <c r="G81" s="1" t="s">
        <v>113</v>
      </c>
      <c r="H81" s="2">
        <v>25579</v>
      </c>
      <c r="I81" s="2">
        <v>44596</v>
      </c>
      <c r="J81" s="1">
        <v>47.93</v>
      </c>
      <c r="K81" s="4">
        <f t="shared" si="2"/>
        <v>106.466909</v>
      </c>
      <c r="L81" s="4">
        <f t="shared" si="3"/>
        <v>115.66309099999999</v>
      </c>
      <c r="O81">
        <v>1098</v>
      </c>
      <c r="P81">
        <v>44664</v>
      </c>
      <c r="Q81" t="str">
        <v>East</v>
      </c>
      <c r="R81" t="str">
        <v>Basketball</v>
      </c>
      <c r="S81" t="str">
        <v>Sports</v>
      </c>
      <c r="T81">
        <v>3385.55</v>
      </c>
      <c r="U81" t="str">
        <v>Peter Cook</v>
      </c>
      <c r="V81">
        <v>31846</v>
      </c>
      <c r="W81">
        <v>44670</v>
      </c>
      <c r="X81">
        <v>49.06</v>
      </c>
      <c r="Y81">
        <v>1660.9508300000002</v>
      </c>
      <c r="Z81">
        <v>1724.59917</v>
      </c>
      <c r="AC81" t="str">
        <v>Tennis Racket</v>
      </c>
      <c r="AD81">
        <v>1436.2796309999999</v>
      </c>
      <c r="AF81">
        <v>1095</v>
      </c>
      <c r="AG81" t="str">
        <v>Wardrobe</v>
      </c>
      <c r="AH81">
        <v>2111.8117229999998</v>
      </c>
    </row>
    <row r="82" spans="1:34" x14ac:dyDescent="0.3">
      <c r="A82" s="1">
        <v>1080</v>
      </c>
      <c r="B82" s="2">
        <v>44967</v>
      </c>
      <c r="C82" s="1" t="s">
        <v>14</v>
      </c>
      <c r="D82" s="1" t="s">
        <v>27</v>
      </c>
      <c r="E82" s="1" t="s">
        <v>28</v>
      </c>
      <c r="F82" s="1">
        <v>2009.76</v>
      </c>
      <c r="G82" s="1" t="s">
        <v>72</v>
      </c>
      <c r="H82" s="2">
        <v>32992</v>
      </c>
      <c r="I82" s="2">
        <v>44971</v>
      </c>
      <c r="J82" s="1">
        <v>13.06</v>
      </c>
      <c r="K82" s="4">
        <f t="shared" si="2"/>
        <v>262.47465599999998</v>
      </c>
      <c r="L82" s="4">
        <f t="shared" si="3"/>
        <v>1747.2853439999999</v>
      </c>
      <c r="O82">
        <v>1099</v>
      </c>
      <c r="P82">
        <v>44936</v>
      </c>
      <c r="Q82" t="str">
        <v>North</v>
      </c>
      <c r="R82" t="str">
        <v>Camera</v>
      </c>
      <c r="S82" t="str">
        <v>Electronics</v>
      </c>
      <c r="T82">
        <v>3277.84</v>
      </c>
      <c r="U82" t="str">
        <v>Danielle Holloway</v>
      </c>
      <c r="V82">
        <v>26282</v>
      </c>
      <c r="W82">
        <v>44949</v>
      </c>
      <c r="X82">
        <v>36.24</v>
      </c>
      <c r="Y82">
        <v>1187.889216</v>
      </c>
      <c r="Z82">
        <v>2089.9507840000001</v>
      </c>
      <c r="AC82" t="str">
        <v>Basketball</v>
      </c>
      <c r="AD82">
        <v>1724.59917</v>
      </c>
      <c r="AF82">
        <v>1097</v>
      </c>
      <c r="AG82" t="str">
        <v>Tennis Racket</v>
      </c>
      <c r="AH82">
        <v>1436.2796309999999</v>
      </c>
    </row>
    <row r="83" spans="1:34" x14ac:dyDescent="0.3">
      <c r="A83" s="1">
        <v>1081</v>
      </c>
      <c r="B83" s="2">
        <v>44548</v>
      </c>
      <c r="C83" s="1" t="s">
        <v>26</v>
      </c>
      <c r="D83" s="1" t="s">
        <v>30</v>
      </c>
      <c r="E83" s="1" t="s">
        <v>31</v>
      </c>
      <c r="F83" s="1">
        <v>556.89</v>
      </c>
      <c r="G83" s="1" t="s">
        <v>108</v>
      </c>
      <c r="H83" s="2">
        <v>33413</v>
      </c>
      <c r="I83" s="2">
        <v>44554</v>
      </c>
      <c r="J83" s="1">
        <v>9.42</v>
      </c>
      <c r="K83" s="4">
        <f t="shared" si="2"/>
        <v>52.459038</v>
      </c>
      <c r="L83" s="4">
        <f t="shared" si="3"/>
        <v>504.43096199999997</v>
      </c>
      <c r="O83">
        <v>1100</v>
      </c>
      <c r="P83">
        <v>45530</v>
      </c>
      <c r="Q83" t="str">
        <v>North</v>
      </c>
      <c r="R83" t="str">
        <v>Basketball</v>
      </c>
      <c r="S83" t="str">
        <v>Sports</v>
      </c>
      <c r="T83">
        <v>4696</v>
      </c>
      <c r="U83" t="str">
        <v>Katie Parker</v>
      </c>
      <c r="V83">
        <v>37961</v>
      </c>
      <c r="W83">
        <v>45533</v>
      </c>
      <c r="X83">
        <v>5.37</v>
      </c>
      <c r="Y83">
        <v>252.17519999999999</v>
      </c>
      <c r="Z83">
        <v>4443.8248000000003</v>
      </c>
      <c r="AC83" t="str">
        <v>Camera</v>
      </c>
      <c r="AD83">
        <v>2089.9507840000001</v>
      </c>
      <c r="AF83">
        <v>1098</v>
      </c>
      <c r="AG83" t="str">
        <v>Basketball</v>
      </c>
      <c r="AH83">
        <v>1724.59917</v>
      </c>
    </row>
    <row r="84" spans="1:34" x14ac:dyDescent="0.3">
      <c r="A84" s="1">
        <v>1082</v>
      </c>
      <c r="B84" s="2">
        <v>44142</v>
      </c>
      <c r="C84" s="1" t="s">
        <v>21</v>
      </c>
      <c r="D84" s="1" t="s">
        <v>73</v>
      </c>
      <c r="E84" s="1" t="s">
        <v>28</v>
      </c>
      <c r="F84" s="1">
        <v>711.12</v>
      </c>
      <c r="G84" s="1" t="s">
        <v>114</v>
      </c>
      <c r="H84" s="2">
        <v>28543</v>
      </c>
      <c r="I84" s="2">
        <v>44153</v>
      </c>
      <c r="J84" s="1">
        <v>49.69</v>
      </c>
      <c r="K84" s="4">
        <f t="shared" si="2"/>
        <v>353.35552799999999</v>
      </c>
      <c r="L84" s="4">
        <f t="shared" si="3"/>
        <v>357.76447200000001</v>
      </c>
      <c r="O84">
        <v>1101</v>
      </c>
      <c r="P84">
        <v>44098</v>
      </c>
      <c r="Q84" t="str">
        <v>East</v>
      </c>
      <c r="R84" t="str">
        <v>Table</v>
      </c>
      <c r="S84" t="str">
        <v>Furniture</v>
      </c>
      <c r="T84">
        <v>4356.8599999999997</v>
      </c>
      <c r="U84" t="str">
        <v>Amy Harris</v>
      </c>
      <c r="V84">
        <v>26668</v>
      </c>
      <c r="W84">
        <v>44104</v>
      </c>
      <c r="X84">
        <v>15.96</v>
      </c>
      <c r="Y84">
        <v>695.35485600000004</v>
      </c>
      <c r="Z84">
        <v>3661.5051439999997</v>
      </c>
      <c r="AC84" t="str">
        <v>Basketball</v>
      </c>
      <c r="AD84">
        <v>4443.8248000000003</v>
      </c>
      <c r="AF84">
        <v>1099</v>
      </c>
      <c r="AG84" t="str">
        <v>Camera</v>
      </c>
      <c r="AH84">
        <v>2089.9507840000001</v>
      </c>
    </row>
    <row r="85" spans="1:34" x14ac:dyDescent="0.3">
      <c r="A85" s="1">
        <v>1083</v>
      </c>
      <c r="B85" s="2">
        <v>44429</v>
      </c>
      <c r="C85" s="1" t="s">
        <v>10</v>
      </c>
      <c r="D85" s="1" t="s">
        <v>53</v>
      </c>
      <c r="E85" s="1" t="s">
        <v>28</v>
      </c>
      <c r="F85" s="1">
        <v>2800.45</v>
      </c>
      <c r="G85" s="1" t="s">
        <v>115</v>
      </c>
      <c r="H85" s="2">
        <v>29486</v>
      </c>
      <c r="I85" s="2">
        <v>44430</v>
      </c>
      <c r="J85" s="1">
        <v>19.16</v>
      </c>
      <c r="K85" s="4">
        <f t="shared" si="2"/>
        <v>536.56621999999993</v>
      </c>
      <c r="L85" s="4">
        <f t="shared" si="3"/>
        <v>2263.8837800000001</v>
      </c>
      <c r="O85">
        <v>1102</v>
      </c>
      <c r="P85">
        <v>44129</v>
      </c>
      <c r="Q85" t="str">
        <v>East</v>
      </c>
      <c r="R85" t="str">
        <v>Football</v>
      </c>
      <c r="S85" t="str">
        <v>Sports</v>
      </c>
      <c r="T85">
        <v>1697.76</v>
      </c>
      <c r="U85" t="str">
        <v>Edward Gonzalez</v>
      </c>
      <c r="V85">
        <v>38750</v>
      </c>
      <c r="W85">
        <v>44140</v>
      </c>
      <c r="X85">
        <v>18.23</v>
      </c>
      <c r="Y85">
        <v>309.50164800000005</v>
      </c>
      <c r="Z85">
        <v>1388.2583519999998</v>
      </c>
      <c r="AC85" t="str">
        <v>Table</v>
      </c>
      <c r="AD85">
        <v>3661.5051439999997</v>
      </c>
      <c r="AF85">
        <v>1100</v>
      </c>
      <c r="AG85" t="str">
        <v>Basketball</v>
      </c>
      <c r="AH85">
        <v>4443.8248000000003</v>
      </c>
    </row>
    <row r="86" spans="1:34" x14ac:dyDescent="0.3">
      <c r="A86" s="1">
        <v>1084</v>
      </c>
      <c r="B86" s="2">
        <v>44453</v>
      </c>
      <c r="C86" s="1" t="s">
        <v>35</v>
      </c>
      <c r="D86" s="1" t="s">
        <v>71</v>
      </c>
      <c r="E86" s="1" t="s">
        <v>31</v>
      </c>
      <c r="F86" s="1">
        <v>3499.14</v>
      </c>
      <c r="G86" s="1" t="s">
        <v>116</v>
      </c>
      <c r="H86" s="2">
        <v>39294</v>
      </c>
      <c r="I86" s="2">
        <v>44463</v>
      </c>
      <c r="J86" s="1">
        <v>13.33</v>
      </c>
      <c r="K86" s="4">
        <f t="shared" si="2"/>
        <v>466.435362</v>
      </c>
      <c r="L86" s="4">
        <f t="shared" si="3"/>
        <v>3032.7046379999997</v>
      </c>
      <c r="O86">
        <v>1103</v>
      </c>
      <c r="P86">
        <v>45417</v>
      </c>
      <c r="Q86" t="str">
        <v>South</v>
      </c>
      <c r="R86" t="str">
        <v>Jacket</v>
      </c>
      <c r="S86" t="str">
        <v>Clothing</v>
      </c>
      <c r="T86">
        <v>3125.88</v>
      </c>
      <c r="U86" t="str">
        <v>Nicole Church</v>
      </c>
      <c r="V86">
        <v>24348</v>
      </c>
      <c r="W86">
        <v>45423</v>
      </c>
      <c r="X86">
        <v>39.28</v>
      </c>
      <c r="Y86">
        <v>1227.8456640000002</v>
      </c>
      <c r="Z86">
        <v>1898.0343359999999</v>
      </c>
      <c r="AC86" t="str">
        <v>Football</v>
      </c>
      <c r="AD86">
        <v>1388.2583519999998</v>
      </c>
      <c r="AF86">
        <v>1101</v>
      </c>
      <c r="AG86" t="str">
        <v>Table</v>
      </c>
      <c r="AH86">
        <v>3661.5051439999997</v>
      </c>
    </row>
    <row r="87" spans="1:34" x14ac:dyDescent="0.3">
      <c r="A87" s="1">
        <v>1085</v>
      </c>
      <c r="B87" s="2">
        <v>44713</v>
      </c>
      <c r="C87" s="1" t="s">
        <v>21</v>
      </c>
      <c r="D87" s="1" t="s">
        <v>49</v>
      </c>
      <c r="E87" s="1" t="s">
        <v>12</v>
      </c>
      <c r="F87" s="1">
        <v>4470.8599999999997</v>
      </c>
      <c r="G87" s="1" t="s">
        <v>117</v>
      </c>
      <c r="H87" s="2">
        <v>23513</v>
      </c>
      <c r="I87" s="2">
        <v>44727</v>
      </c>
      <c r="J87" s="1">
        <v>32.76</v>
      </c>
      <c r="K87" s="4">
        <f t="shared" si="2"/>
        <v>1464.653736</v>
      </c>
      <c r="L87" s="4">
        <f t="shared" si="3"/>
        <v>3006.2062639999995</v>
      </c>
      <c r="O87">
        <v>1105</v>
      </c>
      <c r="P87">
        <v>45179</v>
      </c>
      <c r="Q87" t="str">
        <v>Central</v>
      </c>
      <c r="R87" t="str">
        <v>Cap</v>
      </c>
      <c r="S87" t="str">
        <v>Clothing</v>
      </c>
      <c r="T87">
        <v>3680.76</v>
      </c>
      <c r="U87" t="str">
        <v>Jerry Smith</v>
      </c>
      <c r="V87">
        <v>26027</v>
      </c>
      <c r="W87">
        <v>45181</v>
      </c>
      <c r="X87">
        <v>44.36</v>
      </c>
      <c r="Y87">
        <v>1632.785136</v>
      </c>
      <c r="Z87">
        <v>2047.9748640000003</v>
      </c>
      <c r="AC87" t="str">
        <v>Jacket</v>
      </c>
      <c r="AD87">
        <v>1898.0343359999999</v>
      </c>
      <c r="AF87">
        <v>1102</v>
      </c>
      <c r="AG87" t="str">
        <v>Football</v>
      </c>
      <c r="AH87">
        <v>1388.2583519999998</v>
      </c>
    </row>
    <row r="88" spans="1:34" x14ac:dyDescent="0.3">
      <c r="A88" s="1">
        <v>1086</v>
      </c>
      <c r="B88" s="2">
        <v>45703</v>
      </c>
      <c r="C88" s="1" t="s">
        <v>35</v>
      </c>
      <c r="D88" s="1" t="s">
        <v>24</v>
      </c>
      <c r="E88" s="1" t="s">
        <v>19</v>
      </c>
      <c r="F88" s="1">
        <v>3968.35</v>
      </c>
      <c r="G88" s="1" t="s">
        <v>118</v>
      </c>
      <c r="H88" s="2">
        <v>22599</v>
      </c>
      <c r="I88" s="2">
        <v>45712</v>
      </c>
      <c r="J88" s="1">
        <v>30.13</v>
      </c>
      <c r="K88" s="4">
        <f t="shared" si="2"/>
        <v>1195.663855</v>
      </c>
      <c r="L88" s="4">
        <f t="shared" si="3"/>
        <v>2772.6861449999997</v>
      </c>
      <c r="O88">
        <v>1106</v>
      </c>
      <c r="P88">
        <v>44176</v>
      </c>
      <c r="Q88" t="str">
        <v>West</v>
      </c>
      <c r="R88" t="str">
        <v>Rice</v>
      </c>
      <c r="S88" t="str">
        <v>Groceries</v>
      </c>
      <c r="T88">
        <v>2597.9899999999998</v>
      </c>
      <c r="U88" t="str">
        <v>Michelle Pitts</v>
      </c>
      <c r="V88">
        <v>38087</v>
      </c>
      <c r="W88">
        <v>44189</v>
      </c>
      <c r="X88">
        <v>13.57</v>
      </c>
      <c r="Y88">
        <v>352.54724300000004</v>
      </c>
      <c r="Z88">
        <v>2245.4427569999998</v>
      </c>
      <c r="AC88" t="str">
        <v>Cap</v>
      </c>
      <c r="AD88">
        <v>2047.9748640000003</v>
      </c>
      <c r="AF88">
        <v>1103</v>
      </c>
      <c r="AG88" t="str">
        <v>Jacket</v>
      </c>
      <c r="AH88">
        <v>1898.0343359999999</v>
      </c>
    </row>
    <row r="89" spans="1:34" x14ac:dyDescent="0.3">
      <c r="A89" s="1">
        <v>1087</v>
      </c>
      <c r="B89" s="2">
        <v>45003</v>
      </c>
      <c r="C89" s="1" t="s">
        <v>35</v>
      </c>
      <c r="D89" s="1" t="s">
        <v>49</v>
      </c>
      <c r="E89" s="1" t="s">
        <v>12</v>
      </c>
      <c r="F89" s="1">
        <v>4586.37</v>
      </c>
      <c r="G89" s="1" t="s">
        <v>119</v>
      </c>
      <c r="H89" s="2">
        <v>34954</v>
      </c>
      <c r="I89" s="2">
        <v>45005</v>
      </c>
      <c r="J89" s="1">
        <v>40.15</v>
      </c>
      <c r="K89" s="4">
        <f t="shared" si="2"/>
        <v>1841.4275549999998</v>
      </c>
      <c r="L89" s="4">
        <f t="shared" si="3"/>
        <v>2744.9424450000001</v>
      </c>
      <c r="O89">
        <v>1107</v>
      </c>
      <c r="P89">
        <v>45028</v>
      </c>
      <c r="Q89" t="str">
        <v>North</v>
      </c>
      <c r="R89" t="str">
        <v>Tennis Racket</v>
      </c>
      <c r="S89" t="str">
        <v>Sports</v>
      </c>
      <c r="T89">
        <v>1943.78</v>
      </c>
      <c r="U89" t="str">
        <v>Kirsten Wilkins</v>
      </c>
      <c r="V89">
        <v>25430</v>
      </c>
      <c r="W89">
        <v>45041</v>
      </c>
      <c r="X89">
        <v>6.56</v>
      </c>
      <c r="Y89">
        <v>127.51196799999998</v>
      </c>
      <c r="Z89">
        <v>1816.2680319999999</v>
      </c>
      <c r="AC89" t="str">
        <v>Rice</v>
      </c>
      <c r="AD89">
        <v>2245.4427569999998</v>
      </c>
      <c r="AF89">
        <v>1105</v>
      </c>
      <c r="AG89" t="str">
        <v>Cap</v>
      </c>
      <c r="AH89">
        <v>2047.9748640000003</v>
      </c>
    </row>
    <row r="90" spans="1:34" x14ac:dyDescent="0.3">
      <c r="A90" s="1">
        <v>1088</v>
      </c>
      <c r="B90" s="2">
        <v>45268</v>
      </c>
      <c r="C90" s="1" t="s">
        <v>26</v>
      </c>
      <c r="D90" s="1" t="s">
        <v>40</v>
      </c>
      <c r="E90" s="1" t="s">
        <v>16</v>
      </c>
      <c r="F90" s="1">
        <v>3650.88</v>
      </c>
      <c r="G90" s="1" t="s">
        <v>120</v>
      </c>
      <c r="H90" s="2">
        <v>30820</v>
      </c>
      <c r="I90" s="2">
        <v>45270</v>
      </c>
      <c r="J90" s="1">
        <v>31.44</v>
      </c>
      <c r="K90" s="4">
        <f t="shared" si="2"/>
        <v>1147.8366720000001</v>
      </c>
      <c r="L90" s="4">
        <f t="shared" si="3"/>
        <v>2503.0433279999997</v>
      </c>
      <c r="O90">
        <v>1108</v>
      </c>
      <c r="P90">
        <v>44530</v>
      </c>
      <c r="Q90" t="str">
        <v>West</v>
      </c>
      <c r="R90" t="str">
        <v>Smartphone</v>
      </c>
      <c r="S90" t="str">
        <v>Electronics</v>
      </c>
      <c r="T90">
        <v>1280.52</v>
      </c>
      <c r="U90" t="str">
        <v>Brandon King</v>
      </c>
      <c r="V90">
        <v>34364</v>
      </c>
      <c r="W90">
        <v>44533</v>
      </c>
      <c r="X90">
        <v>21.85</v>
      </c>
      <c r="Y90">
        <v>279.79362000000003</v>
      </c>
      <c r="Z90">
        <v>1000.7263799999999</v>
      </c>
      <c r="AC90" t="str">
        <v>Tennis Racket</v>
      </c>
      <c r="AD90">
        <v>1816.2680319999999</v>
      </c>
      <c r="AF90">
        <v>1106</v>
      </c>
      <c r="AG90" t="str">
        <v>Rice</v>
      </c>
      <c r="AH90">
        <v>2245.4427569999998</v>
      </c>
    </row>
    <row r="91" spans="1:34" x14ac:dyDescent="0.3">
      <c r="A91" s="1">
        <v>1089</v>
      </c>
      <c r="B91" s="2">
        <v>45319</v>
      </c>
      <c r="C91" s="1" t="s">
        <v>26</v>
      </c>
      <c r="D91" s="1" t="s">
        <v>38</v>
      </c>
      <c r="E91" s="1" t="s">
        <v>28</v>
      </c>
      <c r="F91" s="1">
        <v>2648.98</v>
      </c>
      <c r="G91" s="1" t="s">
        <v>121</v>
      </c>
      <c r="H91" s="2">
        <v>24580</v>
      </c>
      <c r="I91" s="2">
        <v>45332</v>
      </c>
      <c r="J91" s="1">
        <v>32.72</v>
      </c>
      <c r="K91" s="4">
        <f t="shared" si="2"/>
        <v>866.74625600000002</v>
      </c>
      <c r="L91" s="4">
        <f t="shared" si="3"/>
        <v>1782.2337440000001</v>
      </c>
      <c r="O91">
        <v>1109</v>
      </c>
      <c r="P91">
        <v>44456</v>
      </c>
      <c r="Q91" t="str">
        <v>West</v>
      </c>
      <c r="R91" t="str">
        <v>Wardrobe</v>
      </c>
      <c r="S91" t="str">
        <v>Furniture</v>
      </c>
      <c r="T91">
        <v>4143.1899999999996</v>
      </c>
      <c r="U91" t="str">
        <v>Toni Lopez</v>
      </c>
      <c r="V91">
        <v>23264</v>
      </c>
      <c r="W91">
        <v>44468</v>
      </c>
      <c r="X91">
        <v>10.54</v>
      </c>
      <c r="Y91">
        <v>436.69222599999995</v>
      </c>
      <c r="Z91">
        <v>3706.4977739999995</v>
      </c>
      <c r="AC91" t="str">
        <v>Smartphone</v>
      </c>
      <c r="AD91">
        <v>1000.7263799999999</v>
      </c>
      <c r="AF91">
        <v>1107</v>
      </c>
      <c r="AG91" t="str">
        <v>Tennis Racket</v>
      </c>
      <c r="AH91">
        <v>1816.2680319999999</v>
      </c>
    </row>
    <row r="92" spans="1:34" x14ac:dyDescent="0.3">
      <c r="A92" s="1">
        <v>1090</v>
      </c>
      <c r="B92" s="2">
        <v>45589</v>
      </c>
      <c r="C92" s="1" t="s">
        <v>14</v>
      </c>
      <c r="D92" s="1" t="s">
        <v>71</v>
      </c>
      <c r="E92" s="1" t="s">
        <v>31</v>
      </c>
      <c r="F92" s="1">
        <v>4552.96</v>
      </c>
      <c r="G92" s="1" t="s">
        <v>122</v>
      </c>
      <c r="H92" s="2">
        <v>29720</v>
      </c>
      <c r="I92" s="2">
        <v>45598</v>
      </c>
      <c r="J92" s="1">
        <v>45.91</v>
      </c>
      <c r="K92" s="4">
        <f t="shared" si="2"/>
        <v>2090.2639359999998</v>
      </c>
      <c r="L92" s="4">
        <f t="shared" si="3"/>
        <v>2462.6960640000002</v>
      </c>
      <c r="O92">
        <v>1110</v>
      </c>
      <c r="P92">
        <v>45174</v>
      </c>
      <c r="Q92" t="str">
        <v>Central</v>
      </c>
      <c r="R92" t="str">
        <v>Chair</v>
      </c>
      <c r="S92" t="str">
        <v>Furniture</v>
      </c>
      <c r="T92">
        <v>3945.68</v>
      </c>
      <c r="U92" t="str">
        <v>Lee Hobbs</v>
      </c>
      <c r="V92">
        <v>30299</v>
      </c>
      <c r="W92">
        <v>45178</v>
      </c>
      <c r="X92">
        <v>19.010000000000002</v>
      </c>
      <c r="Y92">
        <v>750.07376800000009</v>
      </c>
      <c r="Z92">
        <v>3195.6062319999996</v>
      </c>
      <c r="AC92" t="str">
        <v>Wardrobe</v>
      </c>
      <c r="AD92">
        <v>3706.4977739999995</v>
      </c>
      <c r="AF92">
        <v>1108</v>
      </c>
      <c r="AG92" t="str">
        <v>Smartphone</v>
      </c>
      <c r="AH92">
        <v>1000.7263799999999</v>
      </c>
    </row>
    <row r="93" spans="1:34" x14ac:dyDescent="0.3">
      <c r="A93" s="1">
        <v>1091</v>
      </c>
      <c r="B93" s="2">
        <v>45476</v>
      </c>
      <c r="C93" s="1" t="s">
        <v>10</v>
      </c>
      <c r="D93" s="1" t="s">
        <v>30</v>
      </c>
      <c r="E93" s="1" t="s">
        <v>31</v>
      </c>
      <c r="F93" s="1">
        <v>1851.24</v>
      </c>
      <c r="G93" s="1" t="s">
        <v>123</v>
      </c>
      <c r="H93" s="2">
        <v>36120</v>
      </c>
      <c r="I93" s="2">
        <v>45479</v>
      </c>
      <c r="J93" s="1">
        <v>24.89</v>
      </c>
      <c r="K93" s="4">
        <f t="shared" si="2"/>
        <v>460.77363600000001</v>
      </c>
      <c r="L93" s="4">
        <f t="shared" si="3"/>
        <v>1390.4663639999999</v>
      </c>
      <c r="O93">
        <v>1111</v>
      </c>
      <c r="P93">
        <v>45144</v>
      </c>
      <c r="Q93" t="str">
        <v>Central</v>
      </c>
      <c r="R93" t="str">
        <v>Table</v>
      </c>
      <c r="S93" t="str">
        <v>Furniture</v>
      </c>
      <c r="T93">
        <v>3954.86</v>
      </c>
      <c r="U93" t="str">
        <v>Danielle Blake</v>
      </c>
      <c r="V93">
        <v>38018</v>
      </c>
      <c r="W93">
        <v>45158</v>
      </c>
      <c r="X93">
        <v>13.44</v>
      </c>
      <c r="Y93">
        <v>531.53318400000001</v>
      </c>
      <c r="Z93">
        <v>3423.3268160000002</v>
      </c>
      <c r="AC93" t="str">
        <v>Chair</v>
      </c>
      <c r="AD93">
        <v>3195.6062319999996</v>
      </c>
      <c r="AF93">
        <v>1109</v>
      </c>
      <c r="AG93" t="str">
        <v>Wardrobe</v>
      </c>
      <c r="AH93">
        <v>3706.4977739999995</v>
      </c>
    </row>
    <row r="94" spans="1:34" x14ac:dyDescent="0.3">
      <c r="A94" s="1">
        <v>1092</v>
      </c>
      <c r="B94" s="2">
        <v>45544</v>
      </c>
      <c r="C94" s="1" t="s">
        <v>10</v>
      </c>
      <c r="D94" s="1" t="s">
        <v>53</v>
      </c>
      <c r="E94" s="1" t="s">
        <v>28</v>
      </c>
      <c r="F94" s="1">
        <v>2920.84</v>
      </c>
      <c r="G94" s="1" t="s">
        <v>110</v>
      </c>
      <c r="H94" s="2">
        <v>32064</v>
      </c>
      <c r="I94" s="2">
        <v>45556</v>
      </c>
      <c r="J94" s="1">
        <v>13.81</v>
      </c>
      <c r="K94" s="4">
        <f t="shared" si="2"/>
        <v>403.36800400000004</v>
      </c>
      <c r="L94" s="4">
        <f t="shared" si="3"/>
        <v>2517.4719960000002</v>
      </c>
      <c r="O94">
        <v>1113</v>
      </c>
      <c r="P94">
        <v>44853</v>
      </c>
      <c r="Q94" t="str">
        <v>North</v>
      </c>
      <c r="R94" t="str">
        <v>Oil</v>
      </c>
      <c r="S94" t="str">
        <v>Groceries</v>
      </c>
      <c r="T94">
        <v>3348.99</v>
      </c>
      <c r="U94" t="str">
        <v>Thomas Smith</v>
      </c>
      <c r="V94">
        <v>36905</v>
      </c>
      <c r="W94">
        <v>44857</v>
      </c>
      <c r="X94">
        <v>40.46</v>
      </c>
      <c r="Y94">
        <v>1355.001354</v>
      </c>
      <c r="Z94">
        <v>1993.9886459999998</v>
      </c>
      <c r="AC94" t="str">
        <v>Table</v>
      </c>
      <c r="AD94">
        <v>3423.3268160000002</v>
      </c>
      <c r="AF94">
        <v>1110</v>
      </c>
      <c r="AG94" t="str">
        <v>Chair</v>
      </c>
      <c r="AH94">
        <v>3195.6062319999996</v>
      </c>
    </row>
    <row r="95" spans="1:34" x14ac:dyDescent="0.3">
      <c r="A95" s="1">
        <v>1093</v>
      </c>
      <c r="B95" s="2">
        <v>45520</v>
      </c>
      <c r="C95" s="1" t="s">
        <v>21</v>
      </c>
      <c r="D95" s="1" t="s">
        <v>18</v>
      </c>
      <c r="E95" s="1" t="s">
        <v>19</v>
      </c>
      <c r="F95" s="1">
        <v>3885.89</v>
      </c>
      <c r="G95" s="1" t="s">
        <v>83</v>
      </c>
      <c r="H95" s="2">
        <v>24673</v>
      </c>
      <c r="I95" s="2">
        <v>45525</v>
      </c>
      <c r="J95" s="1">
        <v>42.07</v>
      </c>
      <c r="K95" s="4">
        <f t="shared" si="2"/>
        <v>1634.7939229999999</v>
      </c>
      <c r="L95" s="4">
        <f t="shared" si="3"/>
        <v>2251.0960770000002</v>
      </c>
      <c r="O95">
        <v>1115</v>
      </c>
      <c r="P95">
        <v>44218</v>
      </c>
      <c r="Q95" t="str">
        <v>Central</v>
      </c>
      <c r="R95" t="str">
        <v>Sofa</v>
      </c>
      <c r="S95" t="str">
        <v>Furniture</v>
      </c>
      <c r="T95">
        <v>3960.77</v>
      </c>
      <c r="U95" t="str">
        <v>Elizabeth Lee MD</v>
      </c>
      <c r="V95">
        <v>25948</v>
      </c>
      <c r="W95">
        <v>44222</v>
      </c>
      <c r="X95">
        <v>42.31</v>
      </c>
      <c r="Y95">
        <v>1675.8017870000001</v>
      </c>
      <c r="Z95">
        <v>2284.9682130000001</v>
      </c>
      <c r="AC95" t="str">
        <v>Oil</v>
      </c>
      <c r="AD95">
        <v>1993.9886459999998</v>
      </c>
      <c r="AF95">
        <v>1111</v>
      </c>
      <c r="AG95" t="str">
        <v>Table</v>
      </c>
      <c r="AH95">
        <v>3423.3268160000002</v>
      </c>
    </row>
    <row r="96" spans="1:34" x14ac:dyDescent="0.3">
      <c r="A96" s="1">
        <v>1094</v>
      </c>
      <c r="B96" s="2">
        <v>45658</v>
      </c>
      <c r="C96" s="1" t="s">
        <v>21</v>
      </c>
      <c r="D96" s="1" t="s">
        <v>58</v>
      </c>
      <c r="E96" s="1" t="s">
        <v>31</v>
      </c>
      <c r="F96" s="1">
        <v>406.83</v>
      </c>
      <c r="G96" s="1" t="s">
        <v>95</v>
      </c>
      <c r="H96" s="2">
        <v>25821</v>
      </c>
      <c r="I96" s="2">
        <v>45669</v>
      </c>
      <c r="J96" s="1">
        <v>17.48</v>
      </c>
      <c r="K96" s="4">
        <f t="shared" si="2"/>
        <v>71.113883999999999</v>
      </c>
      <c r="L96" s="4">
        <f t="shared" si="3"/>
        <v>335.716116</v>
      </c>
      <c r="O96">
        <v>1116</v>
      </c>
      <c r="P96">
        <v>45044</v>
      </c>
      <c r="Q96" t="str">
        <v>North</v>
      </c>
      <c r="R96" t="str">
        <v>Smartphone</v>
      </c>
      <c r="S96" t="str">
        <v>Electronics</v>
      </c>
      <c r="T96">
        <v>2449</v>
      </c>
      <c r="U96" t="str">
        <v>Melissa Holt</v>
      </c>
      <c r="V96">
        <v>29381</v>
      </c>
      <c r="W96">
        <v>45056</v>
      </c>
      <c r="X96">
        <v>22.98</v>
      </c>
      <c r="Y96">
        <v>562.78020000000004</v>
      </c>
      <c r="Z96">
        <v>1886.2197999999999</v>
      </c>
      <c r="AC96" t="str">
        <v>Sofa</v>
      </c>
      <c r="AD96">
        <v>2284.9682130000001</v>
      </c>
      <c r="AF96">
        <v>1113</v>
      </c>
      <c r="AG96" t="str">
        <v>Oil</v>
      </c>
      <c r="AH96">
        <v>1993.9886459999998</v>
      </c>
    </row>
    <row r="97" spans="1:34" x14ac:dyDescent="0.3">
      <c r="A97" s="1">
        <v>1095</v>
      </c>
      <c r="B97" s="2">
        <v>44895</v>
      </c>
      <c r="C97" s="1" t="s">
        <v>14</v>
      </c>
      <c r="D97" s="1" t="s">
        <v>36</v>
      </c>
      <c r="E97" s="1" t="s">
        <v>28</v>
      </c>
      <c r="F97" s="1">
        <v>3199.23</v>
      </c>
      <c r="G97" s="1" t="s">
        <v>124</v>
      </c>
      <c r="H97" s="2">
        <v>30786</v>
      </c>
      <c r="I97" s="2">
        <v>44905</v>
      </c>
      <c r="J97" s="1">
        <v>33.99</v>
      </c>
      <c r="K97" s="4">
        <f t="shared" si="2"/>
        <v>1087.4182770000002</v>
      </c>
      <c r="L97" s="4">
        <f t="shared" si="3"/>
        <v>2111.8117229999998</v>
      </c>
      <c r="O97">
        <v>1117</v>
      </c>
      <c r="P97">
        <v>44445</v>
      </c>
      <c r="Q97" t="str">
        <v>West</v>
      </c>
      <c r="R97" t="str">
        <v>Rice</v>
      </c>
      <c r="S97" t="str">
        <v>Groceries</v>
      </c>
      <c r="T97">
        <v>1567.51</v>
      </c>
      <c r="U97" t="str">
        <v>Jennifer Martinez</v>
      </c>
      <c r="V97">
        <v>24579</v>
      </c>
      <c r="W97">
        <v>44456</v>
      </c>
      <c r="X97">
        <v>30.47</v>
      </c>
      <c r="Y97">
        <v>477.62029699999994</v>
      </c>
      <c r="Z97">
        <v>1089.8897030000001</v>
      </c>
      <c r="AC97" t="str">
        <v>Smartphone</v>
      </c>
      <c r="AD97">
        <v>1886.2197999999999</v>
      </c>
      <c r="AF97">
        <v>1115</v>
      </c>
      <c r="AG97" t="str">
        <v>Sofa</v>
      </c>
      <c r="AH97">
        <v>2284.9682130000001</v>
      </c>
    </row>
    <row r="98" spans="1:34" x14ac:dyDescent="0.3">
      <c r="A98" s="1">
        <v>1096</v>
      </c>
      <c r="B98" s="2">
        <v>44322</v>
      </c>
      <c r="C98" s="1" t="s">
        <v>14</v>
      </c>
      <c r="D98" s="1" t="s">
        <v>22</v>
      </c>
      <c r="E98" s="1" t="s">
        <v>19</v>
      </c>
      <c r="F98" s="1">
        <v>494.78</v>
      </c>
      <c r="G98" s="1" t="s">
        <v>125</v>
      </c>
      <c r="H98" s="2">
        <v>28830</v>
      </c>
      <c r="I98" s="2">
        <v>44331</v>
      </c>
      <c r="J98" s="1">
        <v>35.520000000000003</v>
      </c>
      <c r="K98" s="4">
        <f t="shared" si="2"/>
        <v>175.745856</v>
      </c>
      <c r="L98" s="4">
        <f t="shared" si="3"/>
        <v>319.03414399999997</v>
      </c>
      <c r="O98">
        <v>1118</v>
      </c>
      <c r="P98">
        <v>44966</v>
      </c>
      <c r="Q98" t="str">
        <v>East</v>
      </c>
      <c r="R98" t="str">
        <v>Jacket</v>
      </c>
      <c r="S98" t="str">
        <v>Clothing</v>
      </c>
      <c r="T98">
        <v>2984.11</v>
      </c>
      <c r="U98" t="str">
        <v>Laura Fowler DVM</v>
      </c>
      <c r="V98">
        <v>35559</v>
      </c>
      <c r="W98">
        <v>44979</v>
      </c>
      <c r="X98">
        <v>36.44</v>
      </c>
      <c r="Y98">
        <v>1087.409684</v>
      </c>
      <c r="Z98">
        <v>1896.7003160000002</v>
      </c>
      <c r="AC98" t="str">
        <v>Rice</v>
      </c>
      <c r="AD98">
        <v>1089.8897030000001</v>
      </c>
      <c r="AF98">
        <v>1116</v>
      </c>
      <c r="AG98" t="str">
        <v>Smartphone</v>
      </c>
      <c r="AH98">
        <v>1886.2197999999999</v>
      </c>
    </row>
    <row r="99" spans="1:34" x14ac:dyDescent="0.3">
      <c r="A99" s="1">
        <v>1097</v>
      </c>
      <c r="B99" s="2">
        <v>45757</v>
      </c>
      <c r="C99" s="1" t="s">
        <v>35</v>
      </c>
      <c r="D99" s="1" t="s">
        <v>47</v>
      </c>
      <c r="E99" s="1" t="s">
        <v>12</v>
      </c>
      <c r="F99" s="1">
        <v>1679.27</v>
      </c>
      <c r="G99" s="1" t="s">
        <v>126</v>
      </c>
      <c r="H99" s="2">
        <v>28644</v>
      </c>
      <c r="I99" s="2">
        <v>45768</v>
      </c>
      <c r="J99" s="1">
        <v>14.47</v>
      </c>
      <c r="K99" s="4">
        <f t="shared" si="2"/>
        <v>242.99036899999999</v>
      </c>
      <c r="L99" s="4">
        <f t="shared" si="3"/>
        <v>1436.2796309999999</v>
      </c>
      <c r="O99">
        <v>1119</v>
      </c>
      <c r="P99">
        <v>45818</v>
      </c>
      <c r="Q99" t="str">
        <v>Central</v>
      </c>
      <c r="R99" t="str">
        <v>Basketball</v>
      </c>
      <c r="S99" t="str">
        <v>Sports</v>
      </c>
      <c r="T99">
        <v>3346.64</v>
      </c>
      <c r="U99" t="str">
        <v>Kyle Thomas</v>
      </c>
      <c r="V99">
        <v>29541</v>
      </c>
      <c r="W99">
        <v>45821</v>
      </c>
      <c r="X99">
        <v>33.65</v>
      </c>
      <c r="Y99">
        <v>1126.1443599999998</v>
      </c>
      <c r="Z99">
        <v>2220.4956400000001</v>
      </c>
      <c r="AC99" t="str">
        <v>Jacket</v>
      </c>
      <c r="AD99">
        <v>1896.7003160000002</v>
      </c>
      <c r="AF99">
        <v>1117</v>
      </c>
      <c r="AG99" t="str">
        <v>Rice</v>
      </c>
      <c r="AH99">
        <v>1089.8897030000001</v>
      </c>
    </row>
    <row r="100" spans="1:34" x14ac:dyDescent="0.3">
      <c r="A100" s="1">
        <v>1098</v>
      </c>
      <c r="B100" s="2">
        <v>44664</v>
      </c>
      <c r="C100" s="1" t="s">
        <v>26</v>
      </c>
      <c r="D100" s="1" t="s">
        <v>11</v>
      </c>
      <c r="E100" s="1" t="s">
        <v>12</v>
      </c>
      <c r="F100" s="1">
        <v>3385.55</v>
      </c>
      <c r="G100" s="1" t="s">
        <v>127</v>
      </c>
      <c r="H100" s="2">
        <v>31846</v>
      </c>
      <c r="I100" s="2">
        <v>44670</v>
      </c>
      <c r="J100" s="1">
        <v>49.06</v>
      </c>
      <c r="K100" s="4">
        <f t="shared" si="2"/>
        <v>1660.9508300000002</v>
      </c>
      <c r="L100" s="4">
        <f t="shared" si="3"/>
        <v>1724.59917</v>
      </c>
      <c r="O100">
        <v>1121</v>
      </c>
      <c r="P100">
        <v>45534</v>
      </c>
      <c r="Q100" t="str">
        <v>East</v>
      </c>
      <c r="R100" t="str">
        <v>Table</v>
      </c>
      <c r="S100" t="str">
        <v>Furniture</v>
      </c>
      <c r="T100">
        <v>3263.31</v>
      </c>
      <c r="U100" t="str">
        <v>Regina Gay</v>
      </c>
      <c r="V100">
        <v>34571</v>
      </c>
      <c r="W100">
        <v>45537</v>
      </c>
      <c r="X100">
        <v>42.11</v>
      </c>
      <c r="Y100">
        <v>1374.1798409999999</v>
      </c>
      <c r="Z100">
        <v>1889.130159</v>
      </c>
      <c r="AC100" t="str">
        <v>Basketball</v>
      </c>
      <c r="AD100">
        <v>2220.4956400000001</v>
      </c>
      <c r="AF100">
        <v>1118</v>
      </c>
      <c r="AG100" t="str">
        <v>Jacket</v>
      </c>
      <c r="AH100">
        <v>1896.7003160000002</v>
      </c>
    </row>
    <row r="101" spans="1:34" x14ac:dyDescent="0.3">
      <c r="A101" s="1">
        <v>1099</v>
      </c>
      <c r="B101" s="2">
        <v>44936</v>
      </c>
      <c r="C101" s="1" t="s">
        <v>14</v>
      </c>
      <c r="D101" s="1" t="s">
        <v>24</v>
      </c>
      <c r="E101" s="1" t="s">
        <v>19</v>
      </c>
      <c r="F101" s="1">
        <v>3277.84</v>
      </c>
      <c r="G101" s="1" t="s">
        <v>39</v>
      </c>
      <c r="H101" s="2">
        <v>26282</v>
      </c>
      <c r="I101" s="2">
        <v>44949</v>
      </c>
      <c r="J101" s="1">
        <v>36.24</v>
      </c>
      <c r="K101" s="4">
        <f t="shared" si="2"/>
        <v>1187.889216</v>
      </c>
      <c r="L101" s="4">
        <f t="shared" si="3"/>
        <v>2089.9507840000001</v>
      </c>
      <c r="O101">
        <v>1122</v>
      </c>
      <c r="P101">
        <v>44929</v>
      </c>
      <c r="Q101" t="str">
        <v>Central</v>
      </c>
      <c r="R101" t="str">
        <v>Wardrobe</v>
      </c>
      <c r="S101" t="str">
        <v>Furniture</v>
      </c>
      <c r="T101">
        <v>2326.17</v>
      </c>
      <c r="U101" t="str">
        <v>Aaron Smith</v>
      </c>
      <c r="V101">
        <v>23470</v>
      </c>
      <c r="W101">
        <v>44938</v>
      </c>
      <c r="X101">
        <v>8.98</v>
      </c>
      <c r="Y101">
        <v>208.89006600000002</v>
      </c>
      <c r="Z101">
        <v>2117.2799340000001</v>
      </c>
      <c r="AC101" t="str">
        <v>Table</v>
      </c>
      <c r="AD101">
        <v>1889.130159</v>
      </c>
      <c r="AF101">
        <v>1119</v>
      </c>
      <c r="AG101" t="str">
        <v>Basketball</v>
      </c>
      <c r="AH101">
        <v>2220.4956400000001</v>
      </c>
    </row>
    <row r="102" spans="1:34" x14ac:dyDescent="0.3">
      <c r="A102" s="1">
        <v>1100</v>
      </c>
      <c r="B102" s="2">
        <v>45530</v>
      </c>
      <c r="C102" s="1" t="s">
        <v>14</v>
      </c>
      <c r="D102" s="1" t="s">
        <v>11</v>
      </c>
      <c r="E102" s="1" t="s">
        <v>12</v>
      </c>
      <c r="F102" s="1">
        <v>4696</v>
      </c>
      <c r="G102" s="1" t="s">
        <v>128</v>
      </c>
      <c r="H102" s="2">
        <v>37961</v>
      </c>
      <c r="I102" s="2">
        <v>45533</v>
      </c>
      <c r="J102" s="1">
        <v>5.37</v>
      </c>
      <c r="K102" s="4">
        <f t="shared" si="2"/>
        <v>252.17519999999999</v>
      </c>
      <c r="L102" s="4">
        <f t="shared" si="3"/>
        <v>4443.8248000000003</v>
      </c>
      <c r="O102">
        <v>1123</v>
      </c>
      <c r="P102">
        <v>45807</v>
      </c>
      <c r="Q102" t="str">
        <v>South</v>
      </c>
      <c r="R102" t="str">
        <v>Cap</v>
      </c>
      <c r="S102" t="str">
        <v>Clothing</v>
      </c>
      <c r="T102">
        <v>4103.01</v>
      </c>
      <c r="U102" t="str">
        <v>Kimberly Carey</v>
      </c>
      <c r="V102">
        <v>24961</v>
      </c>
      <c r="W102">
        <v>45812</v>
      </c>
      <c r="X102">
        <v>0.87</v>
      </c>
      <c r="Y102">
        <v>35.696187000000002</v>
      </c>
      <c r="Z102">
        <v>4067.3138130000002</v>
      </c>
      <c r="AC102" t="str">
        <v>Wardrobe</v>
      </c>
      <c r="AD102">
        <v>2117.2799340000001</v>
      </c>
      <c r="AF102">
        <v>1121</v>
      </c>
      <c r="AG102" t="str">
        <v>Table</v>
      </c>
      <c r="AH102">
        <v>1889.130159</v>
      </c>
    </row>
    <row r="103" spans="1:34" x14ac:dyDescent="0.3">
      <c r="A103" s="1">
        <v>1101</v>
      </c>
      <c r="B103" s="2">
        <v>44098</v>
      </c>
      <c r="C103" s="1" t="s">
        <v>26</v>
      </c>
      <c r="D103" s="1" t="s">
        <v>73</v>
      </c>
      <c r="E103" s="1" t="s">
        <v>28</v>
      </c>
      <c r="F103" s="1">
        <v>4356.8599999999997</v>
      </c>
      <c r="G103" s="1" t="s">
        <v>129</v>
      </c>
      <c r="H103" s="2">
        <v>26668</v>
      </c>
      <c r="I103" s="2">
        <v>44104</v>
      </c>
      <c r="J103" s="1">
        <v>15.96</v>
      </c>
      <c r="K103" s="4">
        <f t="shared" si="2"/>
        <v>695.35485600000004</v>
      </c>
      <c r="L103" s="4">
        <f t="shared" si="3"/>
        <v>3661.5051439999997</v>
      </c>
      <c r="O103">
        <v>1124</v>
      </c>
      <c r="P103">
        <v>45207</v>
      </c>
      <c r="Q103" t="str">
        <v>West</v>
      </c>
      <c r="R103" t="str">
        <v>Jeans</v>
      </c>
      <c r="S103" t="str">
        <v>Clothing</v>
      </c>
      <c r="T103">
        <v>3578.78</v>
      </c>
      <c r="U103" t="str">
        <v>Danny Tran</v>
      </c>
      <c r="V103">
        <v>34343</v>
      </c>
      <c r="W103">
        <v>45216</v>
      </c>
      <c r="X103">
        <v>9.4600000000000009</v>
      </c>
      <c r="Y103">
        <v>338.55258800000001</v>
      </c>
      <c r="Z103">
        <v>3240.2274120000002</v>
      </c>
      <c r="AC103" t="str">
        <v>Cap</v>
      </c>
      <c r="AD103">
        <v>4067.3138130000002</v>
      </c>
      <c r="AF103">
        <v>1122</v>
      </c>
      <c r="AG103" t="str">
        <v>Wardrobe</v>
      </c>
      <c r="AH103">
        <v>2117.2799340000001</v>
      </c>
    </row>
    <row r="104" spans="1:34" x14ac:dyDescent="0.3">
      <c r="A104" s="1">
        <v>1102</v>
      </c>
      <c r="B104" s="2">
        <v>44129</v>
      </c>
      <c r="C104" s="1" t="s">
        <v>26</v>
      </c>
      <c r="D104" s="1" t="s">
        <v>49</v>
      </c>
      <c r="E104" s="1" t="s">
        <v>12</v>
      </c>
      <c r="F104" s="1">
        <v>1697.76</v>
      </c>
      <c r="G104" s="1" t="s">
        <v>130</v>
      </c>
      <c r="H104" s="2">
        <v>38750</v>
      </c>
      <c r="I104" s="2">
        <v>44140</v>
      </c>
      <c r="J104" s="1">
        <v>18.23</v>
      </c>
      <c r="K104" s="4">
        <f t="shared" si="2"/>
        <v>309.50164800000005</v>
      </c>
      <c r="L104" s="4">
        <f t="shared" si="3"/>
        <v>1388.2583519999998</v>
      </c>
      <c r="O104">
        <v>1125</v>
      </c>
      <c r="P104">
        <v>44559</v>
      </c>
      <c r="Q104" t="str">
        <v>South</v>
      </c>
      <c r="R104" t="str">
        <v>Headphones</v>
      </c>
      <c r="S104" t="str">
        <v>Electronics</v>
      </c>
      <c r="T104">
        <v>3102.24</v>
      </c>
      <c r="U104" t="str">
        <v>Taylor Richardson</v>
      </c>
      <c r="V104">
        <v>25853</v>
      </c>
      <c r="W104">
        <v>44570</v>
      </c>
      <c r="X104">
        <v>13.12</v>
      </c>
      <c r="Y104">
        <v>407.01388799999989</v>
      </c>
      <c r="Z104">
        <v>2695.2261119999998</v>
      </c>
      <c r="AC104" t="str">
        <v>Jeans</v>
      </c>
      <c r="AD104">
        <v>3240.2274120000002</v>
      </c>
      <c r="AF104">
        <v>1123</v>
      </c>
      <c r="AG104" t="str">
        <v>Cap</v>
      </c>
      <c r="AH104">
        <v>4067.3138130000002</v>
      </c>
    </row>
    <row r="105" spans="1:34" x14ac:dyDescent="0.3">
      <c r="A105" s="1">
        <v>1103</v>
      </c>
      <c r="B105" s="2">
        <v>45417</v>
      </c>
      <c r="C105" s="1" t="s">
        <v>21</v>
      </c>
      <c r="D105" s="1" t="s">
        <v>55</v>
      </c>
      <c r="E105" s="1" t="s">
        <v>31</v>
      </c>
      <c r="F105" s="1">
        <v>3125.88</v>
      </c>
      <c r="G105" s="1" t="s">
        <v>13</v>
      </c>
      <c r="H105" s="2">
        <v>24348</v>
      </c>
      <c r="I105" s="2">
        <v>45423</v>
      </c>
      <c r="J105" s="1">
        <v>39.28</v>
      </c>
      <c r="K105" s="4">
        <f t="shared" si="2"/>
        <v>1227.8456640000002</v>
      </c>
      <c r="L105" s="4">
        <f t="shared" si="3"/>
        <v>1898.0343359999999</v>
      </c>
      <c r="O105">
        <v>1126</v>
      </c>
      <c r="P105">
        <v>44298</v>
      </c>
      <c r="Q105" t="str">
        <v>West</v>
      </c>
      <c r="R105" t="str">
        <v>Bed</v>
      </c>
      <c r="S105" t="str">
        <v>Furniture</v>
      </c>
      <c r="T105">
        <v>2539.35</v>
      </c>
      <c r="U105" t="str">
        <v>April Morgan</v>
      </c>
      <c r="V105">
        <v>22870</v>
      </c>
      <c r="W105">
        <v>44302</v>
      </c>
      <c r="X105">
        <v>18.09</v>
      </c>
      <c r="Y105">
        <v>459.36841499999997</v>
      </c>
      <c r="Z105">
        <v>2079.981585</v>
      </c>
      <c r="AC105" t="str">
        <v>Headphones</v>
      </c>
      <c r="AD105">
        <v>2695.2261119999998</v>
      </c>
      <c r="AF105">
        <v>1124</v>
      </c>
      <c r="AG105" t="str">
        <v>Jeans</v>
      </c>
      <c r="AH105">
        <v>3240.2274120000002</v>
      </c>
    </row>
    <row r="106" spans="1:34" x14ac:dyDescent="0.3">
      <c r="A106" s="1">
        <v>1104</v>
      </c>
      <c r="B106" s="2">
        <v>44951</v>
      </c>
      <c r="C106" s="1" t="s">
        <v>14</v>
      </c>
      <c r="D106" s="1" t="s">
        <v>61</v>
      </c>
      <c r="E106" s="1" t="s">
        <v>19</v>
      </c>
      <c r="F106" s="1">
        <v>1079.68</v>
      </c>
      <c r="G106" s="1" t="s">
        <v>89</v>
      </c>
      <c r="H106" s="2">
        <v>37141</v>
      </c>
      <c r="I106" s="2">
        <v>44956</v>
      </c>
      <c r="J106" s="1">
        <v>43.99</v>
      </c>
      <c r="K106" s="4">
        <f t="shared" si="2"/>
        <v>474.95123200000006</v>
      </c>
      <c r="L106" s="4">
        <f t="shared" si="3"/>
        <v>604.72876799999995</v>
      </c>
      <c r="O106">
        <v>1127</v>
      </c>
      <c r="P106">
        <v>45488</v>
      </c>
      <c r="Q106" t="str">
        <v>West</v>
      </c>
      <c r="R106" t="str">
        <v>Jeans</v>
      </c>
      <c r="S106" t="str">
        <v>Clothing</v>
      </c>
      <c r="T106">
        <v>1990.67</v>
      </c>
      <c r="U106" t="str">
        <v>Russell Cummings</v>
      </c>
      <c r="V106">
        <v>22007</v>
      </c>
      <c r="W106">
        <v>45495</v>
      </c>
      <c r="X106">
        <v>1.56</v>
      </c>
      <c r="Y106">
        <v>31.054452000000005</v>
      </c>
      <c r="Z106">
        <v>1959.615548</v>
      </c>
      <c r="AC106" t="str">
        <v>Bed</v>
      </c>
      <c r="AD106">
        <v>2079.981585</v>
      </c>
      <c r="AF106">
        <v>1125</v>
      </c>
      <c r="AG106" t="str">
        <v>Headphones</v>
      </c>
      <c r="AH106">
        <v>2695.2261119999998</v>
      </c>
    </row>
    <row r="107" spans="1:34" x14ac:dyDescent="0.3">
      <c r="A107" s="1">
        <v>1105</v>
      </c>
      <c r="B107" s="2">
        <v>45179</v>
      </c>
      <c r="C107" s="1" t="s">
        <v>35</v>
      </c>
      <c r="D107" s="1" t="s">
        <v>58</v>
      </c>
      <c r="E107" s="1" t="s">
        <v>31</v>
      </c>
      <c r="F107" s="1">
        <v>3680.76</v>
      </c>
      <c r="G107" s="1" t="s">
        <v>42</v>
      </c>
      <c r="H107" s="2">
        <v>26027</v>
      </c>
      <c r="I107" s="2">
        <v>45181</v>
      </c>
      <c r="J107" s="1">
        <v>44.36</v>
      </c>
      <c r="K107" s="4">
        <f t="shared" si="2"/>
        <v>1632.785136</v>
      </c>
      <c r="L107" s="4">
        <f t="shared" si="3"/>
        <v>2047.9748640000003</v>
      </c>
      <c r="O107">
        <v>1128</v>
      </c>
      <c r="P107">
        <v>45105</v>
      </c>
      <c r="Q107" t="str">
        <v>South</v>
      </c>
      <c r="R107" t="str">
        <v>Jacket</v>
      </c>
      <c r="S107" t="str">
        <v>Clothing</v>
      </c>
      <c r="T107">
        <v>1239.3399999999999</v>
      </c>
      <c r="U107" t="str">
        <v>Steven Hardin</v>
      </c>
      <c r="V107">
        <v>26155</v>
      </c>
      <c r="W107">
        <v>45115</v>
      </c>
      <c r="X107">
        <v>5.3</v>
      </c>
      <c r="Y107">
        <v>65.685019999999994</v>
      </c>
      <c r="Z107">
        <v>1173.65498</v>
      </c>
      <c r="AC107" t="str">
        <v>Jeans</v>
      </c>
      <c r="AD107">
        <v>1959.615548</v>
      </c>
      <c r="AF107">
        <v>1126</v>
      </c>
      <c r="AG107" t="str">
        <v>Bed</v>
      </c>
      <c r="AH107">
        <v>2079.981585</v>
      </c>
    </row>
    <row r="108" spans="1:34" x14ac:dyDescent="0.3">
      <c r="A108" s="1">
        <v>1106</v>
      </c>
      <c r="B108" s="2">
        <v>44176</v>
      </c>
      <c r="C108" s="1" t="s">
        <v>10</v>
      </c>
      <c r="D108" s="1" t="s">
        <v>40</v>
      </c>
      <c r="E108" s="1" t="s">
        <v>16</v>
      </c>
      <c r="F108" s="1">
        <v>2597.9899999999998</v>
      </c>
      <c r="G108" s="1" t="s">
        <v>131</v>
      </c>
      <c r="H108" s="2">
        <v>38087</v>
      </c>
      <c r="I108" s="2">
        <v>44189</v>
      </c>
      <c r="J108" s="1">
        <v>13.57</v>
      </c>
      <c r="K108" s="4">
        <f t="shared" si="2"/>
        <v>352.54724300000004</v>
      </c>
      <c r="L108" s="4">
        <f t="shared" si="3"/>
        <v>2245.4427569999998</v>
      </c>
      <c r="O108">
        <v>1130</v>
      </c>
      <c r="P108">
        <v>45860</v>
      </c>
      <c r="Q108" t="str">
        <v>South</v>
      </c>
      <c r="R108" t="str">
        <v>Camera</v>
      </c>
      <c r="S108" t="str">
        <v>Electronics</v>
      </c>
      <c r="T108">
        <v>2422.41</v>
      </c>
      <c r="U108" t="str">
        <v>Frank Davis</v>
      </c>
      <c r="V108">
        <v>38171</v>
      </c>
      <c r="W108">
        <v>45862</v>
      </c>
      <c r="X108">
        <v>43.13</v>
      </c>
      <c r="Y108">
        <v>1044.785433</v>
      </c>
      <c r="Z108">
        <v>1377.6245669999998</v>
      </c>
      <c r="AC108" t="str">
        <v>Jacket</v>
      </c>
      <c r="AD108">
        <v>1173.65498</v>
      </c>
      <c r="AF108">
        <v>1127</v>
      </c>
      <c r="AG108" t="str">
        <v>Jeans</v>
      </c>
      <c r="AH108">
        <v>1959.615548</v>
      </c>
    </row>
    <row r="109" spans="1:34" x14ac:dyDescent="0.3">
      <c r="A109" s="1">
        <v>1107</v>
      </c>
      <c r="B109" s="2">
        <v>45028</v>
      </c>
      <c r="C109" s="1" t="s">
        <v>14</v>
      </c>
      <c r="D109" s="1" t="s">
        <v>47</v>
      </c>
      <c r="E109" s="1" t="s">
        <v>12</v>
      </c>
      <c r="F109" s="1">
        <v>1943.78</v>
      </c>
      <c r="G109" s="1" t="s">
        <v>63</v>
      </c>
      <c r="H109" s="2">
        <v>25430</v>
      </c>
      <c r="I109" s="2">
        <v>45041</v>
      </c>
      <c r="J109" s="1">
        <v>6.56</v>
      </c>
      <c r="K109" s="4">
        <f t="shared" si="2"/>
        <v>127.51196799999998</v>
      </c>
      <c r="L109" s="4">
        <f t="shared" si="3"/>
        <v>1816.2680319999999</v>
      </c>
      <c r="O109">
        <v>1134</v>
      </c>
      <c r="P109">
        <v>44910</v>
      </c>
      <c r="Q109" t="str">
        <v>South</v>
      </c>
      <c r="R109" t="str">
        <v>Eggs</v>
      </c>
      <c r="S109" t="str">
        <v>Groceries</v>
      </c>
      <c r="T109">
        <v>3482.39</v>
      </c>
      <c r="U109" t="str">
        <v>Jessica Cruz</v>
      </c>
      <c r="V109">
        <v>36216</v>
      </c>
      <c r="W109">
        <v>44912</v>
      </c>
      <c r="X109">
        <v>34.479999999999997</v>
      </c>
      <c r="Y109">
        <v>1200.7280719999999</v>
      </c>
      <c r="Z109">
        <v>2281.661928</v>
      </c>
      <c r="AC109" t="str">
        <v>Camera</v>
      </c>
      <c r="AD109">
        <v>1377.6245669999998</v>
      </c>
      <c r="AF109">
        <v>1128</v>
      </c>
      <c r="AG109" t="str">
        <v>Jacket</v>
      </c>
      <c r="AH109">
        <v>1173.65498</v>
      </c>
    </row>
    <row r="110" spans="1:34" x14ac:dyDescent="0.3">
      <c r="A110" s="1">
        <v>1108</v>
      </c>
      <c r="B110" s="2">
        <v>44530</v>
      </c>
      <c r="C110" s="1" t="s">
        <v>10</v>
      </c>
      <c r="D110" s="1" t="s">
        <v>65</v>
      </c>
      <c r="E110" s="1" t="s">
        <v>19</v>
      </c>
      <c r="F110" s="1">
        <v>1280.52</v>
      </c>
      <c r="G110" s="1" t="s">
        <v>132</v>
      </c>
      <c r="H110" s="2">
        <v>34364</v>
      </c>
      <c r="I110" s="2">
        <v>44533</v>
      </c>
      <c r="J110" s="1">
        <v>21.85</v>
      </c>
      <c r="K110" s="4">
        <f t="shared" si="2"/>
        <v>279.79362000000003</v>
      </c>
      <c r="L110" s="4">
        <f t="shared" si="3"/>
        <v>1000.7263799999999</v>
      </c>
      <c r="O110">
        <v>1136</v>
      </c>
      <c r="P110">
        <v>44784</v>
      </c>
      <c r="Q110" t="str">
        <v>Central</v>
      </c>
      <c r="R110" t="str">
        <v>Jacket</v>
      </c>
      <c r="S110" t="str">
        <v>Clothing</v>
      </c>
      <c r="T110">
        <v>2204.64</v>
      </c>
      <c r="U110" t="str">
        <v>Brandon King</v>
      </c>
      <c r="V110">
        <v>34364</v>
      </c>
      <c r="W110">
        <v>44785</v>
      </c>
      <c r="X110">
        <v>1.55</v>
      </c>
      <c r="Y110">
        <v>34.17192</v>
      </c>
      <c r="Z110">
        <v>2170.4680799999996</v>
      </c>
      <c r="AC110" t="str">
        <v>Eggs</v>
      </c>
      <c r="AD110">
        <v>2281.661928</v>
      </c>
      <c r="AF110">
        <v>1130</v>
      </c>
      <c r="AG110" t="str">
        <v>Camera</v>
      </c>
      <c r="AH110">
        <v>1377.6245669999998</v>
      </c>
    </row>
    <row r="111" spans="1:34" x14ac:dyDescent="0.3">
      <c r="A111" s="1">
        <v>1109</v>
      </c>
      <c r="B111" s="2">
        <v>44456</v>
      </c>
      <c r="C111" s="1" t="s">
        <v>10</v>
      </c>
      <c r="D111" s="1" t="s">
        <v>36</v>
      </c>
      <c r="E111" s="1" t="s">
        <v>28</v>
      </c>
      <c r="F111" s="1">
        <v>4143.1899999999996</v>
      </c>
      <c r="G111" s="1" t="s">
        <v>133</v>
      </c>
      <c r="H111" s="2">
        <v>23264</v>
      </c>
      <c r="I111" s="2">
        <v>44468</v>
      </c>
      <c r="J111" s="1">
        <v>10.54</v>
      </c>
      <c r="K111" s="4">
        <f t="shared" si="2"/>
        <v>436.69222599999995</v>
      </c>
      <c r="L111" s="4">
        <f t="shared" si="3"/>
        <v>3706.4977739999995</v>
      </c>
      <c r="O111">
        <v>1138</v>
      </c>
      <c r="P111">
        <v>44765</v>
      </c>
      <c r="Q111" t="str">
        <v>West</v>
      </c>
      <c r="R111" t="str">
        <v>Bed</v>
      </c>
      <c r="S111" t="str">
        <v>Furniture</v>
      </c>
      <c r="T111">
        <v>4691.68</v>
      </c>
      <c r="U111" t="str">
        <v>Randy Burke</v>
      </c>
      <c r="V111">
        <v>38693</v>
      </c>
      <c r="W111">
        <v>44777</v>
      </c>
      <c r="X111">
        <v>24.19</v>
      </c>
      <c r="Y111">
        <v>1134.9173920000001</v>
      </c>
      <c r="Z111">
        <v>3556.762608</v>
      </c>
      <c r="AC111" t="str">
        <v>Jacket</v>
      </c>
      <c r="AD111">
        <v>2170.4680799999996</v>
      </c>
      <c r="AF111">
        <v>1134</v>
      </c>
      <c r="AG111" t="str">
        <v>Eggs</v>
      </c>
      <c r="AH111">
        <v>2281.661928</v>
      </c>
    </row>
    <row r="112" spans="1:34" x14ac:dyDescent="0.3">
      <c r="A112" s="1">
        <v>1110</v>
      </c>
      <c r="B112" s="2">
        <v>45174</v>
      </c>
      <c r="C112" s="1" t="s">
        <v>35</v>
      </c>
      <c r="D112" s="1" t="s">
        <v>53</v>
      </c>
      <c r="E112" s="1" t="s">
        <v>28</v>
      </c>
      <c r="F112" s="1">
        <v>3945.68</v>
      </c>
      <c r="G112" s="1" t="s">
        <v>134</v>
      </c>
      <c r="H112" s="2">
        <v>30299</v>
      </c>
      <c r="I112" s="2">
        <v>45178</v>
      </c>
      <c r="J112" s="1">
        <v>19.010000000000002</v>
      </c>
      <c r="K112" s="4">
        <f t="shared" si="2"/>
        <v>750.07376800000009</v>
      </c>
      <c r="L112" s="4">
        <f t="shared" si="3"/>
        <v>3195.6062319999996</v>
      </c>
      <c r="O112">
        <v>1139</v>
      </c>
      <c r="P112">
        <v>45699</v>
      </c>
      <c r="Q112" t="str">
        <v>West</v>
      </c>
      <c r="R112" t="str">
        <v>Tennis Racket</v>
      </c>
      <c r="S112" t="str">
        <v>Sports</v>
      </c>
      <c r="T112">
        <v>1474.93</v>
      </c>
      <c r="U112" t="str">
        <v>Lynn Johnson</v>
      </c>
      <c r="V112">
        <v>37189</v>
      </c>
      <c r="W112">
        <v>45710</v>
      </c>
      <c r="X112">
        <v>13.15</v>
      </c>
      <c r="Y112">
        <v>193.95329500000003</v>
      </c>
      <c r="Z112">
        <v>1280.976705</v>
      </c>
      <c r="AC112" t="str">
        <v>Bed</v>
      </c>
      <c r="AD112">
        <v>3556.762608</v>
      </c>
      <c r="AF112">
        <v>1136</v>
      </c>
      <c r="AG112" t="str">
        <v>Jacket</v>
      </c>
      <c r="AH112">
        <v>2170.4680799999996</v>
      </c>
    </row>
    <row r="113" spans="1:34" x14ac:dyDescent="0.3">
      <c r="A113" s="1">
        <v>1111</v>
      </c>
      <c r="B113" s="2">
        <v>45144</v>
      </c>
      <c r="C113" s="1" t="s">
        <v>35</v>
      </c>
      <c r="D113" s="1" t="s">
        <v>73</v>
      </c>
      <c r="E113" s="1" t="s">
        <v>28</v>
      </c>
      <c r="F113" s="1">
        <v>3954.86</v>
      </c>
      <c r="G113" s="1" t="s">
        <v>135</v>
      </c>
      <c r="H113" s="2">
        <v>38018</v>
      </c>
      <c r="I113" s="2">
        <v>45158</v>
      </c>
      <c r="J113" s="1">
        <v>13.44</v>
      </c>
      <c r="K113" s="4">
        <f t="shared" si="2"/>
        <v>531.53318400000001</v>
      </c>
      <c r="L113" s="4">
        <f t="shared" si="3"/>
        <v>3423.3268160000002</v>
      </c>
      <c r="O113">
        <v>1140</v>
      </c>
      <c r="P113">
        <v>45407</v>
      </c>
      <c r="Q113" t="str">
        <v>East</v>
      </c>
      <c r="R113" t="str">
        <v>Wardrobe</v>
      </c>
      <c r="S113" t="str">
        <v>Furniture</v>
      </c>
      <c r="T113">
        <v>1790.45</v>
      </c>
      <c r="U113" t="str">
        <v>Troy Kelley</v>
      </c>
      <c r="V113">
        <v>29348</v>
      </c>
      <c r="W113">
        <v>45408</v>
      </c>
      <c r="X113">
        <v>19.11</v>
      </c>
      <c r="Y113">
        <v>342.15499499999999</v>
      </c>
      <c r="Z113">
        <v>1448.2950049999999</v>
      </c>
      <c r="AC113" t="str">
        <v>Tennis Racket</v>
      </c>
      <c r="AD113">
        <v>1280.976705</v>
      </c>
      <c r="AF113">
        <v>1138</v>
      </c>
      <c r="AG113" t="str">
        <v>Bed</v>
      </c>
      <c r="AH113">
        <v>3556.762608</v>
      </c>
    </row>
    <row r="114" spans="1:34" x14ac:dyDescent="0.3">
      <c r="A114" s="1">
        <v>1112</v>
      </c>
      <c r="B114" s="2">
        <v>44984</v>
      </c>
      <c r="C114" s="1" t="s">
        <v>10</v>
      </c>
      <c r="D114" s="1" t="s">
        <v>55</v>
      </c>
      <c r="E114" s="1" t="s">
        <v>31</v>
      </c>
      <c r="F114" s="1">
        <v>1352.28</v>
      </c>
      <c r="G114" s="1" t="s">
        <v>136</v>
      </c>
      <c r="H114" s="2">
        <v>23704</v>
      </c>
      <c r="I114" s="2">
        <v>44994</v>
      </c>
      <c r="J114" s="1">
        <v>31.85</v>
      </c>
      <c r="K114" s="4">
        <f t="shared" si="2"/>
        <v>430.70118000000002</v>
      </c>
      <c r="L114" s="4">
        <f t="shared" si="3"/>
        <v>921.57881999999995</v>
      </c>
      <c r="O114">
        <v>1142</v>
      </c>
      <c r="P114">
        <v>44208</v>
      </c>
      <c r="Q114" t="str">
        <v>North</v>
      </c>
      <c r="R114" t="str">
        <v>Laptop</v>
      </c>
      <c r="S114" t="str">
        <v>Electronics</v>
      </c>
      <c r="T114">
        <v>1853.63</v>
      </c>
      <c r="U114" t="str">
        <v>Matthew Stone</v>
      </c>
      <c r="V114">
        <v>34871</v>
      </c>
      <c r="W114">
        <v>44219</v>
      </c>
      <c r="X114">
        <v>22.73</v>
      </c>
      <c r="Y114">
        <v>421.33009900000002</v>
      </c>
      <c r="Z114">
        <v>1432.2999010000001</v>
      </c>
      <c r="AC114" t="str">
        <v>Wardrobe</v>
      </c>
      <c r="AD114">
        <v>1448.2950049999999</v>
      </c>
      <c r="AF114">
        <v>1139</v>
      </c>
      <c r="AG114" t="str">
        <v>Tennis Racket</v>
      </c>
      <c r="AH114">
        <v>1280.976705</v>
      </c>
    </row>
    <row r="115" spans="1:34" x14ac:dyDescent="0.3">
      <c r="A115" s="1">
        <v>1113</v>
      </c>
      <c r="B115" s="2">
        <v>44853</v>
      </c>
      <c r="C115" s="1" t="s">
        <v>14</v>
      </c>
      <c r="D115" s="1" t="s">
        <v>33</v>
      </c>
      <c r="E115" s="1" t="s">
        <v>16</v>
      </c>
      <c r="F115" s="1">
        <v>3348.99</v>
      </c>
      <c r="G115" s="1" t="s">
        <v>137</v>
      </c>
      <c r="H115" s="2">
        <v>36905</v>
      </c>
      <c r="I115" s="2">
        <v>44857</v>
      </c>
      <c r="J115" s="1">
        <v>40.46</v>
      </c>
      <c r="K115" s="4">
        <f t="shared" si="2"/>
        <v>1355.001354</v>
      </c>
      <c r="L115" s="4">
        <f t="shared" si="3"/>
        <v>1993.9886459999998</v>
      </c>
      <c r="O115">
        <v>1143</v>
      </c>
      <c r="P115">
        <v>44282</v>
      </c>
      <c r="Q115" t="str">
        <v>South</v>
      </c>
      <c r="R115" t="str">
        <v>T-Shirt</v>
      </c>
      <c r="S115" t="str">
        <v>Clothing</v>
      </c>
      <c r="T115">
        <v>3908.26</v>
      </c>
      <c r="U115" t="str">
        <v>Isaac Flores</v>
      </c>
      <c r="V115">
        <v>38194</v>
      </c>
      <c r="W115">
        <v>44285</v>
      </c>
      <c r="X115">
        <v>5.22</v>
      </c>
      <c r="Y115">
        <v>204.01117199999999</v>
      </c>
      <c r="Z115">
        <v>3704.2488280000002</v>
      </c>
      <c r="AC115" t="str">
        <v>Laptop</v>
      </c>
      <c r="AD115">
        <v>1432.2999010000001</v>
      </c>
      <c r="AF115">
        <v>1140</v>
      </c>
      <c r="AG115" t="str">
        <v>Wardrobe</v>
      </c>
      <c r="AH115">
        <v>1448.2950049999999</v>
      </c>
    </row>
    <row r="116" spans="1:34" x14ac:dyDescent="0.3">
      <c r="A116" s="1">
        <v>1114</v>
      </c>
      <c r="B116" s="2">
        <v>45723</v>
      </c>
      <c r="C116" s="1" t="s">
        <v>35</v>
      </c>
      <c r="D116" s="1" t="s">
        <v>11</v>
      </c>
      <c r="E116" s="1" t="s">
        <v>12</v>
      </c>
      <c r="F116" s="1">
        <v>412.14</v>
      </c>
      <c r="G116" s="1" t="s">
        <v>106</v>
      </c>
      <c r="H116" s="2">
        <v>35506</v>
      </c>
      <c r="I116" s="2">
        <v>45726</v>
      </c>
      <c r="J116" s="1">
        <v>38.22</v>
      </c>
      <c r="K116" s="4">
        <f t="shared" si="2"/>
        <v>157.51990799999999</v>
      </c>
      <c r="L116" s="4">
        <f t="shared" si="3"/>
        <v>254.620092</v>
      </c>
      <c r="O116">
        <v>1144</v>
      </c>
      <c r="P116">
        <v>45242</v>
      </c>
      <c r="Q116" t="str">
        <v>South</v>
      </c>
      <c r="R116" t="str">
        <v>Jeans</v>
      </c>
      <c r="S116" t="str">
        <v>Clothing</v>
      </c>
      <c r="T116">
        <v>3609.48</v>
      </c>
      <c r="U116" t="str">
        <v>Michael Robinson</v>
      </c>
      <c r="V116">
        <v>30054</v>
      </c>
      <c r="W116">
        <v>45249</v>
      </c>
      <c r="X116">
        <v>0.27</v>
      </c>
      <c r="Y116">
        <v>9.7455960000000008</v>
      </c>
      <c r="Z116">
        <v>3599.7344039999998</v>
      </c>
      <c r="AC116" t="str">
        <v>T-Shirt</v>
      </c>
      <c r="AD116">
        <v>3704.2488280000002</v>
      </c>
      <c r="AF116">
        <v>1142</v>
      </c>
      <c r="AG116" t="str">
        <v>Laptop</v>
      </c>
      <c r="AH116">
        <v>1432.2999010000001</v>
      </c>
    </row>
    <row r="117" spans="1:34" x14ac:dyDescent="0.3">
      <c r="A117" s="1">
        <v>1115</v>
      </c>
      <c r="B117" s="2">
        <v>44218</v>
      </c>
      <c r="C117" s="1" t="s">
        <v>35</v>
      </c>
      <c r="D117" s="1" t="s">
        <v>38</v>
      </c>
      <c r="E117" s="1" t="s">
        <v>28</v>
      </c>
      <c r="F117" s="1">
        <v>3960.77</v>
      </c>
      <c r="G117" s="1" t="s">
        <v>138</v>
      </c>
      <c r="H117" s="2">
        <v>25948</v>
      </c>
      <c r="I117" s="2">
        <v>44222</v>
      </c>
      <c r="J117" s="1">
        <v>42.31</v>
      </c>
      <c r="K117" s="4">
        <f t="shared" si="2"/>
        <v>1675.8017870000001</v>
      </c>
      <c r="L117" s="4">
        <f t="shared" si="3"/>
        <v>2284.9682130000001</v>
      </c>
      <c r="O117">
        <v>1146</v>
      </c>
      <c r="P117">
        <v>44893</v>
      </c>
      <c r="Q117" t="str">
        <v>Central</v>
      </c>
      <c r="R117" t="str">
        <v>Jeans</v>
      </c>
      <c r="S117" t="str">
        <v>Clothing</v>
      </c>
      <c r="T117">
        <v>3221.4</v>
      </c>
      <c r="U117" t="str">
        <v>Juan White</v>
      </c>
      <c r="V117">
        <v>35321</v>
      </c>
      <c r="W117">
        <v>44900</v>
      </c>
      <c r="X117">
        <v>14.32</v>
      </c>
      <c r="Y117">
        <v>461.30448000000001</v>
      </c>
      <c r="Z117">
        <v>2760.0955199999999</v>
      </c>
      <c r="AC117" t="str">
        <v>Jeans</v>
      </c>
      <c r="AD117">
        <v>3599.7344039999998</v>
      </c>
      <c r="AF117">
        <v>1143</v>
      </c>
      <c r="AG117" t="str">
        <v>T-Shirt</v>
      </c>
      <c r="AH117">
        <v>3704.2488280000002</v>
      </c>
    </row>
    <row r="118" spans="1:34" x14ac:dyDescent="0.3">
      <c r="A118" s="1">
        <v>1116</v>
      </c>
      <c r="B118" s="2">
        <v>45044</v>
      </c>
      <c r="C118" s="1" t="s">
        <v>14</v>
      </c>
      <c r="D118" s="1" t="s">
        <v>65</v>
      </c>
      <c r="E118" s="1" t="s">
        <v>19</v>
      </c>
      <c r="F118" s="1">
        <v>2449</v>
      </c>
      <c r="G118" s="1" t="s">
        <v>139</v>
      </c>
      <c r="H118" s="2">
        <v>29381</v>
      </c>
      <c r="I118" s="2">
        <v>45056</v>
      </c>
      <c r="J118" s="1">
        <v>22.98</v>
      </c>
      <c r="K118" s="4">
        <f t="shared" si="2"/>
        <v>562.78020000000004</v>
      </c>
      <c r="L118" s="4">
        <f t="shared" si="3"/>
        <v>1886.2197999999999</v>
      </c>
      <c r="O118">
        <v>1147</v>
      </c>
      <c r="P118">
        <v>44609</v>
      </c>
      <c r="Q118" t="str">
        <v>North</v>
      </c>
      <c r="R118" t="str">
        <v>Shoes</v>
      </c>
      <c r="S118" t="str">
        <v>Clothing</v>
      </c>
      <c r="T118">
        <v>2149.13</v>
      </c>
      <c r="U118" t="str">
        <v>Joshua Joseph</v>
      </c>
      <c r="V118">
        <v>29386</v>
      </c>
      <c r="W118">
        <v>44612</v>
      </c>
      <c r="X118">
        <v>39.03</v>
      </c>
      <c r="Y118">
        <v>838.80543900000009</v>
      </c>
      <c r="Z118">
        <v>1310.3245609999999</v>
      </c>
      <c r="AC118" t="str">
        <v>Jeans</v>
      </c>
      <c r="AD118">
        <v>2760.0955199999999</v>
      </c>
      <c r="AF118">
        <v>1144</v>
      </c>
      <c r="AG118" t="str">
        <v>Jeans</v>
      </c>
      <c r="AH118">
        <v>3599.7344039999998</v>
      </c>
    </row>
    <row r="119" spans="1:34" x14ac:dyDescent="0.3">
      <c r="A119" s="1">
        <v>1117</v>
      </c>
      <c r="B119" s="2">
        <v>44445</v>
      </c>
      <c r="C119" s="1" t="s">
        <v>10</v>
      </c>
      <c r="D119" s="1" t="s">
        <v>40</v>
      </c>
      <c r="E119" s="1" t="s">
        <v>16</v>
      </c>
      <c r="F119" s="1">
        <v>1567.51</v>
      </c>
      <c r="G119" s="1" t="s">
        <v>140</v>
      </c>
      <c r="H119" s="2">
        <v>24579</v>
      </c>
      <c r="I119" s="2">
        <v>44456</v>
      </c>
      <c r="J119" s="1">
        <v>30.47</v>
      </c>
      <c r="K119" s="4">
        <f t="shared" si="2"/>
        <v>477.62029699999994</v>
      </c>
      <c r="L119" s="4">
        <f t="shared" si="3"/>
        <v>1089.8897030000001</v>
      </c>
      <c r="O119">
        <v>1148</v>
      </c>
      <c r="P119">
        <v>44281</v>
      </c>
      <c r="Q119" t="str">
        <v>South</v>
      </c>
      <c r="R119" t="str">
        <v>Camera</v>
      </c>
      <c r="S119" t="str">
        <v>Electronics</v>
      </c>
      <c r="T119">
        <v>4310.55</v>
      </c>
      <c r="U119" t="str">
        <v>Stephanie Hudson</v>
      </c>
      <c r="V119">
        <v>32712</v>
      </c>
      <c r="W119">
        <v>44282</v>
      </c>
      <c r="X119">
        <v>19.37</v>
      </c>
      <c r="Y119">
        <v>834.9535350000001</v>
      </c>
      <c r="Z119">
        <v>3475.5964650000001</v>
      </c>
      <c r="AC119" t="str">
        <v>Shoes</v>
      </c>
      <c r="AD119">
        <v>1310.3245609999999</v>
      </c>
      <c r="AF119">
        <v>1146</v>
      </c>
      <c r="AG119" t="str">
        <v>Jeans</v>
      </c>
      <c r="AH119">
        <v>2760.0955199999999</v>
      </c>
    </row>
    <row r="120" spans="1:34" x14ac:dyDescent="0.3">
      <c r="A120" s="1">
        <v>1118</v>
      </c>
      <c r="B120" s="2">
        <v>44966</v>
      </c>
      <c r="C120" s="1" t="s">
        <v>26</v>
      </c>
      <c r="D120" s="1" t="s">
        <v>55</v>
      </c>
      <c r="E120" s="1" t="s">
        <v>31</v>
      </c>
      <c r="F120" s="1">
        <v>2984.11</v>
      </c>
      <c r="G120" s="1" t="s">
        <v>141</v>
      </c>
      <c r="H120" s="2">
        <v>35559</v>
      </c>
      <c r="I120" s="2">
        <v>44979</v>
      </c>
      <c r="J120" s="1">
        <v>36.44</v>
      </c>
      <c r="K120" s="4">
        <f t="shared" si="2"/>
        <v>1087.409684</v>
      </c>
      <c r="L120" s="4">
        <f t="shared" si="3"/>
        <v>1896.7003160000002</v>
      </c>
      <c r="O120">
        <v>1149</v>
      </c>
      <c r="P120">
        <v>44709</v>
      </c>
      <c r="Q120" t="str">
        <v>West</v>
      </c>
      <c r="R120" t="str">
        <v>Football</v>
      </c>
      <c r="S120" t="str">
        <v>Sports</v>
      </c>
      <c r="T120">
        <v>4335.75</v>
      </c>
      <c r="U120" t="str">
        <v>Dorothy Thomas</v>
      </c>
      <c r="V120">
        <v>30364</v>
      </c>
      <c r="W120">
        <v>44715</v>
      </c>
      <c r="X120">
        <v>8.9700000000000006</v>
      </c>
      <c r="Y120">
        <v>388.91677500000003</v>
      </c>
      <c r="Z120">
        <v>3946.8332249999999</v>
      </c>
      <c r="AC120" t="str">
        <v>Camera</v>
      </c>
      <c r="AD120">
        <v>3475.5964650000001</v>
      </c>
      <c r="AF120">
        <v>1147</v>
      </c>
      <c r="AG120" t="str">
        <v>Shoes</v>
      </c>
      <c r="AH120">
        <v>1310.3245609999999</v>
      </c>
    </row>
    <row r="121" spans="1:34" x14ac:dyDescent="0.3">
      <c r="A121" s="1">
        <v>1119</v>
      </c>
      <c r="B121" s="2">
        <v>45818</v>
      </c>
      <c r="C121" s="1" t="s">
        <v>35</v>
      </c>
      <c r="D121" s="1" t="s">
        <v>11</v>
      </c>
      <c r="E121" s="1" t="s">
        <v>12</v>
      </c>
      <c r="F121" s="1">
        <v>3346.64</v>
      </c>
      <c r="G121" s="1" t="s">
        <v>142</v>
      </c>
      <c r="H121" s="2">
        <v>29541</v>
      </c>
      <c r="I121" s="2">
        <v>45821</v>
      </c>
      <c r="J121" s="1">
        <v>33.65</v>
      </c>
      <c r="K121" s="4">
        <f t="shared" si="2"/>
        <v>1126.1443599999998</v>
      </c>
      <c r="L121" s="4">
        <f t="shared" si="3"/>
        <v>2220.4956400000001</v>
      </c>
      <c r="O121">
        <v>1150</v>
      </c>
      <c r="P121">
        <v>45252</v>
      </c>
      <c r="Q121" t="str">
        <v>Central</v>
      </c>
      <c r="R121" t="str">
        <v>Shoes</v>
      </c>
      <c r="S121" t="str">
        <v>Sports</v>
      </c>
      <c r="T121">
        <v>3821.32</v>
      </c>
      <c r="U121" t="str">
        <v>Wesley Thornton</v>
      </c>
      <c r="V121">
        <v>28046</v>
      </c>
      <c r="W121">
        <v>45263</v>
      </c>
      <c r="X121">
        <v>26.4</v>
      </c>
      <c r="Y121">
        <v>1008.8284800000001</v>
      </c>
      <c r="Z121">
        <v>2812.49152</v>
      </c>
      <c r="AC121" t="str">
        <v>Football</v>
      </c>
      <c r="AD121">
        <v>3946.8332249999999</v>
      </c>
      <c r="AF121">
        <v>1148</v>
      </c>
      <c r="AG121" t="str">
        <v>Camera</v>
      </c>
      <c r="AH121">
        <v>3475.5964650000001</v>
      </c>
    </row>
    <row r="122" spans="1:34" x14ac:dyDescent="0.3">
      <c r="A122" s="1">
        <v>1120</v>
      </c>
      <c r="B122" s="2">
        <v>45547</v>
      </c>
      <c r="C122" s="1" t="s">
        <v>26</v>
      </c>
      <c r="D122" s="1" t="s">
        <v>47</v>
      </c>
      <c r="E122" s="1" t="s">
        <v>12</v>
      </c>
      <c r="F122" s="1">
        <v>962.15</v>
      </c>
      <c r="G122" s="1" t="s">
        <v>143</v>
      </c>
      <c r="H122" s="2">
        <v>37490</v>
      </c>
      <c r="I122" s="2">
        <v>45560</v>
      </c>
      <c r="J122" s="1">
        <v>12.14</v>
      </c>
      <c r="K122" s="4">
        <f t="shared" si="2"/>
        <v>116.80501000000001</v>
      </c>
      <c r="L122" s="4">
        <f t="shared" si="3"/>
        <v>845.34498999999994</v>
      </c>
      <c r="O122">
        <v>1151</v>
      </c>
      <c r="P122">
        <v>44914</v>
      </c>
      <c r="Q122" t="str">
        <v>West</v>
      </c>
      <c r="R122" t="str">
        <v>Smartphone</v>
      </c>
      <c r="S122" t="str">
        <v>Electronics</v>
      </c>
      <c r="T122">
        <v>2012.94</v>
      </c>
      <c r="U122" t="str">
        <v>Taylor Whitaker</v>
      </c>
      <c r="V122">
        <v>29887</v>
      </c>
      <c r="W122">
        <v>44915</v>
      </c>
      <c r="X122">
        <v>44.45</v>
      </c>
      <c r="Y122">
        <v>894.75183000000004</v>
      </c>
      <c r="Z122">
        <v>1118.1881699999999</v>
      </c>
      <c r="AC122" t="str">
        <v>Shoes</v>
      </c>
      <c r="AD122">
        <v>2812.49152</v>
      </c>
      <c r="AF122">
        <v>1149</v>
      </c>
      <c r="AG122" t="str">
        <v>Football</v>
      </c>
      <c r="AH122">
        <v>3946.8332249999999</v>
      </c>
    </row>
    <row r="123" spans="1:34" x14ac:dyDescent="0.3">
      <c r="A123" s="1">
        <v>1121</v>
      </c>
      <c r="B123" s="2">
        <v>45534</v>
      </c>
      <c r="C123" s="1" t="s">
        <v>26</v>
      </c>
      <c r="D123" s="1" t="s">
        <v>73</v>
      </c>
      <c r="E123" s="1" t="s">
        <v>28</v>
      </c>
      <c r="F123" s="1">
        <v>3263.31</v>
      </c>
      <c r="G123" s="1" t="s">
        <v>144</v>
      </c>
      <c r="H123" s="2">
        <v>34571</v>
      </c>
      <c r="I123" s="2">
        <v>45537</v>
      </c>
      <c r="J123" s="1">
        <v>42.11</v>
      </c>
      <c r="K123" s="4">
        <f t="shared" si="2"/>
        <v>1374.1798409999999</v>
      </c>
      <c r="L123" s="4">
        <f t="shared" si="3"/>
        <v>1889.130159</v>
      </c>
      <c r="O123">
        <v>1152</v>
      </c>
      <c r="P123">
        <v>45518</v>
      </c>
      <c r="Q123" t="str">
        <v>North</v>
      </c>
      <c r="R123" t="str">
        <v>Eggs</v>
      </c>
      <c r="S123" t="str">
        <v>Groceries</v>
      </c>
      <c r="T123">
        <v>4403.59</v>
      </c>
      <c r="U123" t="str">
        <v>Lisa Clark</v>
      </c>
      <c r="V123">
        <v>27879</v>
      </c>
      <c r="W123">
        <v>45526</v>
      </c>
      <c r="X123">
        <v>20.79</v>
      </c>
      <c r="Y123">
        <v>915.50636100000008</v>
      </c>
      <c r="Z123">
        <v>3488.0836389999999</v>
      </c>
      <c r="AC123" t="str">
        <v>Smartphone</v>
      </c>
      <c r="AD123">
        <v>1118.1881699999999</v>
      </c>
      <c r="AF123">
        <v>1150</v>
      </c>
      <c r="AG123" t="str">
        <v>Shoes</v>
      </c>
      <c r="AH123">
        <v>2812.49152</v>
      </c>
    </row>
    <row r="124" spans="1:34" x14ac:dyDescent="0.3">
      <c r="A124" s="1">
        <v>1122</v>
      </c>
      <c r="B124" s="2">
        <v>44929</v>
      </c>
      <c r="C124" s="1" t="s">
        <v>35</v>
      </c>
      <c r="D124" s="1" t="s">
        <v>36</v>
      </c>
      <c r="E124" s="1" t="s">
        <v>28</v>
      </c>
      <c r="F124" s="1">
        <v>2326.17</v>
      </c>
      <c r="G124" s="1" t="s">
        <v>145</v>
      </c>
      <c r="H124" s="2">
        <v>23470</v>
      </c>
      <c r="I124" s="2">
        <v>44938</v>
      </c>
      <c r="J124" s="1">
        <v>8.98</v>
      </c>
      <c r="K124" s="4">
        <f t="shared" si="2"/>
        <v>208.89006600000002</v>
      </c>
      <c r="L124" s="4">
        <f t="shared" si="3"/>
        <v>2117.2799340000001</v>
      </c>
      <c r="O124">
        <v>1153</v>
      </c>
      <c r="P124">
        <v>45326</v>
      </c>
      <c r="Q124" t="str">
        <v>South</v>
      </c>
      <c r="R124" t="str">
        <v>Oil</v>
      </c>
      <c r="S124" t="str">
        <v>Groceries</v>
      </c>
      <c r="T124">
        <v>3632.86</v>
      </c>
      <c r="U124" t="str">
        <v>Kristin Ramsey</v>
      </c>
      <c r="V124">
        <v>24672</v>
      </c>
      <c r="W124">
        <v>45334</v>
      </c>
      <c r="X124">
        <v>42.47</v>
      </c>
      <c r="Y124">
        <v>1542.875642</v>
      </c>
      <c r="Z124">
        <v>2089.9843580000002</v>
      </c>
      <c r="AC124" t="str">
        <v>Eggs</v>
      </c>
      <c r="AD124">
        <v>3488.0836389999999</v>
      </c>
      <c r="AF124">
        <v>1151</v>
      </c>
      <c r="AG124" t="str">
        <v>Smartphone</v>
      </c>
      <c r="AH124">
        <v>1118.1881699999999</v>
      </c>
    </row>
    <row r="125" spans="1:34" x14ac:dyDescent="0.3">
      <c r="A125" s="1">
        <v>1123</v>
      </c>
      <c r="B125" s="2">
        <v>45807</v>
      </c>
      <c r="C125" s="1" t="s">
        <v>21</v>
      </c>
      <c r="D125" s="1" t="s">
        <v>58</v>
      </c>
      <c r="E125" s="1" t="s">
        <v>31</v>
      </c>
      <c r="F125" s="1">
        <v>4103.01</v>
      </c>
      <c r="G125" s="1" t="s">
        <v>146</v>
      </c>
      <c r="H125" s="2">
        <v>24961</v>
      </c>
      <c r="I125" s="2">
        <v>45812</v>
      </c>
      <c r="J125" s="1">
        <v>0.87</v>
      </c>
      <c r="K125" s="4">
        <f t="shared" si="2"/>
        <v>35.696187000000002</v>
      </c>
      <c r="L125" s="4">
        <f t="shared" si="3"/>
        <v>4067.3138130000002</v>
      </c>
      <c r="O125">
        <v>1154</v>
      </c>
      <c r="P125">
        <v>45488</v>
      </c>
      <c r="Q125" t="str">
        <v>South</v>
      </c>
      <c r="R125" t="str">
        <v>Bed</v>
      </c>
      <c r="S125" t="str">
        <v>Furniture</v>
      </c>
      <c r="T125">
        <v>2638.14</v>
      </c>
      <c r="U125" t="str">
        <v>Danielle Perry</v>
      </c>
      <c r="V125">
        <v>37674</v>
      </c>
      <c r="W125">
        <v>45496</v>
      </c>
      <c r="X125">
        <v>39.82</v>
      </c>
      <c r="Y125">
        <v>1050.5073479999999</v>
      </c>
      <c r="Z125">
        <v>1587.632652</v>
      </c>
      <c r="AC125" t="str">
        <v>Oil</v>
      </c>
      <c r="AD125">
        <v>2089.9843580000002</v>
      </c>
      <c r="AF125">
        <v>1152</v>
      </c>
      <c r="AG125" t="str">
        <v>Eggs</v>
      </c>
      <c r="AH125">
        <v>3488.0836389999999</v>
      </c>
    </row>
    <row r="126" spans="1:34" x14ac:dyDescent="0.3">
      <c r="A126" s="1">
        <v>1124</v>
      </c>
      <c r="B126" s="2">
        <v>45207</v>
      </c>
      <c r="C126" s="1" t="s">
        <v>10</v>
      </c>
      <c r="D126" s="1" t="s">
        <v>30</v>
      </c>
      <c r="E126" s="1" t="s">
        <v>31</v>
      </c>
      <c r="F126" s="1">
        <v>3578.78</v>
      </c>
      <c r="G126" s="1" t="s">
        <v>147</v>
      </c>
      <c r="H126" s="2">
        <v>34343</v>
      </c>
      <c r="I126" s="2">
        <v>45216</v>
      </c>
      <c r="J126" s="1">
        <v>9.4600000000000009</v>
      </c>
      <c r="K126" s="4">
        <f t="shared" si="2"/>
        <v>338.55258800000001</v>
      </c>
      <c r="L126" s="4">
        <f t="shared" si="3"/>
        <v>3240.2274120000002</v>
      </c>
      <c r="O126">
        <v>1155</v>
      </c>
      <c r="P126">
        <v>44780</v>
      </c>
      <c r="Q126" t="str">
        <v>East</v>
      </c>
      <c r="R126" t="str">
        <v>Chair</v>
      </c>
      <c r="S126" t="str">
        <v>Furniture</v>
      </c>
      <c r="T126">
        <v>4876.3599999999997</v>
      </c>
      <c r="U126" t="str">
        <v>Harold Williams</v>
      </c>
      <c r="V126">
        <v>37894</v>
      </c>
      <c r="W126">
        <v>44794</v>
      </c>
      <c r="X126">
        <v>48.53</v>
      </c>
      <c r="Y126">
        <v>2366.4975079999999</v>
      </c>
      <c r="Z126">
        <v>2509.8624919999997</v>
      </c>
      <c r="AC126" t="str">
        <v>Bed</v>
      </c>
      <c r="AD126">
        <v>1587.632652</v>
      </c>
      <c r="AF126">
        <v>1153</v>
      </c>
      <c r="AG126" t="str">
        <v>Oil</v>
      </c>
      <c r="AH126">
        <v>2089.9843580000002</v>
      </c>
    </row>
    <row r="127" spans="1:34" x14ac:dyDescent="0.3">
      <c r="A127" s="1">
        <v>1125</v>
      </c>
      <c r="B127" s="2">
        <v>44559</v>
      </c>
      <c r="C127" s="1" t="s">
        <v>21</v>
      </c>
      <c r="D127" s="1" t="s">
        <v>22</v>
      </c>
      <c r="E127" s="1" t="s">
        <v>19</v>
      </c>
      <c r="F127" s="1">
        <v>3102.24</v>
      </c>
      <c r="G127" s="1" t="s">
        <v>75</v>
      </c>
      <c r="H127" s="2">
        <v>25853</v>
      </c>
      <c r="I127" s="2">
        <v>44570</v>
      </c>
      <c r="J127" s="1">
        <v>13.12</v>
      </c>
      <c r="K127" s="4">
        <f t="shared" si="2"/>
        <v>407.01388799999989</v>
      </c>
      <c r="L127" s="4">
        <f t="shared" si="3"/>
        <v>2695.2261119999998</v>
      </c>
      <c r="O127">
        <v>1159</v>
      </c>
      <c r="P127">
        <v>45880</v>
      </c>
      <c r="Q127" t="str">
        <v>East</v>
      </c>
      <c r="R127" t="str">
        <v>Chair</v>
      </c>
      <c r="S127" t="str">
        <v>Furniture</v>
      </c>
      <c r="T127">
        <v>4313.16</v>
      </c>
      <c r="U127" t="str">
        <v>Nicole Cantu</v>
      </c>
      <c r="V127">
        <v>31261</v>
      </c>
      <c r="W127">
        <v>45884</v>
      </c>
      <c r="X127">
        <v>46.82</v>
      </c>
      <c r="Y127">
        <v>2019.4215119999999</v>
      </c>
      <c r="Z127">
        <v>2293.738488</v>
      </c>
      <c r="AC127" t="str">
        <v>Chair</v>
      </c>
      <c r="AD127">
        <v>2509.8624919999997</v>
      </c>
      <c r="AF127">
        <v>1154</v>
      </c>
      <c r="AG127" t="str">
        <v>Bed</v>
      </c>
      <c r="AH127">
        <v>1587.632652</v>
      </c>
    </row>
    <row r="128" spans="1:34" x14ac:dyDescent="0.3">
      <c r="A128" s="1">
        <v>1126</v>
      </c>
      <c r="B128" s="2">
        <v>44298</v>
      </c>
      <c r="C128" s="1" t="s">
        <v>10</v>
      </c>
      <c r="D128" s="1" t="s">
        <v>27</v>
      </c>
      <c r="E128" s="1" t="s">
        <v>28</v>
      </c>
      <c r="F128" s="1">
        <v>2539.35</v>
      </c>
      <c r="G128" s="1" t="s">
        <v>62</v>
      </c>
      <c r="H128" s="2">
        <v>22870</v>
      </c>
      <c r="I128" s="2">
        <v>44302</v>
      </c>
      <c r="J128" s="1">
        <v>18.09</v>
      </c>
      <c r="K128" s="4">
        <f t="shared" si="2"/>
        <v>459.36841499999997</v>
      </c>
      <c r="L128" s="4">
        <f t="shared" si="3"/>
        <v>2079.981585</v>
      </c>
      <c r="O128">
        <v>1161</v>
      </c>
      <c r="P128">
        <v>45796</v>
      </c>
      <c r="Q128" t="str">
        <v>East</v>
      </c>
      <c r="R128" t="str">
        <v>Wheat</v>
      </c>
      <c r="S128" t="str">
        <v>Groceries</v>
      </c>
      <c r="T128">
        <v>1635.84</v>
      </c>
      <c r="U128" t="str">
        <v>Juan White</v>
      </c>
      <c r="V128">
        <v>35321</v>
      </c>
      <c r="W128">
        <v>45804</v>
      </c>
      <c r="X128">
        <v>5.75</v>
      </c>
      <c r="Y128">
        <v>94.0608</v>
      </c>
      <c r="Z128">
        <v>1541.7791999999999</v>
      </c>
      <c r="AC128" t="str">
        <v>Chair</v>
      </c>
      <c r="AD128">
        <v>2293.738488</v>
      </c>
      <c r="AF128">
        <v>1155</v>
      </c>
      <c r="AG128" t="str">
        <v>Chair</v>
      </c>
      <c r="AH128">
        <v>2509.8624919999997</v>
      </c>
    </row>
    <row r="129" spans="1:34" x14ac:dyDescent="0.3">
      <c r="A129" s="1">
        <v>1127</v>
      </c>
      <c r="B129" s="2">
        <v>45488</v>
      </c>
      <c r="C129" s="1" t="s">
        <v>10</v>
      </c>
      <c r="D129" s="1" t="s">
        <v>30</v>
      </c>
      <c r="E129" s="1" t="s">
        <v>31</v>
      </c>
      <c r="F129" s="1">
        <v>1990.67</v>
      </c>
      <c r="G129" s="1" t="s">
        <v>148</v>
      </c>
      <c r="H129" s="2">
        <v>22007</v>
      </c>
      <c r="I129" s="2">
        <v>45495</v>
      </c>
      <c r="J129" s="1">
        <v>1.56</v>
      </c>
      <c r="K129" s="4">
        <f t="shared" si="2"/>
        <v>31.054452000000005</v>
      </c>
      <c r="L129" s="4">
        <f t="shared" si="3"/>
        <v>1959.615548</v>
      </c>
      <c r="O129">
        <v>1162</v>
      </c>
      <c r="P129">
        <v>45352</v>
      </c>
      <c r="Q129" t="str">
        <v>South</v>
      </c>
      <c r="R129" t="str">
        <v>Football</v>
      </c>
      <c r="S129" t="str">
        <v>Sports</v>
      </c>
      <c r="T129">
        <v>4145.6899999999996</v>
      </c>
      <c r="U129" t="str">
        <v>Andrea Mendez</v>
      </c>
      <c r="V129">
        <v>36236</v>
      </c>
      <c r="W129">
        <v>45365</v>
      </c>
      <c r="X129">
        <v>14.43</v>
      </c>
      <c r="Y129">
        <v>598.2230669999999</v>
      </c>
      <c r="Z129">
        <v>3547.4669329999997</v>
      </c>
      <c r="AC129" t="str">
        <v>Wheat</v>
      </c>
      <c r="AD129">
        <v>1541.7791999999999</v>
      </c>
      <c r="AF129">
        <v>1159</v>
      </c>
      <c r="AG129" t="str">
        <v>Chair</v>
      </c>
      <c r="AH129">
        <v>2293.738488</v>
      </c>
    </row>
    <row r="130" spans="1:34" x14ac:dyDescent="0.3">
      <c r="A130" s="1">
        <v>1128</v>
      </c>
      <c r="B130" s="2">
        <v>45105</v>
      </c>
      <c r="C130" s="1" t="s">
        <v>21</v>
      </c>
      <c r="D130" s="1" t="s">
        <v>55</v>
      </c>
      <c r="E130" s="1" t="s">
        <v>31</v>
      </c>
      <c r="F130" s="1">
        <v>1239.3399999999999</v>
      </c>
      <c r="G130" s="1" t="s">
        <v>149</v>
      </c>
      <c r="H130" s="2">
        <v>26155</v>
      </c>
      <c r="I130" s="2">
        <v>45115</v>
      </c>
      <c r="J130" s="1">
        <v>5.3</v>
      </c>
      <c r="K130" s="4">
        <f t="shared" si="2"/>
        <v>65.685019999999994</v>
      </c>
      <c r="L130" s="4">
        <f t="shared" si="3"/>
        <v>1173.65498</v>
      </c>
      <c r="O130">
        <v>1163</v>
      </c>
      <c r="P130">
        <v>45008</v>
      </c>
      <c r="Q130" t="str">
        <v>East</v>
      </c>
      <c r="R130" t="str">
        <v>Chair</v>
      </c>
      <c r="S130" t="str">
        <v>Furniture</v>
      </c>
      <c r="T130">
        <v>4581.34</v>
      </c>
      <c r="U130" t="str">
        <v>Shane Morgan</v>
      </c>
      <c r="V130">
        <v>25099</v>
      </c>
      <c r="W130">
        <v>45010</v>
      </c>
      <c r="X130">
        <v>32.869999999999997</v>
      </c>
      <c r="Y130">
        <v>1505.8864579999999</v>
      </c>
      <c r="Z130">
        <v>3075.4535420000002</v>
      </c>
      <c r="AC130" t="str">
        <v>Football</v>
      </c>
      <c r="AD130">
        <v>3547.4669329999997</v>
      </c>
      <c r="AF130">
        <v>1161</v>
      </c>
      <c r="AG130" t="str">
        <v>Wheat</v>
      </c>
      <c r="AH130">
        <v>1541.7791999999999</v>
      </c>
    </row>
    <row r="131" spans="1:34" x14ac:dyDescent="0.3">
      <c r="A131" s="1">
        <v>1129</v>
      </c>
      <c r="B131" s="2">
        <v>45034</v>
      </c>
      <c r="C131" s="1" t="s">
        <v>14</v>
      </c>
      <c r="D131" s="1" t="s">
        <v>69</v>
      </c>
      <c r="E131" s="1" t="s">
        <v>31</v>
      </c>
      <c r="F131" s="1">
        <v>585.54999999999995</v>
      </c>
      <c r="G131" s="1" t="s">
        <v>54</v>
      </c>
      <c r="H131" s="2">
        <v>31082</v>
      </c>
      <c r="I131" s="2">
        <v>45038</v>
      </c>
      <c r="J131" s="1">
        <v>49.91</v>
      </c>
      <c r="K131" s="4">
        <f t="shared" ref="K131:K194" si="4">F131*J131%</f>
        <v>292.24800499999998</v>
      </c>
      <c r="L131" s="4">
        <f t="shared" ref="L131:L194" si="5">F131-K131</f>
        <v>293.30199499999998</v>
      </c>
      <c r="O131">
        <v>1164</v>
      </c>
      <c r="P131">
        <v>44551</v>
      </c>
      <c r="Q131" t="str">
        <v>West</v>
      </c>
      <c r="R131" t="str">
        <v>Tennis Racket</v>
      </c>
      <c r="S131" t="str">
        <v>Sports</v>
      </c>
      <c r="T131">
        <v>1339.01</v>
      </c>
      <c r="U131" t="str">
        <v>John Adams</v>
      </c>
      <c r="V131">
        <v>22016</v>
      </c>
      <c r="W131">
        <v>44553</v>
      </c>
      <c r="X131">
        <v>22.21</v>
      </c>
      <c r="Y131">
        <v>297.39412100000004</v>
      </c>
      <c r="Z131">
        <v>1041.6158789999999</v>
      </c>
      <c r="AC131" t="str">
        <v>Chair</v>
      </c>
      <c r="AD131">
        <v>3075.4535420000002</v>
      </c>
      <c r="AF131">
        <v>1162</v>
      </c>
      <c r="AG131" t="str">
        <v>Football</v>
      </c>
      <c r="AH131">
        <v>3547.4669329999997</v>
      </c>
    </row>
    <row r="132" spans="1:34" x14ac:dyDescent="0.3">
      <c r="A132" s="1">
        <v>1130</v>
      </c>
      <c r="B132" s="2">
        <v>45860</v>
      </c>
      <c r="C132" s="1" t="s">
        <v>21</v>
      </c>
      <c r="D132" s="1" t="s">
        <v>24</v>
      </c>
      <c r="E132" s="1" t="s">
        <v>19</v>
      </c>
      <c r="F132" s="1">
        <v>2422.41</v>
      </c>
      <c r="G132" s="1" t="s">
        <v>112</v>
      </c>
      <c r="H132" s="2">
        <v>38171</v>
      </c>
      <c r="I132" s="2">
        <v>45862</v>
      </c>
      <c r="J132" s="1">
        <v>43.13</v>
      </c>
      <c r="K132" s="4">
        <f t="shared" si="4"/>
        <v>1044.785433</v>
      </c>
      <c r="L132" s="4">
        <f t="shared" si="5"/>
        <v>1377.6245669999998</v>
      </c>
      <c r="O132">
        <v>1165</v>
      </c>
      <c r="P132">
        <v>45742</v>
      </c>
      <c r="Q132" t="str">
        <v>North</v>
      </c>
      <c r="R132" t="str">
        <v>Milk</v>
      </c>
      <c r="S132" t="str">
        <v>Groceries</v>
      </c>
      <c r="T132">
        <v>2790.45</v>
      </c>
      <c r="U132" t="str">
        <v>Lynn Johnson</v>
      </c>
      <c r="V132">
        <v>37189</v>
      </c>
      <c r="W132">
        <v>45752</v>
      </c>
      <c r="X132">
        <v>6.5</v>
      </c>
      <c r="Y132">
        <v>181.37924999999998</v>
      </c>
      <c r="Z132">
        <v>2609.0707499999999</v>
      </c>
      <c r="AC132" t="str">
        <v>Tennis Racket</v>
      </c>
      <c r="AD132">
        <v>1041.6158789999999</v>
      </c>
      <c r="AF132">
        <v>1163</v>
      </c>
      <c r="AG132" t="str">
        <v>Chair</v>
      </c>
      <c r="AH132">
        <v>3075.4535420000002</v>
      </c>
    </row>
    <row r="133" spans="1:34" x14ac:dyDescent="0.3">
      <c r="A133" s="1">
        <v>1131</v>
      </c>
      <c r="B133" s="2">
        <v>44404</v>
      </c>
      <c r="C133" s="1" t="s">
        <v>14</v>
      </c>
      <c r="D133" s="1" t="s">
        <v>102</v>
      </c>
      <c r="E133" s="1" t="s">
        <v>12</v>
      </c>
      <c r="F133" s="1">
        <v>1177.53</v>
      </c>
      <c r="G133" s="1" t="s">
        <v>150</v>
      </c>
      <c r="H133" s="2">
        <v>31231</v>
      </c>
      <c r="I133" s="2">
        <v>44418</v>
      </c>
      <c r="J133" s="1">
        <v>25.34</v>
      </c>
      <c r="K133" s="4">
        <f t="shared" si="4"/>
        <v>298.38610199999999</v>
      </c>
      <c r="L133" s="4">
        <f t="shared" si="5"/>
        <v>879.14389800000004</v>
      </c>
      <c r="O133">
        <v>1167</v>
      </c>
      <c r="P133">
        <v>45151</v>
      </c>
      <c r="Q133" t="str">
        <v>South</v>
      </c>
      <c r="R133" t="str">
        <v>Cap</v>
      </c>
      <c r="S133" t="str">
        <v>Clothing</v>
      </c>
      <c r="T133">
        <v>1782.75</v>
      </c>
      <c r="U133" t="str">
        <v>Richard Crawford</v>
      </c>
      <c r="V133">
        <v>36623</v>
      </c>
      <c r="W133">
        <v>45156</v>
      </c>
      <c r="X133">
        <v>9.26</v>
      </c>
      <c r="Y133">
        <v>165.08265</v>
      </c>
      <c r="Z133">
        <v>1617.6673499999999</v>
      </c>
      <c r="AC133" t="str">
        <v>Milk</v>
      </c>
      <c r="AD133">
        <v>2609.0707499999999</v>
      </c>
      <c r="AF133">
        <v>1164</v>
      </c>
      <c r="AG133" t="str">
        <v>Tennis Racket</v>
      </c>
      <c r="AH133">
        <v>1041.6158789999999</v>
      </c>
    </row>
    <row r="134" spans="1:34" x14ac:dyDescent="0.3">
      <c r="A134" s="1">
        <v>1132</v>
      </c>
      <c r="B134" s="2">
        <v>45011</v>
      </c>
      <c r="C134" s="1" t="s">
        <v>35</v>
      </c>
      <c r="D134" s="1" t="s">
        <v>65</v>
      </c>
      <c r="E134" s="1" t="s">
        <v>19</v>
      </c>
      <c r="F134" s="1">
        <v>141.16999999999999</v>
      </c>
      <c r="G134" s="1" t="s">
        <v>151</v>
      </c>
      <c r="H134" s="2">
        <v>34427</v>
      </c>
      <c r="I134" s="2">
        <v>45015</v>
      </c>
      <c r="J134" s="1">
        <v>22.75</v>
      </c>
      <c r="K134" s="4">
        <f t="shared" si="4"/>
        <v>32.116174999999998</v>
      </c>
      <c r="L134" s="4">
        <f t="shared" si="5"/>
        <v>109.05382499999999</v>
      </c>
      <c r="O134">
        <v>1168</v>
      </c>
      <c r="P134">
        <v>45093</v>
      </c>
      <c r="Q134" t="str">
        <v>North</v>
      </c>
      <c r="R134" t="str">
        <v>Wheat</v>
      </c>
      <c r="S134" t="str">
        <v>Groceries</v>
      </c>
      <c r="T134">
        <v>2529.54</v>
      </c>
      <c r="U134" t="str">
        <v>Kayla Patel</v>
      </c>
      <c r="V134">
        <v>32992</v>
      </c>
      <c r="W134">
        <v>45094</v>
      </c>
      <c r="X134">
        <v>35.01</v>
      </c>
      <c r="Y134">
        <v>885.59195399999987</v>
      </c>
      <c r="Z134">
        <v>1643.948046</v>
      </c>
      <c r="AC134" t="str">
        <v>Cap</v>
      </c>
      <c r="AD134">
        <v>1617.6673499999999</v>
      </c>
      <c r="AF134">
        <v>1165</v>
      </c>
      <c r="AG134" t="str">
        <v>Milk</v>
      </c>
      <c r="AH134">
        <v>2609.0707499999999</v>
      </c>
    </row>
    <row r="135" spans="1:34" x14ac:dyDescent="0.3">
      <c r="A135" s="1">
        <v>1133</v>
      </c>
      <c r="B135" s="2">
        <v>44704</v>
      </c>
      <c r="C135" s="1" t="s">
        <v>26</v>
      </c>
      <c r="D135" s="1" t="s">
        <v>53</v>
      </c>
      <c r="E135" s="1" t="s">
        <v>28</v>
      </c>
      <c r="F135" s="1">
        <v>309.52</v>
      </c>
      <c r="G135" s="1" t="s">
        <v>152</v>
      </c>
      <c r="H135" s="2">
        <v>24792</v>
      </c>
      <c r="I135" s="2">
        <v>44718</v>
      </c>
      <c r="J135" s="1">
        <v>38.33</v>
      </c>
      <c r="K135" s="4">
        <f t="shared" si="4"/>
        <v>118.63901599999998</v>
      </c>
      <c r="L135" s="4">
        <f t="shared" si="5"/>
        <v>190.88098400000001</v>
      </c>
      <c r="O135">
        <v>1170</v>
      </c>
      <c r="P135">
        <v>44998</v>
      </c>
      <c r="Q135" t="str">
        <v>East</v>
      </c>
      <c r="R135" t="str">
        <v>Shoes</v>
      </c>
      <c r="S135" t="str">
        <v>Clothing</v>
      </c>
      <c r="T135">
        <v>1253.77</v>
      </c>
      <c r="U135" t="str">
        <v>Brandon King</v>
      </c>
      <c r="V135">
        <v>34364</v>
      </c>
      <c r="W135">
        <v>45011</v>
      </c>
      <c r="X135">
        <v>10.24</v>
      </c>
      <c r="Y135">
        <v>128.38604800000002</v>
      </c>
      <c r="Z135">
        <v>1125.3839519999999</v>
      </c>
      <c r="AC135" t="str">
        <v>Wheat</v>
      </c>
      <c r="AD135">
        <v>1643.948046</v>
      </c>
      <c r="AF135">
        <v>1167</v>
      </c>
      <c r="AG135" t="str">
        <v>Cap</v>
      </c>
      <c r="AH135">
        <v>1617.6673499999999</v>
      </c>
    </row>
    <row r="136" spans="1:34" x14ac:dyDescent="0.3">
      <c r="A136" s="1">
        <v>1134</v>
      </c>
      <c r="B136" s="2">
        <v>44910</v>
      </c>
      <c r="C136" s="1" t="s">
        <v>21</v>
      </c>
      <c r="D136" s="1" t="s">
        <v>88</v>
      </c>
      <c r="E136" s="1" t="s">
        <v>16</v>
      </c>
      <c r="F136" s="1">
        <v>3482.39</v>
      </c>
      <c r="G136" s="1" t="s">
        <v>153</v>
      </c>
      <c r="H136" s="2">
        <v>36216</v>
      </c>
      <c r="I136" s="2">
        <v>44912</v>
      </c>
      <c r="J136" s="1">
        <v>34.479999999999997</v>
      </c>
      <c r="K136" s="4">
        <f t="shared" si="4"/>
        <v>1200.7280719999999</v>
      </c>
      <c r="L136" s="4">
        <f t="shared" si="5"/>
        <v>2281.661928</v>
      </c>
      <c r="O136">
        <v>1172</v>
      </c>
      <c r="P136">
        <v>44617</v>
      </c>
      <c r="Q136" t="str">
        <v>North</v>
      </c>
      <c r="R136" t="str">
        <v>Jacket</v>
      </c>
      <c r="S136" t="str">
        <v>Clothing</v>
      </c>
      <c r="T136">
        <v>3804.2</v>
      </c>
      <c r="U136" t="str">
        <v>Kristin Ramsey</v>
      </c>
      <c r="V136">
        <v>24672</v>
      </c>
      <c r="W136">
        <v>44620</v>
      </c>
      <c r="X136">
        <v>27.88</v>
      </c>
      <c r="Y136">
        <v>1060.61096</v>
      </c>
      <c r="Z136">
        <v>2743.5890399999998</v>
      </c>
      <c r="AC136" t="str">
        <v>Shoes</v>
      </c>
      <c r="AD136">
        <v>1125.3839519999999</v>
      </c>
      <c r="AF136">
        <v>1168</v>
      </c>
      <c r="AG136" t="str">
        <v>Wheat</v>
      </c>
      <c r="AH136">
        <v>1643.948046</v>
      </c>
    </row>
    <row r="137" spans="1:34" x14ac:dyDescent="0.3">
      <c r="A137" s="1">
        <v>1135</v>
      </c>
      <c r="B137" s="2">
        <v>45173</v>
      </c>
      <c r="C137" s="1" t="s">
        <v>14</v>
      </c>
      <c r="D137" s="1" t="s">
        <v>40</v>
      </c>
      <c r="E137" s="1" t="s">
        <v>16</v>
      </c>
      <c r="F137" s="1">
        <v>186.59</v>
      </c>
      <c r="G137" s="1" t="s">
        <v>154</v>
      </c>
      <c r="H137" s="2">
        <v>32146</v>
      </c>
      <c r="I137" s="2">
        <v>45186</v>
      </c>
      <c r="J137" s="1">
        <v>43.06</v>
      </c>
      <c r="K137" s="4">
        <f t="shared" si="4"/>
        <v>80.34565400000001</v>
      </c>
      <c r="L137" s="4">
        <f t="shared" si="5"/>
        <v>106.24434599999999</v>
      </c>
      <c r="O137">
        <v>1173</v>
      </c>
      <c r="P137">
        <v>44561</v>
      </c>
      <c r="Q137" t="str">
        <v>East</v>
      </c>
      <c r="R137" t="str">
        <v>Jacket</v>
      </c>
      <c r="S137" t="str">
        <v>Clothing</v>
      </c>
      <c r="T137">
        <v>3327.36</v>
      </c>
      <c r="U137" t="str">
        <v>James Campbell</v>
      </c>
      <c r="V137">
        <v>28644</v>
      </c>
      <c r="W137">
        <v>44567</v>
      </c>
      <c r="X137">
        <v>43.29</v>
      </c>
      <c r="Y137">
        <v>1440.4141440000001</v>
      </c>
      <c r="Z137">
        <v>1886.945856</v>
      </c>
      <c r="AC137" t="str">
        <v>Jacket</v>
      </c>
      <c r="AD137">
        <v>2743.5890399999998</v>
      </c>
      <c r="AF137">
        <v>1170</v>
      </c>
      <c r="AG137" t="str">
        <v>Shoes</v>
      </c>
      <c r="AH137">
        <v>1125.3839519999999</v>
      </c>
    </row>
    <row r="138" spans="1:34" x14ac:dyDescent="0.3">
      <c r="A138" s="1">
        <v>1136</v>
      </c>
      <c r="B138" s="2">
        <v>44784</v>
      </c>
      <c r="C138" s="1" t="s">
        <v>35</v>
      </c>
      <c r="D138" s="1" t="s">
        <v>55</v>
      </c>
      <c r="E138" s="1" t="s">
        <v>31</v>
      </c>
      <c r="F138" s="1">
        <v>2204.64</v>
      </c>
      <c r="G138" s="1" t="s">
        <v>132</v>
      </c>
      <c r="H138" s="2">
        <v>34364</v>
      </c>
      <c r="I138" s="2">
        <v>44785</v>
      </c>
      <c r="J138" s="1">
        <v>1.55</v>
      </c>
      <c r="K138" s="4">
        <f t="shared" si="4"/>
        <v>34.17192</v>
      </c>
      <c r="L138" s="4">
        <f t="shared" si="5"/>
        <v>2170.4680799999996</v>
      </c>
      <c r="O138">
        <v>1174</v>
      </c>
      <c r="P138">
        <v>44498</v>
      </c>
      <c r="Q138" t="str">
        <v>Central</v>
      </c>
      <c r="R138" t="str">
        <v>Jeans</v>
      </c>
      <c r="S138" t="str">
        <v>Clothing</v>
      </c>
      <c r="T138">
        <v>4323.72</v>
      </c>
      <c r="U138" t="str">
        <v>Daniel Cabrera</v>
      </c>
      <c r="V138">
        <v>24033</v>
      </c>
      <c r="W138">
        <v>44501</v>
      </c>
      <c r="X138">
        <v>40.82</v>
      </c>
      <c r="Y138">
        <v>1764.9425040000001</v>
      </c>
      <c r="Z138">
        <v>2558.7774960000002</v>
      </c>
      <c r="AC138" t="str">
        <v>Jacket</v>
      </c>
      <c r="AD138">
        <v>1886.945856</v>
      </c>
      <c r="AF138">
        <v>1172</v>
      </c>
      <c r="AG138" t="str">
        <v>Jacket</v>
      </c>
      <c r="AH138">
        <v>2743.5890399999998</v>
      </c>
    </row>
    <row r="139" spans="1:34" x14ac:dyDescent="0.3">
      <c r="A139" s="1">
        <v>1137</v>
      </c>
      <c r="B139" s="2">
        <v>44556</v>
      </c>
      <c r="C139" s="1" t="s">
        <v>35</v>
      </c>
      <c r="D139" s="1" t="s">
        <v>69</v>
      </c>
      <c r="E139" s="1" t="s">
        <v>31</v>
      </c>
      <c r="F139" s="1">
        <v>472.14</v>
      </c>
      <c r="G139" s="1" t="s">
        <v>155</v>
      </c>
      <c r="H139" s="2">
        <v>27688</v>
      </c>
      <c r="I139" s="2">
        <v>44558</v>
      </c>
      <c r="J139" s="1">
        <v>6.01</v>
      </c>
      <c r="K139" s="4">
        <f t="shared" si="4"/>
        <v>28.375613999999999</v>
      </c>
      <c r="L139" s="4">
        <f t="shared" si="5"/>
        <v>443.764386</v>
      </c>
      <c r="O139">
        <v>1175</v>
      </c>
      <c r="P139">
        <v>44844</v>
      </c>
      <c r="Q139" t="str">
        <v>North</v>
      </c>
      <c r="R139" t="str">
        <v>Football</v>
      </c>
      <c r="S139" t="str">
        <v>Sports</v>
      </c>
      <c r="T139">
        <v>4240.53</v>
      </c>
      <c r="U139" t="str">
        <v>Tracy Moore</v>
      </c>
      <c r="V139">
        <v>33282</v>
      </c>
      <c r="W139">
        <v>44856</v>
      </c>
      <c r="X139">
        <v>1.84</v>
      </c>
      <c r="Y139">
        <v>78.025751999999997</v>
      </c>
      <c r="Z139">
        <v>4162.5042480000002</v>
      </c>
      <c r="AC139" t="str">
        <v>Jeans</v>
      </c>
      <c r="AD139">
        <v>2558.7774960000002</v>
      </c>
      <c r="AF139">
        <v>1173</v>
      </c>
      <c r="AG139" t="str">
        <v>Jacket</v>
      </c>
      <c r="AH139">
        <v>1886.945856</v>
      </c>
    </row>
    <row r="140" spans="1:34" x14ac:dyDescent="0.3">
      <c r="A140" s="1">
        <v>1138</v>
      </c>
      <c r="B140" s="2">
        <v>44765</v>
      </c>
      <c r="C140" s="1" t="s">
        <v>10</v>
      </c>
      <c r="D140" s="1" t="s">
        <v>27</v>
      </c>
      <c r="E140" s="1" t="s">
        <v>28</v>
      </c>
      <c r="F140" s="1">
        <v>4691.68</v>
      </c>
      <c r="G140" s="1" t="s">
        <v>156</v>
      </c>
      <c r="H140" s="2">
        <v>38693</v>
      </c>
      <c r="I140" s="2">
        <v>44777</v>
      </c>
      <c r="J140" s="1">
        <v>24.19</v>
      </c>
      <c r="K140" s="4">
        <f t="shared" si="4"/>
        <v>1134.9173920000001</v>
      </c>
      <c r="L140" s="4">
        <f t="shared" si="5"/>
        <v>3556.762608</v>
      </c>
      <c r="O140">
        <v>1177</v>
      </c>
      <c r="P140">
        <v>44469</v>
      </c>
      <c r="Q140" t="str">
        <v>North</v>
      </c>
      <c r="R140" t="str">
        <v>Jeans</v>
      </c>
      <c r="S140" t="str">
        <v>Clothing</v>
      </c>
      <c r="T140">
        <v>2760.09</v>
      </c>
      <c r="U140" t="str">
        <v>Lucas Rodriguez</v>
      </c>
      <c r="V140">
        <v>23890</v>
      </c>
      <c r="W140">
        <v>44481</v>
      </c>
      <c r="X140">
        <v>45.94</v>
      </c>
      <c r="Y140">
        <v>1267.9853459999999</v>
      </c>
      <c r="Z140">
        <v>1492.1046540000002</v>
      </c>
      <c r="AC140" t="str">
        <v>Football</v>
      </c>
      <c r="AD140">
        <v>4162.5042480000002</v>
      </c>
      <c r="AF140">
        <v>1174</v>
      </c>
      <c r="AG140" t="str">
        <v>Jeans</v>
      </c>
      <c r="AH140">
        <v>2558.7774960000002</v>
      </c>
    </row>
    <row r="141" spans="1:34" x14ac:dyDescent="0.3">
      <c r="A141" s="1">
        <v>1139</v>
      </c>
      <c r="B141" s="2">
        <v>45699</v>
      </c>
      <c r="C141" s="1" t="s">
        <v>10</v>
      </c>
      <c r="D141" s="1" t="s">
        <v>47</v>
      </c>
      <c r="E141" s="1" t="s">
        <v>12</v>
      </c>
      <c r="F141" s="1">
        <v>1474.93</v>
      </c>
      <c r="G141" s="1" t="s">
        <v>157</v>
      </c>
      <c r="H141" s="2">
        <v>37189</v>
      </c>
      <c r="I141" s="2">
        <v>45710</v>
      </c>
      <c r="J141" s="1">
        <v>13.15</v>
      </c>
      <c r="K141" s="4">
        <f t="shared" si="4"/>
        <v>193.95329500000003</v>
      </c>
      <c r="L141" s="4">
        <f t="shared" si="5"/>
        <v>1280.976705</v>
      </c>
      <c r="O141">
        <v>1178</v>
      </c>
      <c r="P141">
        <v>44255</v>
      </c>
      <c r="Q141" t="str">
        <v>Central</v>
      </c>
      <c r="R141" t="str">
        <v>Laptop</v>
      </c>
      <c r="S141" t="str">
        <v>Electronics</v>
      </c>
      <c r="T141">
        <v>3846</v>
      </c>
      <c r="U141" t="str">
        <v>Pamela Randall</v>
      </c>
      <c r="V141">
        <v>30356</v>
      </c>
      <c r="W141">
        <v>44256</v>
      </c>
      <c r="X141">
        <v>1.22</v>
      </c>
      <c r="Y141">
        <v>46.921199999999999</v>
      </c>
      <c r="Z141">
        <v>3799.0788000000002</v>
      </c>
      <c r="AC141" t="str">
        <v>Jeans</v>
      </c>
      <c r="AD141">
        <v>1492.1046540000002</v>
      </c>
      <c r="AF141">
        <v>1175</v>
      </c>
      <c r="AG141" t="str">
        <v>Football</v>
      </c>
      <c r="AH141">
        <v>4162.5042480000002</v>
      </c>
    </row>
    <row r="142" spans="1:34" x14ac:dyDescent="0.3">
      <c r="A142" s="1">
        <v>1140</v>
      </c>
      <c r="B142" s="2">
        <v>45407</v>
      </c>
      <c r="C142" s="1" t="s">
        <v>26</v>
      </c>
      <c r="D142" s="1" t="s">
        <v>36</v>
      </c>
      <c r="E142" s="1" t="s">
        <v>28</v>
      </c>
      <c r="F142" s="1">
        <v>1790.45</v>
      </c>
      <c r="G142" s="1" t="s">
        <v>90</v>
      </c>
      <c r="H142" s="2">
        <v>29348</v>
      </c>
      <c r="I142" s="2">
        <v>45408</v>
      </c>
      <c r="J142" s="1">
        <v>19.11</v>
      </c>
      <c r="K142" s="4">
        <f t="shared" si="4"/>
        <v>342.15499499999999</v>
      </c>
      <c r="L142" s="4">
        <f t="shared" si="5"/>
        <v>1448.2950049999999</v>
      </c>
      <c r="O142">
        <v>1180</v>
      </c>
      <c r="P142">
        <v>44632</v>
      </c>
      <c r="Q142" t="str">
        <v>North</v>
      </c>
      <c r="R142" t="str">
        <v>Basketball</v>
      </c>
      <c r="S142" t="str">
        <v>Sports</v>
      </c>
      <c r="T142">
        <v>4801.1000000000004</v>
      </c>
      <c r="U142" t="str">
        <v>Adrian Howe</v>
      </c>
      <c r="V142">
        <v>37236</v>
      </c>
      <c r="W142">
        <v>44645</v>
      </c>
      <c r="X142">
        <v>46.21</v>
      </c>
      <c r="Y142">
        <v>2218.5883100000001</v>
      </c>
      <c r="Z142">
        <v>2582.5116900000003</v>
      </c>
      <c r="AC142" t="str">
        <v>Laptop</v>
      </c>
      <c r="AD142">
        <v>3799.0788000000002</v>
      </c>
      <c r="AF142">
        <v>1177</v>
      </c>
      <c r="AG142" t="str">
        <v>Jeans</v>
      </c>
      <c r="AH142">
        <v>1492.1046540000002</v>
      </c>
    </row>
    <row r="143" spans="1:34" x14ac:dyDescent="0.3">
      <c r="A143" s="1">
        <v>1141</v>
      </c>
      <c r="B143" s="2">
        <v>45878</v>
      </c>
      <c r="C143" s="1" t="s">
        <v>35</v>
      </c>
      <c r="D143" s="1" t="s">
        <v>61</v>
      </c>
      <c r="E143" s="1" t="s">
        <v>19</v>
      </c>
      <c r="F143" s="1">
        <v>808</v>
      </c>
      <c r="G143" s="1" t="s">
        <v>78</v>
      </c>
      <c r="H143" s="2">
        <v>25099</v>
      </c>
      <c r="I143" s="2">
        <v>45883</v>
      </c>
      <c r="J143" s="1">
        <v>23.32</v>
      </c>
      <c r="K143" s="4">
        <f t="shared" si="4"/>
        <v>188.4256</v>
      </c>
      <c r="L143" s="4">
        <f t="shared" si="5"/>
        <v>619.57439999999997</v>
      </c>
      <c r="O143">
        <v>1181</v>
      </c>
      <c r="P143">
        <v>44779</v>
      </c>
      <c r="Q143" t="str">
        <v>North</v>
      </c>
      <c r="R143" t="str">
        <v>Tennis Racket</v>
      </c>
      <c r="S143" t="str">
        <v>Sports</v>
      </c>
      <c r="T143">
        <v>2518.65</v>
      </c>
      <c r="U143" t="str">
        <v>Christine Wiley</v>
      </c>
      <c r="V143">
        <v>25222</v>
      </c>
      <c r="W143">
        <v>44782</v>
      </c>
      <c r="X143">
        <v>18.14</v>
      </c>
      <c r="Y143">
        <v>456.88311000000004</v>
      </c>
      <c r="Z143">
        <v>2061.7668899999999</v>
      </c>
      <c r="AC143" t="str">
        <v>Basketball</v>
      </c>
      <c r="AD143">
        <v>2582.5116900000003</v>
      </c>
      <c r="AF143">
        <v>1178</v>
      </c>
      <c r="AG143" t="str">
        <v>Laptop</v>
      </c>
      <c r="AH143">
        <v>3799.0788000000002</v>
      </c>
    </row>
    <row r="144" spans="1:34" x14ac:dyDescent="0.3">
      <c r="A144" s="1">
        <v>1142</v>
      </c>
      <c r="B144" s="2">
        <v>44208</v>
      </c>
      <c r="C144" s="1" t="s">
        <v>14</v>
      </c>
      <c r="D144" s="1" t="s">
        <v>61</v>
      </c>
      <c r="E144" s="1" t="s">
        <v>19</v>
      </c>
      <c r="F144" s="1">
        <v>1853.63</v>
      </c>
      <c r="G144" s="1" t="s">
        <v>158</v>
      </c>
      <c r="H144" s="2">
        <v>34871</v>
      </c>
      <c r="I144" s="2">
        <v>44219</v>
      </c>
      <c r="J144" s="1">
        <v>22.73</v>
      </c>
      <c r="K144" s="4">
        <f t="shared" si="4"/>
        <v>421.33009900000002</v>
      </c>
      <c r="L144" s="4">
        <f t="shared" si="5"/>
        <v>1432.2999010000001</v>
      </c>
      <c r="O144">
        <v>1184</v>
      </c>
      <c r="P144">
        <v>44227</v>
      </c>
      <c r="Q144" t="str">
        <v>South</v>
      </c>
      <c r="R144" t="str">
        <v>Sofa</v>
      </c>
      <c r="S144" t="str">
        <v>Furniture</v>
      </c>
      <c r="T144">
        <v>2092.31</v>
      </c>
      <c r="U144" t="str">
        <v>Jamie Day</v>
      </c>
      <c r="V144">
        <v>32359</v>
      </c>
      <c r="W144">
        <v>44234</v>
      </c>
      <c r="X144">
        <v>41.77</v>
      </c>
      <c r="Y144">
        <v>873.95788700000003</v>
      </c>
      <c r="Z144">
        <v>1218.3521129999999</v>
      </c>
      <c r="AC144" t="str">
        <v>Tennis Racket</v>
      </c>
      <c r="AD144">
        <v>2061.7668899999999</v>
      </c>
      <c r="AF144">
        <v>1180</v>
      </c>
      <c r="AG144" t="str">
        <v>Basketball</v>
      </c>
      <c r="AH144">
        <v>2582.5116900000003</v>
      </c>
    </row>
    <row r="145" spans="1:34" x14ac:dyDescent="0.3">
      <c r="A145" s="1">
        <v>1143</v>
      </c>
      <c r="B145" s="2">
        <v>44282</v>
      </c>
      <c r="C145" s="1" t="s">
        <v>21</v>
      </c>
      <c r="D145" s="1" t="s">
        <v>71</v>
      </c>
      <c r="E145" s="1" t="s">
        <v>31</v>
      </c>
      <c r="F145" s="1">
        <v>3908.26</v>
      </c>
      <c r="G145" s="1" t="s">
        <v>159</v>
      </c>
      <c r="H145" s="2">
        <v>38194</v>
      </c>
      <c r="I145" s="2">
        <v>44285</v>
      </c>
      <c r="J145" s="1">
        <v>5.22</v>
      </c>
      <c r="K145" s="4">
        <f t="shared" si="4"/>
        <v>204.01117199999999</v>
      </c>
      <c r="L145" s="4">
        <f t="shared" si="5"/>
        <v>3704.2488280000002</v>
      </c>
      <c r="O145">
        <v>1185</v>
      </c>
      <c r="P145">
        <v>44174</v>
      </c>
      <c r="Q145" t="str">
        <v>North</v>
      </c>
      <c r="R145" t="str">
        <v>Oil</v>
      </c>
      <c r="S145" t="str">
        <v>Groceries</v>
      </c>
      <c r="T145">
        <v>3301.51</v>
      </c>
      <c r="U145" t="str">
        <v>Tina Kirk</v>
      </c>
      <c r="V145">
        <v>29547</v>
      </c>
      <c r="W145">
        <v>44180</v>
      </c>
      <c r="X145">
        <v>14.54</v>
      </c>
      <c r="Y145">
        <v>480.03955400000001</v>
      </c>
      <c r="Z145">
        <v>2821.4704460000003</v>
      </c>
      <c r="AC145" t="str">
        <v>Sofa</v>
      </c>
      <c r="AD145">
        <v>1218.3521129999999</v>
      </c>
      <c r="AF145">
        <v>1181</v>
      </c>
      <c r="AG145" t="str">
        <v>Tennis Racket</v>
      </c>
      <c r="AH145">
        <v>2061.7668899999999</v>
      </c>
    </row>
    <row r="146" spans="1:34" x14ac:dyDescent="0.3">
      <c r="A146" s="1">
        <v>1144</v>
      </c>
      <c r="B146" s="2">
        <v>45242</v>
      </c>
      <c r="C146" s="1" t="s">
        <v>21</v>
      </c>
      <c r="D146" s="1" t="s">
        <v>30</v>
      </c>
      <c r="E146" s="1" t="s">
        <v>31</v>
      </c>
      <c r="F146" s="1">
        <v>3609.48</v>
      </c>
      <c r="G146" s="1" t="s">
        <v>43</v>
      </c>
      <c r="H146" s="2">
        <v>30054</v>
      </c>
      <c r="I146" s="2">
        <v>45249</v>
      </c>
      <c r="J146" s="1">
        <v>0.27</v>
      </c>
      <c r="K146" s="4">
        <f t="shared" si="4"/>
        <v>9.7455960000000008</v>
      </c>
      <c r="L146" s="4">
        <f t="shared" si="5"/>
        <v>3599.7344039999998</v>
      </c>
      <c r="O146">
        <v>1186</v>
      </c>
      <c r="P146">
        <v>45520</v>
      </c>
      <c r="Q146" t="str">
        <v>East</v>
      </c>
      <c r="R146" t="str">
        <v>Football</v>
      </c>
      <c r="S146" t="str">
        <v>Sports</v>
      </c>
      <c r="T146">
        <v>4889.82</v>
      </c>
      <c r="U146" t="str">
        <v>Tara Giles</v>
      </c>
      <c r="V146">
        <v>36384</v>
      </c>
      <c r="W146">
        <v>45534</v>
      </c>
      <c r="X146">
        <v>26.73</v>
      </c>
      <c r="Y146">
        <v>1307.0488859999998</v>
      </c>
      <c r="Z146">
        <v>3582.7711140000001</v>
      </c>
      <c r="AC146" t="str">
        <v>Oil</v>
      </c>
      <c r="AD146">
        <v>2821.4704460000003</v>
      </c>
      <c r="AF146">
        <v>1184</v>
      </c>
      <c r="AG146" t="str">
        <v>Sofa</v>
      </c>
      <c r="AH146">
        <v>1218.3521129999999</v>
      </c>
    </row>
    <row r="147" spans="1:34" x14ac:dyDescent="0.3">
      <c r="A147" s="1">
        <v>1145</v>
      </c>
      <c r="B147" s="2">
        <v>44771</v>
      </c>
      <c r="C147" s="1" t="s">
        <v>14</v>
      </c>
      <c r="D147" s="1" t="s">
        <v>11</v>
      </c>
      <c r="E147" s="1" t="s">
        <v>12</v>
      </c>
      <c r="F147" s="1">
        <v>527.39</v>
      </c>
      <c r="G147" s="1" t="s">
        <v>59</v>
      </c>
      <c r="H147" s="2">
        <v>25166</v>
      </c>
      <c r="I147" s="2">
        <v>44780</v>
      </c>
      <c r="J147" s="1">
        <v>14.21</v>
      </c>
      <c r="K147" s="4">
        <f t="shared" si="4"/>
        <v>74.942119000000005</v>
      </c>
      <c r="L147" s="4">
        <f t="shared" si="5"/>
        <v>452.447881</v>
      </c>
      <c r="O147">
        <v>1187</v>
      </c>
      <c r="P147">
        <v>45444</v>
      </c>
      <c r="Q147" t="str">
        <v>Central</v>
      </c>
      <c r="R147" t="str">
        <v>T-Shirt</v>
      </c>
      <c r="S147" t="str">
        <v>Clothing</v>
      </c>
      <c r="T147">
        <v>1596.91</v>
      </c>
      <c r="U147" t="str">
        <v>Sierra Elliott</v>
      </c>
      <c r="V147">
        <v>29720</v>
      </c>
      <c r="W147">
        <v>45453</v>
      </c>
      <c r="X147">
        <v>23.65</v>
      </c>
      <c r="Y147">
        <v>377.66921500000001</v>
      </c>
      <c r="Z147">
        <v>1219.240785</v>
      </c>
      <c r="AC147" t="str">
        <v>Football</v>
      </c>
      <c r="AD147">
        <v>3582.7711140000001</v>
      </c>
      <c r="AF147">
        <v>1185</v>
      </c>
      <c r="AG147" t="str">
        <v>Oil</v>
      </c>
      <c r="AH147">
        <v>2821.4704460000003</v>
      </c>
    </row>
    <row r="148" spans="1:34" x14ac:dyDescent="0.3">
      <c r="A148" s="1">
        <v>1146</v>
      </c>
      <c r="B148" s="2">
        <v>44893</v>
      </c>
      <c r="C148" s="1" t="s">
        <v>35</v>
      </c>
      <c r="D148" s="1" t="s">
        <v>30</v>
      </c>
      <c r="E148" s="1" t="s">
        <v>31</v>
      </c>
      <c r="F148" s="1">
        <v>3221.4</v>
      </c>
      <c r="G148" s="1" t="s">
        <v>160</v>
      </c>
      <c r="H148" s="2">
        <v>35321</v>
      </c>
      <c r="I148" s="2">
        <v>44900</v>
      </c>
      <c r="J148" s="1">
        <v>14.32</v>
      </c>
      <c r="K148" s="4">
        <f t="shared" si="4"/>
        <v>461.30448000000001</v>
      </c>
      <c r="L148" s="4">
        <f t="shared" si="5"/>
        <v>2760.0955199999999</v>
      </c>
      <c r="O148">
        <v>1189</v>
      </c>
      <c r="P148">
        <v>45333</v>
      </c>
      <c r="Q148" t="str">
        <v>Central</v>
      </c>
      <c r="R148" t="str">
        <v>Smartphone</v>
      </c>
      <c r="S148" t="str">
        <v>Electronics</v>
      </c>
      <c r="T148">
        <v>2712.97</v>
      </c>
      <c r="U148" t="str">
        <v>James Stevens</v>
      </c>
      <c r="V148">
        <v>30778</v>
      </c>
      <c r="W148">
        <v>45344</v>
      </c>
      <c r="X148">
        <v>6.89</v>
      </c>
      <c r="Y148">
        <v>186.923633</v>
      </c>
      <c r="Z148">
        <v>2526.0463669999999</v>
      </c>
      <c r="AC148" t="str">
        <v>T-Shirt</v>
      </c>
      <c r="AD148">
        <v>1219.240785</v>
      </c>
      <c r="AF148">
        <v>1186</v>
      </c>
      <c r="AG148" t="str">
        <v>Football</v>
      </c>
      <c r="AH148">
        <v>3582.7711140000001</v>
      </c>
    </row>
    <row r="149" spans="1:34" x14ac:dyDescent="0.3">
      <c r="A149" s="1">
        <v>1147</v>
      </c>
      <c r="B149" s="2">
        <v>44609</v>
      </c>
      <c r="C149" s="1" t="s">
        <v>14</v>
      </c>
      <c r="D149" s="1" t="s">
        <v>69</v>
      </c>
      <c r="E149" s="1" t="s">
        <v>31</v>
      </c>
      <c r="F149" s="1">
        <v>2149.13</v>
      </c>
      <c r="G149" s="1" t="s">
        <v>161</v>
      </c>
      <c r="H149" s="2">
        <v>29386</v>
      </c>
      <c r="I149" s="2">
        <v>44612</v>
      </c>
      <c r="J149" s="1">
        <v>39.03</v>
      </c>
      <c r="K149" s="4">
        <f t="shared" si="4"/>
        <v>838.80543900000009</v>
      </c>
      <c r="L149" s="4">
        <f t="shared" si="5"/>
        <v>1310.3245609999999</v>
      </c>
      <c r="O149">
        <v>1190</v>
      </c>
      <c r="P149">
        <v>44120</v>
      </c>
      <c r="Q149" t="str">
        <v>West</v>
      </c>
      <c r="R149" t="str">
        <v>Milk</v>
      </c>
      <c r="S149" t="str">
        <v>Groceries</v>
      </c>
      <c r="T149">
        <v>4441.87</v>
      </c>
      <c r="U149" t="str">
        <v>Tina Kirk</v>
      </c>
      <c r="V149">
        <v>29547</v>
      </c>
      <c r="W149">
        <v>44123</v>
      </c>
      <c r="X149">
        <v>1.02</v>
      </c>
      <c r="Y149">
        <v>45.307074</v>
      </c>
      <c r="Z149">
        <v>4396.5629259999996</v>
      </c>
      <c r="AC149" t="str">
        <v>Smartphone</v>
      </c>
      <c r="AD149">
        <v>2526.0463669999999</v>
      </c>
      <c r="AF149">
        <v>1187</v>
      </c>
      <c r="AG149" t="str">
        <v>T-Shirt</v>
      </c>
      <c r="AH149">
        <v>1219.240785</v>
      </c>
    </row>
    <row r="150" spans="1:34" x14ac:dyDescent="0.3">
      <c r="A150" s="1">
        <v>1148</v>
      </c>
      <c r="B150" s="2">
        <v>44281</v>
      </c>
      <c r="C150" s="1" t="s">
        <v>21</v>
      </c>
      <c r="D150" s="1" t="s">
        <v>24</v>
      </c>
      <c r="E150" s="1" t="s">
        <v>19</v>
      </c>
      <c r="F150" s="1">
        <v>4310.55</v>
      </c>
      <c r="G150" s="1" t="s">
        <v>162</v>
      </c>
      <c r="H150" s="2">
        <v>32712</v>
      </c>
      <c r="I150" s="2">
        <v>44282</v>
      </c>
      <c r="J150" s="1">
        <v>19.37</v>
      </c>
      <c r="K150" s="4">
        <f t="shared" si="4"/>
        <v>834.9535350000001</v>
      </c>
      <c r="L150" s="4">
        <f t="shared" si="5"/>
        <v>3475.5964650000001</v>
      </c>
      <c r="O150">
        <v>1191</v>
      </c>
      <c r="P150">
        <v>45266</v>
      </c>
      <c r="Q150" t="str">
        <v>North</v>
      </c>
      <c r="R150" t="str">
        <v>Jacket</v>
      </c>
      <c r="S150" t="str">
        <v>Clothing</v>
      </c>
      <c r="T150">
        <v>4864.68</v>
      </c>
      <c r="U150" t="str">
        <v>Curtis George</v>
      </c>
      <c r="V150">
        <v>31467</v>
      </c>
      <c r="W150">
        <v>45277</v>
      </c>
      <c r="X150">
        <v>35.32</v>
      </c>
      <c r="Y150">
        <v>1718.2049760000002</v>
      </c>
      <c r="Z150">
        <v>3146.4750240000003</v>
      </c>
      <c r="AC150" t="str">
        <v>Milk</v>
      </c>
      <c r="AD150">
        <v>4396.5629259999996</v>
      </c>
      <c r="AF150">
        <v>1189</v>
      </c>
      <c r="AG150" t="str">
        <v>Smartphone</v>
      </c>
      <c r="AH150">
        <v>2526.0463669999999</v>
      </c>
    </row>
    <row r="151" spans="1:34" x14ac:dyDescent="0.3">
      <c r="A151" s="1">
        <v>1149</v>
      </c>
      <c r="B151" s="2">
        <v>44709</v>
      </c>
      <c r="C151" s="1" t="s">
        <v>10</v>
      </c>
      <c r="D151" s="1" t="s">
        <v>49</v>
      </c>
      <c r="E151" s="1" t="s">
        <v>12</v>
      </c>
      <c r="F151" s="1">
        <v>4335.75</v>
      </c>
      <c r="G151" s="1" t="s">
        <v>163</v>
      </c>
      <c r="H151" s="2">
        <v>30364</v>
      </c>
      <c r="I151" s="2">
        <v>44715</v>
      </c>
      <c r="J151" s="1">
        <v>8.9700000000000006</v>
      </c>
      <c r="K151" s="4">
        <f t="shared" si="4"/>
        <v>388.91677500000003</v>
      </c>
      <c r="L151" s="4">
        <f t="shared" si="5"/>
        <v>3946.8332249999999</v>
      </c>
      <c r="O151">
        <v>1192</v>
      </c>
      <c r="P151">
        <v>44285</v>
      </c>
      <c r="Q151" t="str">
        <v>Central</v>
      </c>
      <c r="R151" t="str">
        <v>Bed</v>
      </c>
      <c r="S151" t="str">
        <v>Furniture</v>
      </c>
      <c r="T151">
        <v>4013.62</v>
      </c>
      <c r="U151" t="str">
        <v>Lisa Vega</v>
      </c>
      <c r="V151">
        <v>34164</v>
      </c>
      <c r="W151">
        <v>44292</v>
      </c>
      <c r="X151">
        <v>45.04</v>
      </c>
      <c r="Y151">
        <v>1807.7344479999999</v>
      </c>
      <c r="Z151">
        <v>2205.8855519999997</v>
      </c>
      <c r="AC151" t="str">
        <v>Jacket</v>
      </c>
      <c r="AD151">
        <v>3146.4750240000003</v>
      </c>
      <c r="AF151">
        <v>1190</v>
      </c>
      <c r="AG151" t="str">
        <v>Milk</v>
      </c>
      <c r="AH151">
        <v>4396.5629259999996</v>
      </c>
    </row>
    <row r="152" spans="1:34" x14ac:dyDescent="0.3">
      <c r="A152" s="1">
        <v>1150</v>
      </c>
      <c r="B152" s="2">
        <v>45252</v>
      </c>
      <c r="C152" s="1" t="s">
        <v>35</v>
      </c>
      <c r="D152" s="1" t="s">
        <v>69</v>
      </c>
      <c r="E152" s="1" t="s">
        <v>12</v>
      </c>
      <c r="F152" s="1">
        <v>3821.32</v>
      </c>
      <c r="G152" s="1" t="s">
        <v>164</v>
      </c>
      <c r="H152" s="2">
        <v>28046</v>
      </c>
      <c r="I152" s="2">
        <v>45263</v>
      </c>
      <c r="J152" s="1">
        <v>26.4</v>
      </c>
      <c r="K152" s="4">
        <f t="shared" si="4"/>
        <v>1008.8284800000001</v>
      </c>
      <c r="L152" s="4">
        <f t="shared" si="5"/>
        <v>2812.49152</v>
      </c>
      <c r="O152">
        <v>1193</v>
      </c>
      <c r="P152">
        <v>45437</v>
      </c>
      <c r="Q152" t="str">
        <v>North</v>
      </c>
      <c r="R152" t="str">
        <v>Wardrobe</v>
      </c>
      <c r="S152" t="str">
        <v>Furniture</v>
      </c>
      <c r="T152">
        <v>3465.02</v>
      </c>
      <c r="U152" t="str">
        <v>Benjamin Travis</v>
      </c>
      <c r="V152">
        <v>33354</v>
      </c>
      <c r="W152">
        <v>45449</v>
      </c>
      <c r="X152">
        <v>18.989999999999998</v>
      </c>
      <c r="Y152">
        <v>658.00729799999999</v>
      </c>
      <c r="Z152">
        <v>2807.012702</v>
      </c>
      <c r="AC152" t="str">
        <v>Bed</v>
      </c>
      <c r="AD152">
        <v>2205.8855519999997</v>
      </c>
      <c r="AF152">
        <v>1191</v>
      </c>
      <c r="AG152" t="str">
        <v>Jacket</v>
      </c>
      <c r="AH152">
        <v>3146.4750240000003</v>
      </c>
    </row>
    <row r="153" spans="1:34" x14ac:dyDescent="0.3">
      <c r="A153" s="1">
        <v>1151</v>
      </c>
      <c r="B153" s="2">
        <v>44914</v>
      </c>
      <c r="C153" s="1" t="s">
        <v>10</v>
      </c>
      <c r="D153" s="1" t="s">
        <v>65</v>
      </c>
      <c r="E153" s="1" t="s">
        <v>19</v>
      </c>
      <c r="F153" s="1">
        <v>2012.94</v>
      </c>
      <c r="G153" s="1" t="s">
        <v>165</v>
      </c>
      <c r="H153" s="2">
        <v>29887</v>
      </c>
      <c r="I153" s="2">
        <v>44915</v>
      </c>
      <c r="J153" s="1">
        <v>44.45</v>
      </c>
      <c r="K153" s="4">
        <f t="shared" si="4"/>
        <v>894.75183000000004</v>
      </c>
      <c r="L153" s="4">
        <f t="shared" si="5"/>
        <v>1118.1881699999999</v>
      </c>
      <c r="O153">
        <v>1194</v>
      </c>
      <c r="P153">
        <v>45746</v>
      </c>
      <c r="Q153" t="str">
        <v>North</v>
      </c>
      <c r="R153" t="str">
        <v>Smartphone</v>
      </c>
      <c r="S153" t="str">
        <v>Electronics</v>
      </c>
      <c r="T153">
        <v>4434.63</v>
      </c>
      <c r="U153" t="str">
        <v>Rebecca Fletcher</v>
      </c>
      <c r="V153">
        <v>37495</v>
      </c>
      <c r="W153">
        <v>45750</v>
      </c>
      <c r="X153">
        <v>35.770000000000003</v>
      </c>
      <c r="Y153">
        <v>1586.267151</v>
      </c>
      <c r="Z153">
        <v>2848.3628490000001</v>
      </c>
      <c r="AC153" t="str">
        <v>Wardrobe</v>
      </c>
      <c r="AD153">
        <v>2807.012702</v>
      </c>
      <c r="AF153">
        <v>1192</v>
      </c>
      <c r="AG153" t="str">
        <v>Bed</v>
      </c>
      <c r="AH153">
        <v>2205.8855519999997</v>
      </c>
    </row>
    <row r="154" spans="1:34" x14ac:dyDescent="0.3">
      <c r="A154" s="1">
        <v>1152</v>
      </c>
      <c r="B154" s="2">
        <v>45518</v>
      </c>
      <c r="C154" s="1" t="s">
        <v>14</v>
      </c>
      <c r="D154" s="1" t="s">
        <v>88</v>
      </c>
      <c r="E154" s="1" t="s">
        <v>16</v>
      </c>
      <c r="F154" s="1">
        <v>4403.59</v>
      </c>
      <c r="G154" s="1" t="s">
        <v>166</v>
      </c>
      <c r="H154" s="2">
        <v>27879</v>
      </c>
      <c r="I154" s="2">
        <v>45526</v>
      </c>
      <c r="J154" s="1">
        <v>20.79</v>
      </c>
      <c r="K154" s="4">
        <f t="shared" si="4"/>
        <v>915.50636100000008</v>
      </c>
      <c r="L154" s="4">
        <f t="shared" si="5"/>
        <v>3488.0836389999999</v>
      </c>
      <c r="O154">
        <v>1197</v>
      </c>
      <c r="P154">
        <v>45554</v>
      </c>
      <c r="Q154" t="str">
        <v>Central</v>
      </c>
      <c r="R154" t="str">
        <v>Oil</v>
      </c>
      <c r="S154" t="str">
        <v>Groceries</v>
      </c>
      <c r="T154">
        <v>4798.92</v>
      </c>
      <c r="U154" t="str">
        <v>Christina Bennett</v>
      </c>
      <c r="V154">
        <v>36120</v>
      </c>
      <c r="W154">
        <v>45561</v>
      </c>
      <c r="X154">
        <v>34.590000000000003</v>
      </c>
      <c r="Y154">
        <v>1659.9464280000002</v>
      </c>
      <c r="Z154">
        <v>3138.9735719999999</v>
      </c>
      <c r="AC154" t="str">
        <v>Smartphone</v>
      </c>
      <c r="AD154">
        <v>2848.3628490000001</v>
      </c>
      <c r="AF154">
        <v>1193</v>
      </c>
      <c r="AG154" t="str">
        <v>Wardrobe</v>
      </c>
      <c r="AH154">
        <v>2807.012702</v>
      </c>
    </row>
    <row r="155" spans="1:34" x14ac:dyDescent="0.3">
      <c r="A155" s="1">
        <v>1153</v>
      </c>
      <c r="B155" s="2">
        <v>45326</v>
      </c>
      <c r="C155" s="1" t="s">
        <v>21</v>
      </c>
      <c r="D155" s="1" t="s">
        <v>33</v>
      </c>
      <c r="E155" s="1" t="s">
        <v>16</v>
      </c>
      <c r="F155" s="1">
        <v>3632.86</v>
      </c>
      <c r="G155" s="1" t="s">
        <v>167</v>
      </c>
      <c r="H155" s="2">
        <v>24672</v>
      </c>
      <c r="I155" s="2">
        <v>45334</v>
      </c>
      <c r="J155" s="1">
        <v>42.47</v>
      </c>
      <c r="K155" s="4">
        <f t="shared" si="4"/>
        <v>1542.875642</v>
      </c>
      <c r="L155" s="4">
        <f t="shared" si="5"/>
        <v>2089.9843580000002</v>
      </c>
      <c r="O155">
        <v>1199</v>
      </c>
      <c r="P155">
        <v>44435</v>
      </c>
      <c r="Q155" t="str">
        <v>North</v>
      </c>
      <c r="R155" t="str">
        <v>Football</v>
      </c>
      <c r="S155" t="str">
        <v>Sports</v>
      </c>
      <c r="T155">
        <v>4449.97</v>
      </c>
      <c r="U155" t="str">
        <v>Adam Martinez</v>
      </c>
      <c r="V155">
        <v>22599</v>
      </c>
      <c r="W155">
        <v>44448</v>
      </c>
      <c r="X155">
        <v>4.2699999999999996</v>
      </c>
      <c r="Y155">
        <v>190.01371899999998</v>
      </c>
      <c r="Z155">
        <v>4259.9562810000007</v>
      </c>
      <c r="AC155" t="str">
        <v>Oil</v>
      </c>
      <c r="AD155">
        <v>3138.9735719999999</v>
      </c>
      <c r="AF155">
        <v>1194</v>
      </c>
      <c r="AG155" t="str">
        <v>Smartphone</v>
      </c>
      <c r="AH155">
        <v>2848.3628490000001</v>
      </c>
    </row>
    <row r="156" spans="1:34" x14ac:dyDescent="0.3">
      <c r="A156" s="1">
        <v>1154</v>
      </c>
      <c r="B156" s="2">
        <v>45488</v>
      </c>
      <c r="C156" s="1" t="s">
        <v>21</v>
      </c>
      <c r="D156" s="1" t="s">
        <v>27</v>
      </c>
      <c r="E156" s="1" t="s">
        <v>28</v>
      </c>
      <c r="F156" s="1">
        <v>2638.14</v>
      </c>
      <c r="G156" s="1" t="s">
        <v>168</v>
      </c>
      <c r="H156" s="2">
        <v>37674</v>
      </c>
      <c r="I156" s="2">
        <v>45496</v>
      </c>
      <c r="J156" s="1">
        <v>39.82</v>
      </c>
      <c r="K156" s="4">
        <f t="shared" si="4"/>
        <v>1050.5073479999999</v>
      </c>
      <c r="L156" s="4">
        <f t="shared" si="5"/>
        <v>1587.632652</v>
      </c>
      <c r="O156">
        <v>1200</v>
      </c>
      <c r="P156">
        <v>45089</v>
      </c>
      <c r="Q156" t="str">
        <v>East</v>
      </c>
      <c r="R156" t="str">
        <v>Basketball</v>
      </c>
      <c r="S156" t="str">
        <v>Sports</v>
      </c>
      <c r="T156">
        <v>3878.91</v>
      </c>
      <c r="U156" t="str">
        <v>Patricia Burton</v>
      </c>
      <c r="V156">
        <v>24673</v>
      </c>
      <c r="W156">
        <v>45096</v>
      </c>
      <c r="X156">
        <v>39.96</v>
      </c>
      <c r="Y156">
        <v>1550.012436</v>
      </c>
      <c r="Z156">
        <v>2328.8975639999999</v>
      </c>
      <c r="AC156" t="str">
        <v>Football</v>
      </c>
      <c r="AD156">
        <v>4259.9562810000007</v>
      </c>
      <c r="AF156">
        <v>1197</v>
      </c>
      <c r="AG156" t="str">
        <v>Oil</v>
      </c>
      <c r="AH156">
        <v>3138.9735719999999</v>
      </c>
    </row>
    <row r="157" spans="1:34" x14ac:dyDescent="0.3">
      <c r="A157" s="1">
        <v>1155</v>
      </c>
      <c r="B157" s="2">
        <v>44780</v>
      </c>
      <c r="C157" s="1" t="s">
        <v>26</v>
      </c>
      <c r="D157" s="1" t="s">
        <v>53</v>
      </c>
      <c r="E157" s="1" t="s">
        <v>28</v>
      </c>
      <c r="F157" s="1">
        <v>4876.3599999999997</v>
      </c>
      <c r="G157" s="1" t="s">
        <v>169</v>
      </c>
      <c r="H157" s="2">
        <v>37894</v>
      </c>
      <c r="I157" s="2">
        <v>44794</v>
      </c>
      <c r="J157" s="1">
        <v>48.53</v>
      </c>
      <c r="K157" s="4">
        <f t="shared" si="4"/>
        <v>2366.4975079999999</v>
      </c>
      <c r="L157" s="4">
        <f t="shared" si="5"/>
        <v>2509.8624919999997</v>
      </c>
      <c r="O157">
        <v>1201</v>
      </c>
      <c r="P157">
        <v>44968</v>
      </c>
      <c r="Q157" t="str">
        <v>South</v>
      </c>
      <c r="R157" t="str">
        <v>Sofa</v>
      </c>
      <c r="S157" t="str">
        <v>Furniture</v>
      </c>
      <c r="T157">
        <v>3955.84</v>
      </c>
      <c r="U157" t="str">
        <v>Tyler Frye</v>
      </c>
      <c r="V157">
        <v>22210</v>
      </c>
      <c r="W157">
        <v>44969</v>
      </c>
      <c r="X157">
        <v>18.329999999999998</v>
      </c>
      <c r="Y157">
        <v>725.10547199999996</v>
      </c>
      <c r="Z157">
        <v>3230.734528</v>
      </c>
      <c r="AC157" t="str">
        <v>Basketball</v>
      </c>
      <c r="AD157">
        <v>2328.8975639999999</v>
      </c>
      <c r="AF157">
        <v>1199</v>
      </c>
      <c r="AG157" t="str">
        <v>Football</v>
      </c>
      <c r="AH157">
        <v>4259.9562810000007</v>
      </c>
    </row>
    <row r="158" spans="1:34" x14ac:dyDescent="0.3">
      <c r="A158" s="1">
        <v>1156</v>
      </c>
      <c r="B158" s="2">
        <v>45019</v>
      </c>
      <c r="C158" s="1" t="s">
        <v>10</v>
      </c>
      <c r="D158" s="1" t="s">
        <v>11</v>
      </c>
      <c r="E158" s="1" t="s">
        <v>12</v>
      </c>
      <c r="F158" s="1">
        <v>222.74</v>
      </c>
      <c r="G158" s="1" t="s">
        <v>68</v>
      </c>
      <c r="H158" s="2">
        <v>22079</v>
      </c>
      <c r="I158" s="2">
        <v>45031</v>
      </c>
      <c r="J158" s="1">
        <v>25.77</v>
      </c>
      <c r="K158" s="4">
        <f t="shared" si="4"/>
        <v>57.400098</v>
      </c>
      <c r="L158" s="4">
        <f t="shared" si="5"/>
        <v>165.339902</v>
      </c>
      <c r="O158">
        <v>1203</v>
      </c>
      <c r="P158">
        <v>45345</v>
      </c>
      <c r="Q158" t="str">
        <v>Central</v>
      </c>
      <c r="R158" t="str">
        <v>Wheat</v>
      </c>
      <c r="S158" t="str">
        <v>Groceries</v>
      </c>
      <c r="T158">
        <v>2358</v>
      </c>
      <c r="U158" t="str">
        <v>Sierra Elliott</v>
      </c>
      <c r="V158">
        <v>29720</v>
      </c>
      <c r="W158">
        <v>45346</v>
      </c>
      <c r="X158">
        <v>47.61</v>
      </c>
      <c r="Y158">
        <v>1122.6437999999998</v>
      </c>
      <c r="Z158">
        <v>1235.3562000000002</v>
      </c>
      <c r="AC158" t="str">
        <v>Sofa</v>
      </c>
      <c r="AD158">
        <v>3230.734528</v>
      </c>
      <c r="AF158">
        <v>1200</v>
      </c>
      <c r="AG158" t="str">
        <v>Basketball</v>
      </c>
      <c r="AH158">
        <v>2328.8975639999999</v>
      </c>
    </row>
    <row r="159" spans="1:34" x14ac:dyDescent="0.3">
      <c r="A159" s="1">
        <v>1157</v>
      </c>
      <c r="B159" s="2">
        <v>44954</v>
      </c>
      <c r="C159" s="1" t="s">
        <v>26</v>
      </c>
      <c r="D159" s="1" t="s">
        <v>24</v>
      </c>
      <c r="E159" s="1" t="s">
        <v>19</v>
      </c>
      <c r="F159" s="1">
        <v>1279.19</v>
      </c>
      <c r="G159" s="1" t="s">
        <v>170</v>
      </c>
      <c r="H159" s="2">
        <v>34205</v>
      </c>
      <c r="I159" s="2">
        <v>44960</v>
      </c>
      <c r="J159" s="1">
        <v>43.33</v>
      </c>
      <c r="K159" s="4">
        <f t="shared" si="4"/>
        <v>554.27302699999996</v>
      </c>
      <c r="L159" s="4">
        <f t="shared" si="5"/>
        <v>724.9169730000001</v>
      </c>
      <c r="O159">
        <v>1204</v>
      </c>
      <c r="P159">
        <v>44468</v>
      </c>
      <c r="Q159" t="str">
        <v>East</v>
      </c>
      <c r="R159" t="str">
        <v>Smartphone</v>
      </c>
      <c r="S159" t="str">
        <v>Electronics</v>
      </c>
      <c r="T159">
        <v>4910.2700000000004</v>
      </c>
      <c r="U159" t="str">
        <v>John Adams</v>
      </c>
      <c r="V159">
        <v>22016</v>
      </c>
      <c r="W159">
        <v>44481</v>
      </c>
      <c r="X159">
        <v>0.52</v>
      </c>
      <c r="Y159">
        <v>25.533404000000001</v>
      </c>
      <c r="Z159">
        <v>4884.7365960000006</v>
      </c>
      <c r="AC159" t="str">
        <v>Wheat</v>
      </c>
      <c r="AD159">
        <v>1235.3562000000002</v>
      </c>
      <c r="AF159">
        <v>1201</v>
      </c>
      <c r="AG159" t="str">
        <v>Sofa</v>
      </c>
      <c r="AH159">
        <v>3230.734528</v>
      </c>
    </row>
    <row r="160" spans="1:34" x14ac:dyDescent="0.3">
      <c r="A160" s="1">
        <v>1158</v>
      </c>
      <c r="B160" s="2">
        <v>44956</v>
      </c>
      <c r="C160" s="1" t="s">
        <v>35</v>
      </c>
      <c r="D160" s="1" t="s">
        <v>88</v>
      </c>
      <c r="E160" s="1" t="s">
        <v>16</v>
      </c>
      <c r="F160" s="1">
        <v>355.11</v>
      </c>
      <c r="G160" s="1" t="s">
        <v>79</v>
      </c>
      <c r="H160" s="2">
        <v>28675</v>
      </c>
      <c r="I160" s="2">
        <v>44969</v>
      </c>
      <c r="J160" s="1">
        <v>40.58</v>
      </c>
      <c r="K160" s="4">
        <f t="shared" si="4"/>
        <v>144.10363799999999</v>
      </c>
      <c r="L160" s="4">
        <f t="shared" si="5"/>
        <v>211.00636200000002</v>
      </c>
      <c r="O160">
        <v>1207</v>
      </c>
      <c r="P160">
        <v>44585</v>
      </c>
      <c r="Q160" t="str">
        <v>West</v>
      </c>
      <c r="R160" t="str">
        <v>Jeans</v>
      </c>
      <c r="S160" t="str">
        <v>Clothing</v>
      </c>
      <c r="T160">
        <v>2724.62</v>
      </c>
      <c r="U160" t="str">
        <v>Cody Mason</v>
      </c>
      <c r="V160">
        <v>31598</v>
      </c>
      <c r="W160">
        <v>44599</v>
      </c>
      <c r="X160">
        <v>39.33</v>
      </c>
      <c r="Y160">
        <v>1071.593046</v>
      </c>
      <c r="Z160">
        <v>1653.0269539999999</v>
      </c>
      <c r="AC160" t="str">
        <v>Smartphone</v>
      </c>
      <c r="AD160">
        <v>4884.7365960000006</v>
      </c>
      <c r="AF160">
        <v>1203</v>
      </c>
      <c r="AG160" t="str">
        <v>Wheat</v>
      </c>
      <c r="AH160">
        <v>1235.3562000000002</v>
      </c>
    </row>
    <row r="161" spans="1:34" x14ac:dyDescent="0.3">
      <c r="A161" s="1">
        <v>1159</v>
      </c>
      <c r="B161" s="2">
        <v>45880</v>
      </c>
      <c r="C161" s="1" t="s">
        <v>26</v>
      </c>
      <c r="D161" s="1" t="s">
        <v>53</v>
      </c>
      <c r="E161" s="1" t="s">
        <v>28</v>
      </c>
      <c r="F161" s="1">
        <v>4313.16</v>
      </c>
      <c r="G161" s="1" t="s">
        <v>171</v>
      </c>
      <c r="H161" s="2">
        <v>31261</v>
      </c>
      <c r="I161" s="2">
        <v>45884</v>
      </c>
      <c r="J161" s="1">
        <v>46.82</v>
      </c>
      <c r="K161" s="4">
        <f t="shared" si="4"/>
        <v>2019.4215119999999</v>
      </c>
      <c r="L161" s="4">
        <f t="shared" si="5"/>
        <v>2293.738488</v>
      </c>
      <c r="O161">
        <v>1208</v>
      </c>
      <c r="P161">
        <v>45028</v>
      </c>
      <c r="Q161" t="str">
        <v>North</v>
      </c>
      <c r="R161" t="str">
        <v>Wardrobe</v>
      </c>
      <c r="S161" t="str">
        <v>Furniture</v>
      </c>
      <c r="T161">
        <v>1636.83</v>
      </c>
      <c r="U161" t="str">
        <v>Amber Shaw</v>
      </c>
      <c r="V161">
        <v>25341</v>
      </c>
      <c r="W161">
        <v>45040</v>
      </c>
      <c r="X161">
        <v>11.01</v>
      </c>
      <c r="Y161">
        <v>180.21498299999999</v>
      </c>
      <c r="Z161">
        <v>1456.6150169999999</v>
      </c>
      <c r="AC161" t="str">
        <v>Jeans</v>
      </c>
      <c r="AD161">
        <v>1653.0269539999999</v>
      </c>
      <c r="AF161">
        <v>1204</v>
      </c>
      <c r="AG161" t="str">
        <v>Smartphone</v>
      </c>
      <c r="AH161">
        <v>4884.7365960000006</v>
      </c>
    </row>
    <row r="162" spans="1:34" x14ac:dyDescent="0.3">
      <c r="A162" s="1">
        <v>1160</v>
      </c>
      <c r="B162" s="2">
        <v>45804</v>
      </c>
      <c r="C162" s="1" t="s">
        <v>21</v>
      </c>
      <c r="D162" s="1" t="s">
        <v>44</v>
      </c>
      <c r="E162" s="1" t="s">
        <v>16</v>
      </c>
      <c r="F162" s="1">
        <v>492.96</v>
      </c>
      <c r="G162" s="1" t="s">
        <v>172</v>
      </c>
      <c r="H162" s="2">
        <v>36571</v>
      </c>
      <c r="I162" s="2">
        <v>45814</v>
      </c>
      <c r="J162" s="1">
        <v>21.92</v>
      </c>
      <c r="K162" s="4">
        <f t="shared" si="4"/>
        <v>108.056832</v>
      </c>
      <c r="L162" s="4">
        <f t="shared" si="5"/>
        <v>384.90316799999999</v>
      </c>
      <c r="O162">
        <v>1210</v>
      </c>
      <c r="P162">
        <v>44387</v>
      </c>
      <c r="Q162" t="str">
        <v>Central</v>
      </c>
      <c r="R162" t="str">
        <v>Laptop</v>
      </c>
      <c r="S162" t="str">
        <v>Electronics</v>
      </c>
      <c r="T162">
        <v>3390.55</v>
      </c>
      <c r="U162" t="str">
        <v>Lisa Hill</v>
      </c>
      <c r="V162">
        <v>23469</v>
      </c>
      <c r="W162">
        <v>44389</v>
      </c>
      <c r="X162">
        <v>16.8</v>
      </c>
      <c r="Y162">
        <v>569.61240000000009</v>
      </c>
      <c r="Z162">
        <v>2820.9376000000002</v>
      </c>
      <c r="AC162" t="str">
        <v>Wardrobe</v>
      </c>
      <c r="AD162">
        <v>1456.6150169999999</v>
      </c>
      <c r="AF162">
        <v>1207</v>
      </c>
      <c r="AG162" t="str">
        <v>Jeans</v>
      </c>
      <c r="AH162">
        <v>1653.0269539999999</v>
      </c>
    </row>
    <row r="163" spans="1:34" x14ac:dyDescent="0.3">
      <c r="A163" s="1">
        <v>1161</v>
      </c>
      <c r="B163" s="2">
        <v>45796</v>
      </c>
      <c r="C163" s="1" t="s">
        <v>26</v>
      </c>
      <c r="D163" s="1" t="s">
        <v>44</v>
      </c>
      <c r="E163" s="1" t="s">
        <v>16</v>
      </c>
      <c r="F163" s="1">
        <v>1635.84</v>
      </c>
      <c r="G163" s="1" t="s">
        <v>160</v>
      </c>
      <c r="H163" s="2">
        <v>35321</v>
      </c>
      <c r="I163" s="2">
        <v>45804</v>
      </c>
      <c r="J163" s="1">
        <v>5.75</v>
      </c>
      <c r="K163" s="4">
        <f t="shared" si="4"/>
        <v>94.0608</v>
      </c>
      <c r="L163" s="4">
        <f t="shared" si="5"/>
        <v>1541.7791999999999</v>
      </c>
      <c r="O163">
        <v>1211</v>
      </c>
      <c r="P163">
        <v>44412</v>
      </c>
      <c r="Q163" t="str">
        <v>North</v>
      </c>
      <c r="R163" t="str">
        <v>Chair</v>
      </c>
      <c r="S163" t="str">
        <v>Furniture</v>
      </c>
      <c r="T163">
        <v>2135.7600000000002</v>
      </c>
      <c r="U163" t="str">
        <v>Erik Garcia</v>
      </c>
      <c r="V163">
        <v>24802</v>
      </c>
      <c r="W163">
        <v>44426</v>
      </c>
      <c r="X163">
        <v>38.24</v>
      </c>
      <c r="Y163">
        <v>816.71462400000007</v>
      </c>
      <c r="Z163">
        <v>1319.045376</v>
      </c>
      <c r="AC163" t="str">
        <v>Laptop</v>
      </c>
      <c r="AD163">
        <v>2820.9376000000002</v>
      </c>
      <c r="AF163">
        <v>1208</v>
      </c>
      <c r="AG163" t="str">
        <v>Wardrobe</v>
      </c>
      <c r="AH163">
        <v>1456.6150169999999</v>
      </c>
    </row>
    <row r="164" spans="1:34" x14ac:dyDescent="0.3">
      <c r="A164" s="1">
        <v>1162</v>
      </c>
      <c r="B164" s="2">
        <v>45352</v>
      </c>
      <c r="C164" s="1" t="s">
        <v>21</v>
      </c>
      <c r="D164" s="1" t="s">
        <v>49</v>
      </c>
      <c r="E164" s="1" t="s">
        <v>12</v>
      </c>
      <c r="F164" s="1">
        <v>4145.6899999999996</v>
      </c>
      <c r="G164" s="1" t="s">
        <v>96</v>
      </c>
      <c r="H164" s="2">
        <v>36236</v>
      </c>
      <c r="I164" s="2">
        <v>45365</v>
      </c>
      <c r="J164" s="1">
        <v>14.43</v>
      </c>
      <c r="K164" s="4">
        <f t="shared" si="4"/>
        <v>598.2230669999999</v>
      </c>
      <c r="L164" s="4">
        <f t="shared" si="5"/>
        <v>3547.4669329999997</v>
      </c>
      <c r="O164">
        <v>1212</v>
      </c>
      <c r="P164">
        <v>45875</v>
      </c>
      <c r="Q164" t="str">
        <v>Central</v>
      </c>
      <c r="R164" t="str">
        <v>Cap</v>
      </c>
      <c r="S164" t="str">
        <v>Clothing</v>
      </c>
      <c r="T164">
        <v>4735.45</v>
      </c>
      <c r="U164" t="str">
        <v>Taylor Whitaker</v>
      </c>
      <c r="V164">
        <v>29887</v>
      </c>
      <c r="W164">
        <v>45888</v>
      </c>
      <c r="X164">
        <v>31.17</v>
      </c>
      <c r="Y164">
        <v>1476.039765</v>
      </c>
      <c r="Z164">
        <v>3259.4102349999998</v>
      </c>
      <c r="AC164" t="str">
        <v>Chair</v>
      </c>
      <c r="AD164">
        <v>1319.045376</v>
      </c>
      <c r="AF164">
        <v>1210</v>
      </c>
      <c r="AG164" t="str">
        <v>Laptop</v>
      </c>
      <c r="AH164">
        <v>2820.9376000000002</v>
      </c>
    </row>
    <row r="165" spans="1:34" x14ac:dyDescent="0.3">
      <c r="A165" s="1">
        <v>1163</v>
      </c>
      <c r="B165" s="2">
        <v>45008</v>
      </c>
      <c r="C165" s="1" t="s">
        <v>26</v>
      </c>
      <c r="D165" s="1" t="s">
        <v>53</v>
      </c>
      <c r="E165" s="1" t="s">
        <v>28</v>
      </c>
      <c r="F165" s="1">
        <v>4581.34</v>
      </c>
      <c r="G165" s="1" t="s">
        <v>78</v>
      </c>
      <c r="H165" s="2">
        <v>25099</v>
      </c>
      <c r="I165" s="2">
        <v>45010</v>
      </c>
      <c r="J165" s="1">
        <v>32.869999999999997</v>
      </c>
      <c r="K165" s="4">
        <f t="shared" si="4"/>
        <v>1505.8864579999999</v>
      </c>
      <c r="L165" s="4">
        <f t="shared" si="5"/>
        <v>3075.4535420000002</v>
      </c>
      <c r="O165">
        <v>1213</v>
      </c>
      <c r="P165">
        <v>44481</v>
      </c>
      <c r="Q165" t="str">
        <v>West</v>
      </c>
      <c r="R165" t="str">
        <v>Shoes</v>
      </c>
      <c r="S165" t="str">
        <v>Clothing</v>
      </c>
      <c r="T165">
        <v>2889.24</v>
      </c>
      <c r="U165" t="str">
        <v>Nicole Church</v>
      </c>
      <c r="V165">
        <v>24348</v>
      </c>
      <c r="W165">
        <v>44488</v>
      </c>
      <c r="X165">
        <v>28.37</v>
      </c>
      <c r="Y165">
        <v>819.67738799999995</v>
      </c>
      <c r="Z165">
        <v>2069.5626119999997</v>
      </c>
      <c r="AC165" t="str">
        <v>Cap</v>
      </c>
      <c r="AD165">
        <v>3259.4102349999998</v>
      </c>
      <c r="AF165">
        <v>1211</v>
      </c>
      <c r="AG165" t="str">
        <v>Chair</v>
      </c>
      <c r="AH165">
        <v>1319.045376</v>
      </c>
    </row>
    <row r="166" spans="1:34" x14ac:dyDescent="0.3">
      <c r="A166" s="1">
        <v>1164</v>
      </c>
      <c r="B166" s="2">
        <v>44551</v>
      </c>
      <c r="C166" s="1" t="s">
        <v>10</v>
      </c>
      <c r="D166" s="1" t="s">
        <v>47</v>
      </c>
      <c r="E166" s="1" t="s">
        <v>12</v>
      </c>
      <c r="F166" s="1">
        <v>1339.01</v>
      </c>
      <c r="G166" s="1" t="s">
        <v>173</v>
      </c>
      <c r="H166" s="2">
        <v>22016</v>
      </c>
      <c r="I166" s="2">
        <v>44553</v>
      </c>
      <c r="J166" s="1">
        <v>22.21</v>
      </c>
      <c r="K166" s="4">
        <f t="shared" si="4"/>
        <v>297.39412100000004</v>
      </c>
      <c r="L166" s="4">
        <f t="shared" si="5"/>
        <v>1041.6158789999999</v>
      </c>
      <c r="O166">
        <v>1214</v>
      </c>
      <c r="P166">
        <v>45507</v>
      </c>
      <c r="Q166" t="str">
        <v>South</v>
      </c>
      <c r="R166" t="str">
        <v>Headphones</v>
      </c>
      <c r="S166" t="str">
        <v>Electronics</v>
      </c>
      <c r="T166">
        <v>3022.9</v>
      </c>
      <c r="U166" t="str">
        <v>Anthony Kim</v>
      </c>
      <c r="V166">
        <v>34205</v>
      </c>
      <c r="W166">
        <v>45521</v>
      </c>
      <c r="X166">
        <v>47.72</v>
      </c>
      <c r="Y166">
        <v>1442.5278800000001</v>
      </c>
      <c r="Z166">
        <v>1580.37212</v>
      </c>
      <c r="AC166" t="str">
        <v>Shoes</v>
      </c>
      <c r="AD166">
        <v>2069.5626119999997</v>
      </c>
      <c r="AF166">
        <v>1212</v>
      </c>
      <c r="AG166" t="str">
        <v>Cap</v>
      </c>
      <c r="AH166">
        <v>3259.4102349999998</v>
      </c>
    </row>
    <row r="167" spans="1:34" x14ac:dyDescent="0.3">
      <c r="A167" s="1">
        <v>1165</v>
      </c>
      <c r="B167" s="2">
        <v>45742</v>
      </c>
      <c r="C167" s="1" t="s">
        <v>14</v>
      </c>
      <c r="D167" s="1" t="s">
        <v>15</v>
      </c>
      <c r="E167" s="1" t="s">
        <v>16</v>
      </c>
      <c r="F167" s="1">
        <v>2790.45</v>
      </c>
      <c r="G167" s="1" t="s">
        <v>157</v>
      </c>
      <c r="H167" s="2">
        <v>37189</v>
      </c>
      <c r="I167" s="2">
        <v>45752</v>
      </c>
      <c r="J167" s="1">
        <v>6.5</v>
      </c>
      <c r="K167" s="4">
        <f t="shared" si="4"/>
        <v>181.37924999999998</v>
      </c>
      <c r="L167" s="4">
        <f t="shared" si="5"/>
        <v>2609.0707499999999</v>
      </c>
      <c r="O167">
        <v>1215</v>
      </c>
      <c r="P167">
        <v>45473</v>
      </c>
      <c r="Q167" t="str">
        <v>Central</v>
      </c>
      <c r="R167" t="str">
        <v>Basketball</v>
      </c>
      <c r="S167" t="str">
        <v>Sports</v>
      </c>
      <c r="T167">
        <v>4188.75</v>
      </c>
      <c r="U167" t="str">
        <v>Brenda Scott</v>
      </c>
      <c r="V167">
        <v>34357</v>
      </c>
      <c r="W167">
        <v>45475</v>
      </c>
      <c r="X167">
        <v>38.21</v>
      </c>
      <c r="Y167">
        <v>1600.521375</v>
      </c>
      <c r="Z167">
        <v>2588.2286249999997</v>
      </c>
      <c r="AC167" t="str">
        <v>Headphones</v>
      </c>
      <c r="AD167">
        <v>1580.37212</v>
      </c>
      <c r="AF167">
        <v>1213</v>
      </c>
      <c r="AG167" t="str">
        <v>Shoes</v>
      </c>
      <c r="AH167">
        <v>2069.5626119999997</v>
      </c>
    </row>
    <row r="168" spans="1:34" x14ac:dyDescent="0.3">
      <c r="A168" s="1">
        <v>1166</v>
      </c>
      <c r="B168" s="2">
        <v>44783</v>
      </c>
      <c r="C168" s="1" t="s">
        <v>10</v>
      </c>
      <c r="D168" s="1" t="s">
        <v>24</v>
      </c>
      <c r="E168" s="1" t="s">
        <v>19</v>
      </c>
      <c r="F168" s="1">
        <v>720.87</v>
      </c>
      <c r="G168" s="1" t="s">
        <v>174</v>
      </c>
      <c r="H168" s="2">
        <v>38118</v>
      </c>
      <c r="I168" s="2">
        <v>44791</v>
      </c>
      <c r="J168" s="1">
        <v>21.76</v>
      </c>
      <c r="K168" s="4">
        <f t="shared" si="4"/>
        <v>156.861312</v>
      </c>
      <c r="L168" s="4">
        <f t="shared" si="5"/>
        <v>564.00868800000001</v>
      </c>
      <c r="O168">
        <v>1216</v>
      </c>
      <c r="P168">
        <v>44675</v>
      </c>
      <c r="Q168" t="str">
        <v>East</v>
      </c>
      <c r="R168" t="str">
        <v>Football</v>
      </c>
      <c r="S168" t="str">
        <v>Sports</v>
      </c>
      <c r="T168">
        <v>2073.79</v>
      </c>
      <c r="U168" t="str">
        <v>Sherry Henry</v>
      </c>
      <c r="V168">
        <v>38696</v>
      </c>
      <c r="W168">
        <v>44682</v>
      </c>
      <c r="X168">
        <v>25.62</v>
      </c>
      <c r="Y168">
        <v>531.30499799999996</v>
      </c>
      <c r="Z168">
        <v>1542.4850019999999</v>
      </c>
      <c r="AC168" t="str">
        <v>Basketball</v>
      </c>
      <c r="AD168">
        <v>2588.2286249999997</v>
      </c>
      <c r="AF168">
        <v>1214</v>
      </c>
      <c r="AG168" t="str">
        <v>Headphones</v>
      </c>
      <c r="AH168">
        <v>1580.37212</v>
      </c>
    </row>
    <row r="169" spans="1:34" x14ac:dyDescent="0.3">
      <c r="A169" s="1">
        <v>1167</v>
      </c>
      <c r="B169" s="2">
        <v>45151</v>
      </c>
      <c r="C169" s="1" t="s">
        <v>21</v>
      </c>
      <c r="D169" s="1" t="s">
        <v>58</v>
      </c>
      <c r="E169" s="1" t="s">
        <v>31</v>
      </c>
      <c r="F169" s="1">
        <v>1782.75</v>
      </c>
      <c r="G169" s="1" t="s">
        <v>175</v>
      </c>
      <c r="H169" s="2">
        <v>36623</v>
      </c>
      <c r="I169" s="2">
        <v>45156</v>
      </c>
      <c r="J169" s="1">
        <v>9.26</v>
      </c>
      <c r="K169" s="4">
        <f t="shared" si="4"/>
        <v>165.08265</v>
      </c>
      <c r="L169" s="4">
        <f t="shared" si="5"/>
        <v>1617.6673499999999</v>
      </c>
      <c r="O169">
        <v>1217</v>
      </c>
      <c r="P169">
        <v>44521</v>
      </c>
      <c r="Q169" t="str">
        <v>North</v>
      </c>
      <c r="R169" t="str">
        <v>Table</v>
      </c>
      <c r="S169" t="str">
        <v>Furniture</v>
      </c>
      <c r="T169">
        <v>2237.83</v>
      </c>
      <c r="U169" t="str">
        <v>Thomas Smith</v>
      </c>
      <c r="V169">
        <v>36905</v>
      </c>
      <c r="W169">
        <v>44524</v>
      </c>
      <c r="X169">
        <v>4.8600000000000003</v>
      </c>
      <c r="Y169">
        <v>108.758538</v>
      </c>
      <c r="Z169">
        <v>2129.0714619999999</v>
      </c>
      <c r="AC169" t="str">
        <v>Football</v>
      </c>
      <c r="AD169">
        <v>1542.4850019999999</v>
      </c>
      <c r="AF169">
        <v>1215</v>
      </c>
      <c r="AG169" t="str">
        <v>Basketball</v>
      </c>
      <c r="AH169">
        <v>2588.2286249999997</v>
      </c>
    </row>
    <row r="170" spans="1:34" x14ac:dyDescent="0.3">
      <c r="A170" s="1">
        <v>1168</v>
      </c>
      <c r="B170" s="2">
        <v>45093</v>
      </c>
      <c r="C170" s="1" t="s">
        <v>14</v>
      </c>
      <c r="D170" s="1" t="s">
        <v>44</v>
      </c>
      <c r="E170" s="1" t="s">
        <v>16</v>
      </c>
      <c r="F170" s="1">
        <v>2529.54</v>
      </c>
      <c r="G170" s="1" t="s">
        <v>72</v>
      </c>
      <c r="H170" s="2">
        <v>32992</v>
      </c>
      <c r="I170" s="2">
        <v>45094</v>
      </c>
      <c r="J170" s="1">
        <v>35.01</v>
      </c>
      <c r="K170" s="4">
        <f t="shared" si="4"/>
        <v>885.59195399999987</v>
      </c>
      <c r="L170" s="4">
        <f t="shared" si="5"/>
        <v>1643.948046</v>
      </c>
      <c r="O170">
        <v>1218</v>
      </c>
      <c r="P170">
        <v>44470</v>
      </c>
      <c r="Q170" t="str">
        <v>East</v>
      </c>
      <c r="R170" t="str">
        <v>Camera</v>
      </c>
      <c r="S170" t="str">
        <v>Electronics</v>
      </c>
      <c r="T170">
        <v>3830.75</v>
      </c>
      <c r="U170" t="str">
        <v>William Padilla</v>
      </c>
      <c r="V170">
        <v>23718</v>
      </c>
      <c r="W170">
        <v>44475</v>
      </c>
      <c r="X170">
        <v>39.33</v>
      </c>
      <c r="Y170">
        <v>1506.633975</v>
      </c>
      <c r="Z170">
        <v>2324.1160250000003</v>
      </c>
      <c r="AC170" t="str">
        <v>Table</v>
      </c>
      <c r="AD170">
        <v>2129.0714619999999</v>
      </c>
      <c r="AF170">
        <v>1216</v>
      </c>
      <c r="AG170" t="str">
        <v>Football</v>
      </c>
      <c r="AH170">
        <v>1542.4850019999999</v>
      </c>
    </row>
    <row r="171" spans="1:34" x14ac:dyDescent="0.3">
      <c r="A171" s="1">
        <v>1169</v>
      </c>
      <c r="B171" s="2">
        <v>44225</v>
      </c>
      <c r="C171" s="1" t="s">
        <v>14</v>
      </c>
      <c r="D171" s="1" t="s">
        <v>24</v>
      </c>
      <c r="E171" s="1" t="s">
        <v>19</v>
      </c>
      <c r="F171" s="1">
        <v>456.09</v>
      </c>
      <c r="G171" s="1" t="s">
        <v>143</v>
      </c>
      <c r="H171" s="2">
        <v>37490</v>
      </c>
      <c r="I171" s="2">
        <v>44233</v>
      </c>
      <c r="J171" s="1">
        <v>45.07</v>
      </c>
      <c r="K171" s="4">
        <f t="shared" si="4"/>
        <v>205.55976299999998</v>
      </c>
      <c r="L171" s="4">
        <f t="shared" si="5"/>
        <v>250.530237</v>
      </c>
      <c r="O171">
        <v>1220</v>
      </c>
      <c r="P171">
        <v>45194</v>
      </c>
      <c r="Q171" t="str">
        <v>North</v>
      </c>
      <c r="R171" t="str">
        <v>Smartphone</v>
      </c>
      <c r="S171" t="str">
        <v>Electronics</v>
      </c>
      <c r="T171">
        <v>3956.75</v>
      </c>
      <c r="U171" t="str">
        <v>Kerry Hines</v>
      </c>
      <c r="V171">
        <v>34011</v>
      </c>
      <c r="W171">
        <v>45205</v>
      </c>
      <c r="X171">
        <v>1.67</v>
      </c>
      <c r="Y171">
        <v>66.077725000000001</v>
      </c>
      <c r="Z171">
        <v>3890.6722749999999</v>
      </c>
      <c r="AC171" t="str">
        <v>Camera</v>
      </c>
      <c r="AD171">
        <v>2324.1160250000003</v>
      </c>
      <c r="AF171">
        <v>1217</v>
      </c>
      <c r="AG171" t="str">
        <v>Table</v>
      </c>
      <c r="AH171">
        <v>2129.0714619999999</v>
      </c>
    </row>
    <row r="172" spans="1:34" x14ac:dyDescent="0.3">
      <c r="A172" s="1">
        <v>1170</v>
      </c>
      <c r="B172" s="2">
        <v>44998</v>
      </c>
      <c r="C172" s="1" t="s">
        <v>26</v>
      </c>
      <c r="D172" s="1" t="s">
        <v>69</v>
      </c>
      <c r="E172" s="1" t="s">
        <v>31</v>
      </c>
      <c r="F172" s="1">
        <v>1253.77</v>
      </c>
      <c r="G172" s="1" t="s">
        <v>132</v>
      </c>
      <c r="H172" s="2">
        <v>34364</v>
      </c>
      <c r="I172" s="2">
        <v>45011</v>
      </c>
      <c r="J172" s="1">
        <v>10.24</v>
      </c>
      <c r="K172" s="4">
        <f t="shared" si="4"/>
        <v>128.38604800000002</v>
      </c>
      <c r="L172" s="4">
        <f t="shared" si="5"/>
        <v>1125.3839519999999</v>
      </c>
      <c r="O172">
        <v>1221</v>
      </c>
      <c r="P172">
        <v>45465</v>
      </c>
      <c r="Q172" t="str">
        <v>North</v>
      </c>
      <c r="R172" t="str">
        <v>Chair</v>
      </c>
      <c r="S172" t="str">
        <v>Furniture</v>
      </c>
      <c r="T172">
        <v>3130.27</v>
      </c>
      <c r="U172" t="str">
        <v>Melissa Holt</v>
      </c>
      <c r="V172">
        <v>29381</v>
      </c>
      <c r="W172">
        <v>45478</v>
      </c>
      <c r="X172">
        <v>44.53</v>
      </c>
      <c r="Y172">
        <v>1393.9092310000001</v>
      </c>
      <c r="Z172">
        <v>1736.3607689999999</v>
      </c>
      <c r="AC172" t="str">
        <v>Smartphone</v>
      </c>
      <c r="AD172">
        <v>3890.6722749999999</v>
      </c>
      <c r="AF172">
        <v>1218</v>
      </c>
      <c r="AG172" t="str">
        <v>Camera</v>
      </c>
      <c r="AH172">
        <v>2324.1160250000003</v>
      </c>
    </row>
    <row r="173" spans="1:34" x14ac:dyDescent="0.3">
      <c r="A173" s="1">
        <v>1171</v>
      </c>
      <c r="B173" s="2">
        <v>45820</v>
      </c>
      <c r="C173" s="1" t="s">
        <v>35</v>
      </c>
      <c r="D173" s="1" t="s">
        <v>24</v>
      </c>
      <c r="E173" s="1" t="s">
        <v>19</v>
      </c>
      <c r="F173" s="1">
        <v>271.82</v>
      </c>
      <c r="G173" s="1" t="s">
        <v>163</v>
      </c>
      <c r="H173" s="2">
        <v>30364</v>
      </c>
      <c r="I173" s="2">
        <v>45824</v>
      </c>
      <c r="J173" s="1">
        <v>42.03</v>
      </c>
      <c r="K173" s="4">
        <f t="shared" si="4"/>
        <v>114.245946</v>
      </c>
      <c r="L173" s="4">
        <f t="shared" si="5"/>
        <v>157.57405399999999</v>
      </c>
      <c r="O173">
        <v>1222</v>
      </c>
      <c r="P173">
        <v>44808</v>
      </c>
      <c r="Q173" t="str">
        <v>Central</v>
      </c>
      <c r="R173" t="str">
        <v>Chair</v>
      </c>
      <c r="S173" t="str">
        <v>Furniture</v>
      </c>
      <c r="T173">
        <v>3446.37</v>
      </c>
      <c r="U173" t="str">
        <v>Mrs. Vanessa Liu</v>
      </c>
      <c r="V173">
        <v>23988</v>
      </c>
      <c r="W173">
        <v>44814</v>
      </c>
      <c r="X173">
        <v>5.56</v>
      </c>
      <c r="Y173">
        <v>191.61817199999999</v>
      </c>
      <c r="Z173">
        <v>3254.7518279999999</v>
      </c>
      <c r="AC173" t="str">
        <v>Chair</v>
      </c>
      <c r="AD173">
        <v>1736.3607689999999</v>
      </c>
      <c r="AF173">
        <v>1220</v>
      </c>
      <c r="AG173" t="str">
        <v>Smartphone</v>
      </c>
      <c r="AH173">
        <v>3890.6722749999999</v>
      </c>
    </row>
    <row r="174" spans="1:34" x14ac:dyDescent="0.3">
      <c r="A174" s="1">
        <v>1172</v>
      </c>
      <c r="B174" s="2">
        <v>44617</v>
      </c>
      <c r="C174" s="1" t="s">
        <v>14</v>
      </c>
      <c r="D174" s="1" t="s">
        <v>55</v>
      </c>
      <c r="E174" s="1" t="s">
        <v>31</v>
      </c>
      <c r="F174" s="1">
        <v>3804.2</v>
      </c>
      <c r="G174" s="1" t="s">
        <v>167</v>
      </c>
      <c r="H174" s="2">
        <v>24672</v>
      </c>
      <c r="I174" s="2">
        <v>44620</v>
      </c>
      <c r="J174" s="1">
        <v>27.88</v>
      </c>
      <c r="K174" s="4">
        <f t="shared" si="4"/>
        <v>1060.61096</v>
      </c>
      <c r="L174" s="4">
        <f t="shared" si="5"/>
        <v>2743.5890399999998</v>
      </c>
      <c r="O174">
        <v>1223</v>
      </c>
      <c r="P174">
        <v>45167</v>
      </c>
      <c r="Q174" t="str">
        <v>Central</v>
      </c>
      <c r="R174" t="str">
        <v>Wardrobe</v>
      </c>
      <c r="S174" t="str">
        <v>Furniture</v>
      </c>
      <c r="T174">
        <v>2497.2600000000002</v>
      </c>
      <c r="U174" t="str">
        <v>Edward Gonzalez</v>
      </c>
      <c r="V174">
        <v>38750</v>
      </c>
      <c r="W174">
        <v>45174</v>
      </c>
      <c r="X174">
        <v>1.29</v>
      </c>
      <c r="Y174">
        <v>32.214654000000003</v>
      </c>
      <c r="Z174">
        <v>2465.0453460000003</v>
      </c>
      <c r="AC174" t="str">
        <v>Chair</v>
      </c>
      <c r="AD174">
        <v>3254.7518279999999</v>
      </c>
      <c r="AF174">
        <v>1221</v>
      </c>
      <c r="AG174" t="str">
        <v>Chair</v>
      </c>
      <c r="AH174">
        <v>1736.3607689999999</v>
      </c>
    </row>
    <row r="175" spans="1:34" x14ac:dyDescent="0.3">
      <c r="A175" s="1">
        <v>1173</v>
      </c>
      <c r="B175" s="2">
        <v>44561</v>
      </c>
      <c r="C175" s="1" t="s">
        <v>26</v>
      </c>
      <c r="D175" s="1" t="s">
        <v>55</v>
      </c>
      <c r="E175" s="1" t="s">
        <v>31</v>
      </c>
      <c r="F175" s="1">
        <v>3327.36</v>
      </c>
      <c r="G175" s="1" t="s">
        <v>126</v>
      </c>
      <c r="H175" s="2">
        <v>28644</v>
      </c>
      <c r="I175" s="2">
        <v>44567</v>
      </c>
      <c r="J175" s="1">
        <v>43.29</v>
      </c>
      <c r="K175" s="4">
        <f t="shared" si="4"/>
        <v>1440.4141440000001</v>
      </c>
      <c r="L175" s="4">
        <f t="shared" si="5"/>
        <v>1886.945856</v>
      </c>
      <c r="O175">
        <v>1225</v>
      </c>
      <c r="P175">
        <v>44858</v>
      </c>
      <c r="Q175" t="str">
        <v>East</v>
      </c>
      <c r="R175" t="str">
        <v>Oil</v>
      </c>
      <c r="S175" t="str">
        <v>Groceries</v>
      </c>
      <c r="T175">
        <v>2904.95</v>
      </c>
      <c r="U175" t="str">
        <v>William Robles</v>
      </c>
      <c r="V175">
        <v>30786</v>
      </c>
      <c r="W175">
        <v>44860</v>
      </c>
      <c r="X175">
        <v>6.47</v>
      </c>
      <c r="Y175">
        <v>187.95026499999997</v>
      </c>
      <c r="Z175">
        <v>2716.9997349999999</v>
      </c>
      <c r="AC175" t="str">
        <v>Wardrobe</v>
      </c>
      <c r="AD175">
        <v>2465.0453460000003</v>
      </c>
      <c r="AF175">
        <v>1222</v>
      </c>
      <c r="AG175" t="str">
        <v>Chair</v>
      </c>
      <c r="AH175">
        <v>3254.7518279999999</v>
      </c>
    </row>
    <row r="176" spans="1:34" x14ac:dyDescent="0.3">
      <c r="A176" s="1">
        <v>1174</v>
      </c>
      <c r="B176" s="2">
        <v>44498</v>
      </c>
      <c r="C176" s="1" t="s">
        <v>35</v>
      </c>
      <c r="D176" s="1" t="s">
        <v>30</v>
      </c>
      <c r="E176" s="1" t="s">
        <v>31</v>
      </c>
      <c r="F176" s="1">
        <v>4323.72</v>
      </c>
      <c r="G176" s="1" t="s">
        <v>29</v>
      </c>
      <c r="H176" s="2">
        <v>24033</v>
      </c>
      <c r="I176" s="2">
        <v>44501</v>
      </c>
      <c r="J176" s="1">
        <v>40.82</v>
      </c>
      <c r="K176" s="4">
        <f t="shared" si="4"/>
        <v>1764.9425040000001</v>
      </c>
      <c r="L176" s="4">
        <f t="shared" si="5"/>
        <v>2558.7774960000002</v>
      </c>
      <c r="O176">
        <v>1227</v>
      </c>
      <c r="P176">
        <v>45737</v>
      </c>
      <c r="Q176" t="str">
        <v>Central</v>
      </c>
      <c r="R176" t="str">
        <v>Tennis Racket</v>
      </c>
      <c r="S176" t="str">
        <v>Sports</v>
      </c>
      <c r="T176">
        <v>4335.8</v>
      </c>
      <c r="U176" t="str">
        <v>Taylor Knox</v>
      </c>
      <c r="V176">
        <v>32188</v>
      </c>
      <c r="W176">
        <v>45750</v>
      </c>
      <c r="X176">
        <v>9.0299999999999994</v>
      </c>
      <c r="Y176">
        <v>391.52274</v>
      </c>
      <c r="Z176">
        <v>3944.2772600000003</v>
      </c>
      <c r="AC176" t="str">
        <v>Oil</v>
      </c>
      <c r="AD176">
        <v>2716.9997349999999</v>
      </c>
      <c r="AF176">
        <v>1223</v>
      </c>
      <c r="AG176" t="str">
        <v>Wardrobe</v>
      </c>
      <c r="AH176">
        <v>2465.0453460000003</v>
      </c>
    </row>
    <row r="177" spans="1:34" x14ac:dyDescent="0.3">
      <c r="A177" s="1">
        <v>1175</v>
      </c>
      <c r="B177" s="2">
        <v>44844</v>
      </c>
      <c r="C177" s="1" t="s">
        <v>14</v>
      </c>
      <c r="D177" s="1" t="s">
        <v>49</v>
      </c>
      <c r="E177" s="1" t="s">
        <v>12</v>
      </c>
      <c r="F177" s="1">
        <v>4240.53</v>
      </c>
      <c r="G177" s="1" t="s">
        <v>176</v>
      </c>
      <c r="H177" s="2">
        <v>33282</v>
      </c>
      <c r="I177" s="2">
        <v>44856</v>
      </c>
      <c r="J177" s="1">
        <v>1.84</v>
      </c>
      <c r="K177" s="4">
        <f t="shared" si="4"/>
        <v>78.025751999999997</v>
      </c>
      <c r="L177" s="4">
        <f t="shared" si="5"/>
        <v>4162.5042480000002</v>
      </c>
      <c r="O177">
        <v>1228</v>
      </c>
      <c r="P177">
        <v>45107</v>
      </c>
      <c r="Q177" t="str">
        <v>North</v>
      </c>
      <c r="R177" t="str">
        <v>Wheat</v>
      </c>
      <c r="S177" t="str">
        <v>Groceries</v>
      </c>
      <c r="T177">
        <v>2971.52</v>
      </c>
      <c r="U177" t="str">
        <v>Matthew Stuart</v>
      </c>
      <c r="V177">
        <v>28522</v>
      </c>
      <c r="W177">
        <v>45119</v>
      </c>
      <c r="X177">
        <v>24.69</v>
      </c>
      <c r="Y177">
        <v>733.66828800000008</v>
      </c>
      <c r="Z177">
        <v>2237.8517119999997</v>
      </c>
      <c r="AC177" t="str">
        <v>Tennis Racket</v>
      </c>
      <c r="AD177">
        <v>3944.2772600000003</v>
      </c>
      <c r="AF177">
        <v>1225</v>
      </c>
      <c r="AG177" t="str">
        <v>Oil</v>
      </c>
      <c r="AH177">
        <v>2716.9997349999999</v>
      </c>
    </row>
    <row r="178" spans="1:34" x14ac:dyDescent="0.3">
      <c r="A178" s="1">
        <v>1176</v>
      </c>
      <c r="B178" s="2">
        <v>44490</v>
      </c>
      <c r="C178" s="1" t="s">
        <v>10</v>
      </c>
      <c r="D178" s="1" t="s">
        <v>11</v>
      </c>
      <c r="E178" s="1" t="s">
        <v>12</v>
      </c>
      <c r="F178" s="1">
        <v>365.08</v>
      </c>
      <c r="G178" s="1" t="s">
        <v>177</v>
      </c>
      <c r="H178" s="2">
        <v>22927</v>
      </c>
      <c r="I178" s="2">
        <v>44493</v>
      </c>
      <c r="J178" s="1">
        <v>19.37</v>
      </c>
      <c r="K178" s="4">
        <f t="shared" si="4"/>
        <v>70.715996000000004</v>
      </c>
      <c r="L178" s="4">
        <f t="shared" si="5"/>
        <v>294.36400399999997</v>
      </c>
      <c r="O178">
        <v>1229</v>
      </c>
      <c r="P178">
        <v>44494</v>
      </c>
      <c r="Q178" t="str">
        <v>Central</v>
      </c>
      <c r="R178" t="str">
        <v>Eggs</v>
      </c>
      <c r="S178" t="str">
        <v>Groceries</v>
      </c>
      <c r="T178">
        <v>4761.95</v>
      </c>
      <c r="U178" t="str">
        <v>Jesse Hernandez</v>
      </c>
      <c r="V178">
        <v>27550</v>
      </c>
      <c r="W178">
        <v>44501</v>
      </c>
      <c r="X178">
        <v>43.51</v>
      </c>
      <c r="Y178">
        <v>2071.9244449999997</v>
      </c>
      <c r="Z178">
        <v>2690.0255550000002</v>
      </c>
      <c r="AC178" t="str">
        <v>Wheat</v>
      </c>
      <c r="AD178">
        <v>2237.8517119999997</v>
      </c>
      <c r="AF178">
        <v>1227</v>
      </c>
      <c r="AG178" t="str">
        <v>Tennis Racket</v>
      </c>
      <c r="AH178">
        <v>3944.2772600000003</v>
      </c>
    </row>
    <row r="179" spans="1:34" x14ac:dyDescent="0.3">
      <c r="A179" s="1">
        <v>1177</v>
      </c>
      <c r="B179" s="2">
        <v>44469</v>
      </c>
      <c r="C179" s="1" t="s">
        <v>14</v>
      </c>
      <c r="D179" s="1" t="s">
        <v>30</v>
      </c>
      <c r="E179" s="1" t="s">
        <v>31</v>
      </c>
      <c r="F179" s="1">
        <v>2760.09</v>
      </c>
      <c r="G179" s="1" t="s">
        <v>178</v>
      </c>
      <c r="H179" s="2">
        <v>23890</v>
      </c>
      <c r="I179" s="2">
        <v>44481</v>
      </c>
      <c r="J179" s="1">
        <v>45.94</v>
      </c>
      <c r="K179" s="4">
        <f t="shared" si="4"/>
        <v>1267.9853459999999</v>
      </c>
      <c r="L179" s="4">
        <f t="shared" si="5"/>
        <v>1492.1046540000002</v>
      </c>
      <c r="O179">
        <v>1231</v>
      </c>
      <c r="P179">
        <v>44857</v>
      </c>
      <c r="Q179" t="str">
        <v>East</v>
      </c>
      <c r="R179" t="str">
        <v>Tennis Racket</v>
      </c>
      <c r="S179" t="str">
        <v>Sports</v>
      </c>
      <c r="T179">
        <v>2995.97</v>
      </c>
      <c r="U179" t="str">
        <v>Jessica Cruz</v>
      </c>
      <c r="V179">
        <v>36216</v>
      </c>
      <c r="W179">
        <v>44868</v>
      </c>
      <c r="X179">
        <v>3.74</v>
      </c>
      <c r="Y179">
        <v>112.049278</v>
      </c>
      <c r="Z179">
        <v>2883.9207219999998</v>
      </c>
      <c r="AC179" t="str">
        <v>Eggs</v>
      </c>
      <c r="AD179">
        <v>2690.0255550000002</v>
      </c>
      <c r="AF179">
        <v>1228</v>
      </c>
      <c r="AG179" t="str">
        <v>Wheat</v>
      </c>
      <c r="AH179">
        <v>2237.8517119999997</v>
      </c>
    </row>
    <row r="180" spans="1:34" x14ac:dyDescent="0.3">
      <c r="A180" s="1">
        <v>1178</v>
      </c>
      <c r="B180" s="2">
        <v>44255</v>
      </c>
      <c r="C180" s="1" t="s">
        <v>35</v>
      </c>
      <c r="D180" s="1" t="s">
        <v>61</v>
      </c>
      <c r="E180" s="1" t="s">
        <v>19</v>
      </c>
      <c r="F180" s="1">
        <v>3846</v>
      </c>
      <c r="G180" s="1" t="s">
        <v>179</v>
      </c>
      <c r="H180" s="2">
        <v>30356</v>
      </c>
      <c r="I180" s="2">
        <v>44256</v>
      </c>
      <c r="J180" s="1">
        <v>1.22</v>
      </c>
      <c r="K180" s="4">
        <f t="shared" si="4"/>
        <v>46.921199999999999</v>
      </c>
      <c r="L180" s="4">
        <f t="shared" si="5"/>
        <v>3799.0788000000002</v>
      </c>
      <c r="O180">
        <v>1232</v>
      </c>
      <c r="P180">
        <v>44732</v>
      </c>
      <c r="Q180" t="str">
        <v>North</v>
      </c>
      <c r="R180" t="str">
        <v>Table</v>
      </c>
      <c r="S180" t="str">
        <v>Furniture</v>
      </c>
      <c r="T180">
        <v>1461.44</v>
      </c>
      <c r="U180" t="str">
        <v>Donald Burke</v>
      </c>
      <c r="V180">
        <v>35702</v>
      </c>
      <c r="W180">
        <v>44741</v>
      </c>
      <c r="X180">
        <v>1.64</v>
      </c>
      <c r="Y180">
        <v>23.967616</v>
      </c>
      <c r="Z180">
        <v>1437.4723840000001</v>
      </c>
      <c r="AC180" t="str">
        <v>Tennis Racket</v>
      </c>
      <c r="AD180">
        <v>2883.9207219999998</v>
      </c>
      <c r="AF180">
        <v>1229</v>
      </c>
      <c r="AG180" t="str">
        <v>Eggs</v>
      </c>
      <c r="AH180">
        <v>2690.0255550000002</v>
      </c>
    </row>
    <row r="181" spans="1:34" x14ac:dyDescent="0.3">
      <c r="A181" s="1">
        <v>1179</v>
      </c>
      <c r="B181" s="2">
        <v>44307</v>
      </c>
      <c r="C181" s="1" t="s">
        <v>26</v>
      </c>
      <c r="D181" s="1" t="s">
        <v>47</v>
      </c>
      <c r="E181" s="1" t="s">
        <v>12</v>
      </c>
      <c r="F181" s="1">
        <v>319.27999999999997</v>
      </c>
      <c r="G181" s="1" t="s">
        <v>180</v>
      </c>
      <c r="H181" s="2">
        <v>25163</v>
      </c>
      <c r="I181" s="2">
        <v>44319</v>
      </c>
      <c r="J181" s="1">
        <v>34.58</v>
      </c>
      <c r="K181" s="4">
        <f t="shared" si="4"/>
        <v>110.40702399999999</v>
      </c>
      <c r="L181" s="4">
        <f t="shared" si="5"/>
        <v>208.87297599999999</v>
      </c>
      <c r="O181">
        <v>1234</v>
      </c>
      <c r="P181">
        <v>44339</v>
      </c>
      <c r="Q181" t="str">
        <v>South</v>
      </c>
      <c r="R181" t="str">
        <v>Football</v>
      </c>
      <c r="S181" t="str">
        <v>Sports</v>
      </c>
      <c r="T181">
        <v>4453.8100000000004</v>
      </c>
      <c r="U181" t="str">
        <v>Katherine Jones</v>
      </c>
      <c r="V181">
        <v>23674</v>
      </c>
      <c r="W181">
        <v>44348</v>
      </c>
      <c r="X181">
        <v>42.29</v>
      </c>
      <c r="Y181">
        <v>1883.5162490000002</v>
      </c>
      <c r="Z181">
        <v>2570.2937510000002</v>
      </c>
      <c r="AC181" t="str">
        <v>Table</v>
      </c>
      <c r="AD181">
        <v>1437.4723840000001</v>
      </c>
      <c r="AF181">
        <v>1231</v>
      </c>
      <c r="AG181" t="str">
        <v>Tennis Racket</v>
      </c>
      <c r="AH181">
        <v>2883.9207219999998</v>
      </c>
    </row>
    <row r="182" spans="1:34" x14ac:dyDescent="0.3">
      <c r="A182" s="1">
        <v>1180</v>
      </c>
      <c r="B182" s="2">
        <v>44632</v>
      </c>
      <c r="C182" s="1" t="s">
        <v>14</v>
      </c>
      <c r="D182" s="1" t="s">
        <v>11</v>
      </c>
      <c r="E182" s="1" t="s">
        <v>12</v>
      </c>
      <c r="F182" s="1">
        <v>4801.1000000000004</v>
      </c>
      <c r="G182" s="1" t="s">
        <v>85</v>
      </c>
      <c r="H182" s="2">
        <v>37236</v>
      </c>
      <c r="I182" s="2">
        <v>44645</v>
      </c>
      <c r="J182" s="1">
        <v>46.21</v>
      </c>
      <c r="K182" s="4">
        <f t="shared" si="4"/>
        <v>2218.5883100000001</v>
      </c>
      <c r="L182" s="4">
        <f t="shared" si="5"/>
        <v>2582.5116900000003</v>
      </c>
      <c r="O182">
        <v>1235</v>
      </c>
      <c r="P182">
        <v>44284</v>
      </c>
      <c r="Q182" t="str">
        <v>Central</v>
      </c>
      <c r="R182" t="str">
        <v>Tablet</v>
      </c>
      <c r="S182" t="str">
        <v>Electronics</v>
      </c>
      <c r="T182">
        <v>4999.79</v>
      </c>
      <c r="U182" t="str">
        <v>Colin White</v>
      </c>
      <c r="V182">
        <v>34345</v>
      </c>
      <c r="W182">
        <v>44285</v>
      </c>
      <c r="X182">
        <v>42.92</v>
      </c>
      <c r="Y182">
        <v>2145.9098680000002</v>
      </c>
      <c r="Z182">
        <v>2853.8801319999998</v>
      </c>
      <c r="AC182" t="str">
        <v>Football</v>
      </c>
      <c r="AD182">
        <v>2570.2937510000002</v>
      </c>
      <c r="AF182">
        <v>1232</v>
      </c>
      <c r="AG182" t="str">
        <v>Table</v>
      </c>
      <c r="AH182">
        <v>1437.4723840000001</v>
      </c>
    </row>
    <row r="183" spans="1:34" x14ac:dyDescent="0.3">
      <c r="A183" s="1">
        <v>1181</v>
      </c>
      <c r="B183" s="2">
        <v>44779</v>
      </c>
      <c r="C183" s="1" t="s">
        <v>14</v>
      </c>
      <c r="D183" s="1" t="s">
        <v>47</v>
      </c>
      <c r="E183" s="1" t="s">
        <v>12</v>
      </c>
      <c r="F183" s="1">
        <v>2518.65</v>
      </c>
      <c r="G183" s="1" t="s">
        <v>181</v>
      </c>
      <c r="H183" s="2">
        <v>25222</v>
      </c>
      <c r="I183" s="2">
        <v>44782</v>
      </c>
      <c r="J183" s="1">
        <v>18.14</v>
      </c>
      <c r="K183" s="4">
        <f t="shared" si="4"/>
        <v>456.88311000000004</v>
      </c>
      <c r="L183" s="4">
        <f t="shared" si="5"/>
        <v>2061.7668899999999</v>
      </c>
      <c r="O183">
        <v>1236</v>
      </c>
      <c r="P183">
        <v>45408</v>
      </c>
      <c r="Q183" t="str">
        <v>West</v>
      </c>
      <c r="R183" t="str">
        <v>Rice</v>
      </c>
      <c r="S183" t="str">
        <v>Groceries</v>
      </c>
      <c r="T183">
        <v>4464.05</v>
      </c>
      <c r="U183" t="str">
        <v>Mary Hicks</v>
      </c>
      <c r="V183">
        <v>39294</v>
      </c>
      <c r="W183">
        <v>45415</v>
      </c>
      <c r="X183">
        <v>27.44</v>
      </c>
      <c r="Y183">
        <v>1224.9353200000003</v>
      </c>
      <c r="Z183">
        <v>3239.1146799999997</v>
      </c>
      <c r="AC183" t="str">
        <v>Tablet</v>
      </c>
      <c r="AD183">
        <v>2853.8801319999998</v>
      </c>
      <c r="AF183">
        <v>1234</v>
      </c>
      <c r="AG183" t="str">
        <v>Football</v>
      </c>
      <c r="AH183">
        <v>2570.2937510000002</v>
      </c>
    </row>
    <row r="184" spans="1:34" x14ac:dyDescent="0.3">
      <c r="A184" s="1">
        <v>1182</v>
      </c>
      <c r="B184" s="2">
        <v>44255</v>
      </c>
      <c r="C184" s="1" t="s">
        <v>14</v>
      </c>
      <c r="D184" s="1" t="s">
        <v>73</v>
      </c>
      <c r="E184" s="1" t="s">
        <v>28</v>
      </c>
      <c r="F184" s="1">
        <v>842.21</v>
      </c>
      <c r="G184" s="1" t="s">
        <v>182</v>
      </c>
      <c r="H184" s="2">
        <v>24719</v>
      </c>
      <c r="I184" s="2">
        <v>44258</v>
      </c>
      <c r="J184" s="1">
        <v>32.22</v>
      </c>
      <c r="K184" s="4">
        <f t="shared" si="4"/>
        <v>271.36006200000003</v>
      </c>
      <c r="L184" s="4">
        <f t="shared" si="5"/>
        <v>570.84993800000007</v>
      </c>
      <c r="O184">
        <v>1237</v>
      </c>
      <c r="P184">
        <v>44398</v>
      </c>
      <c r="Q184" t="str">
        <v>South</v>
      </c>
      <c r="R184" t="str">
        <v>Cricket Bat</v>
      </c>
      <c r="S184" t="str">
        <v>Sports</v>
      </c>
      <c r="T184">
        <v>3581.56</v>
      </c>
      <c r="U184" t="str">
        <v>Melanie Shaffer</v>
      </c>
      <c r="V184">
        <v>37858</v>
      </c>
      <c r="W184">
        <v>44405</v>
      </c>
      <c r="X184">
        <v>41.87</v>
      </c>
      <c r="Y184">
        <v>1499.5991719999997</v>
      </c>
      <c r="Z184">
        <v>2081.9608280000002</v>
      </c>
      <c r="AC184" t="str">
        <v>Rice</v>
      </c>
      <c r="AD184">
        <v>3239.1146799999997</v>
      </c>
      <c r="AF184">
        <v>1235</v>
      </c>
      <c r="AG184" t="str">
        <v>Tablet</v>
      </c>
      <c r="AH184">
        <v>2853.8801319999998</v>
      </c>
    </row>
    <row r="185" spans="1:34" x14ac:dyDescent="0.3">
      <c r="A185" s="1">
        <v>1183</v>
      </c>
      <c r="B185" s="2">
        <v>44414</v>
      </c>
      <c r="C185" s="1" t="s">
        <v>14</v>
      </c>
      <c r="D185" s="1" t="s">
        <v>33</v>
      </c>
      <c r="E185" s="1" t="s">
        <v>16</v>
      </c>
      <c r="F185" s="1">
        <v>1084.71</v>
      </c>
      <c r="G185" s="1" t="s">
        <v>121</v>
      </c>
      <c r="H185" s="2">
        <v>24580</v>
      </c>
      <c r="I185" s="2">
        <v>44424</v>
      </c>
      <c r="J185" s="1">
        <v>36.89</v>
      </c>
      <c r="K185" s="4">
        <f t="shared" si="4"/>
        <v>400.149519</v>
      </c>
      <c r="L185" s="4">
        <f t="shared" si="5"/>
        <v>684.56048099999998</v>
      </c>
      <c r="O185">
        <v>1238</v>
      </c>
      <c r="P185">
        <v>44940</v>
      </c>
      <c r="Q185" t="str">
        <v>East</v>
      </c>
      <c r="R185" t="str">
        <v>T-Shirt</v>
      </c>
      <c r="S185" t="str">
        <v>Clothing</v>
      </c>
      <c r="T185">
        <v>1509.92</v>
      </c>
      <c r="U185" t="str">
        <v>Madison Dickson</v>
      </c>
      <c r="V185">
        <v>29540</v>
      </c>
      <c r="W185">
        <v>44943</v>
      </c>
      <c r="X185">
        <v>20.399999999999999</v>
      </c>
      <c r="Y185">
        <v>308.02368000000001</v>
      </c>
      <c r="Z185">
        <v>1201.8963200000001</v>
      </c>
      <c r="AC185" t="str">
        <v>Cricket Bat</v>
      </c>
      <c r="AD185">
        <v>2081.9608280000002</v>
      </c>
      <c r="AF185">
        <v>1236</v>
      </c>
      <c r="AG185" t="str">
        <v>Rice</v>
      </c>
      <c r="AH185">
        <v>3239.1146799999997</v>
      </c>
    </row>
    <row r="186" spans="1:34" x14ac:dyDescent="0.3">
      <c r="A186" s="1">
        <v>1184</v>
      </c>
      <c r="B186" s="2">
        <v>44227</v>
      </c>
      <c r="C186" s="1" t="s">
        <v>21</v>
      </c>
      <c r="D186" s="1" t="s">
        <v>38</v>
      </c>
      <c r="E186" s="1" t="s">
        <v>28</v>
      </c>
      <c r="F186" s="1">
        <v>2092.31</v>
      </c>
      <c r="G186" s="1" t="s">
        <v>183</v>
      </c>
      <c r="H186" s="2">
        <v>32359</v>
      </c>
      <c r="I186" s="2">
        <v>44234</v>
      </c>
      <c r="J186" s="1">
        <v>41.77</v>
      </c>
      <c r="K186" s="4">
        <f t="shared" si="4"/>
        <v>873.95788700000003</v>
      </c>
      <c r="L186" s="4">
        <f t="shared" si="5"/>
        <v>1218.3521129999999</v>
      </c>
      <c r="O186">
        <v>1239</v>
      </c>
      <c r="P186">
        <v>45792</v>
      </c>
      <c r="Q186" t="str">
        <v>Central</v>
      </c>
      <c r="R186" t="str">
        <v>Bed</v>
      </c>
      <c r="S186" t="str">
        <v>Furniture</v>
      </c>
      <c r="T186">
        <v>2305.0300000000002</v>
      </c>
      <c r="U186" t="str">
        <v>Shannon Foster</v>
      </c>
      <c r="V186">
        <v>31386</v>
      </c>
      <c r="W186">
        <v>45803</v>
      </c>
      <c r="X186">
        <v>39.799999999999997</v>
      </c>
      <c r="Y186">
        <v>917.40193999999997</v>
      </c>
      <c r="Z186">
        <v>1387.6280600000002</v>
      </c>
      <c r="AC186" t="str">
        <v>T-Shirt</v>
      </c>
      <c r="AD186">
        <v>1201.8963200000001</v>
      </c>
      <c r="AF186">
        <v>1237</v>
      </c>
      <c r="AG186" t="str">
        <v>Cricket Bat</v>
      </c>
      <c r="AH186">
        <v>2081.9608280000002</v>
      </c>
    </row>
    <row r="187" spans="1:34" x14ac:dyDescent="0.3">
      <c r="A187" s="1">
        <v>1185</v>
      </c>
      <c r="B187" s="2">
        <v>44174</v>
      </c>
      <c r="C187" s="1" t="s">
        <v>14</v>
      </c>
      <c r="D187" s="1" t="s">
        <v>33</v>
      </c>
      <c r="E187" s="1" t="s">
        <v>16</v>
      </c>
      <c r="F187" s="1">
        <v>3301.51</v>
      </c>
      <c r="G187" s="1" t="s">
        <v>184</v>
      </c>
      <c r="H187" s="2">
        <v>29547</v>
      </c>
      <c r="I187" s="2">
        <v>44180</v>
      </c>
      <c r="J187" s="1">
        <v>14.54</v>
      </c>
      <c r="K187" s="4">
        <f t="shared" si="4"/>
        <v>480.03955400000001</v>
      </c>
      <c r="L187" s="4">
        <f t="shared" si="5"/>
        <v>2821.4704460000003</v>
      </c>
      <c r="O187">
        <v>1240</v>
      </c>
      <c r="P187">
        <v>45013</v>
      </c>
      <c r="Q187" t="str">
        <v>Central</v>
      </c>
      <c r="R187" t="str">
        <v>Eggs</v>
      </c>
      <c r="S187" t="str">
        <v>Groceries</v>
      </c>
      <c r="T187">
        <v>4272.7299999999996</v>
      </c>
      <c r="U187" t="str">
        <v>Jenna Campbell</v>
      </c>
      <c r="V187">
        <v>34220</v>
      </c>
      <c r="W187">
        <v>45020</v>
      </c>
      <c r="X187">
        <v>37.74</v>
      </c>
      <c r="Y187">
        <v>1612.5283019999999</v>
      </c>
      <c r="Z187">
        <v>2660.2016979999999</v>
      </c>
      <c r="AC187" t="str">
        <v>Bed</v>
      </c>
      <c r="AD187">
        <v>1387.6280600000002</v>
      </c>
      <c r="AF187">
        <v>1238</v>
      </c>
      <c r="AG187" t="str">
        <v>T-Shirt</v>
      </c>
      <c r="AH187">
        <v>1201.8963200000001</v>
      </c>
    </row>
    <row r="188" spans="1:34" x14ac:dyDescent="0.3">
      <c r="A188" s="1">
        <v>1186</v>
      </c>
      <c r="B188" s="2">
        <v>45520</v>
      </c>
      <c r="C188" s="1" t="s">
        <v>26</v>
      </c>
      <c r="D188" s="1" t="s">
        <v>49</v>
      </c>
      <c r="E188" s="1" t="s">
        <v>12</v>
      </c>
      <c r="F188" s="1">
        <v>4889.82</v>
      </c>
      <c r="G188" s="1" t="s">
        <v>185</v>
      </c>
      <c r="H188" s="2">
        <v>36384</v>
      </c>
      <c r="I188" s="2">
        <v>45534</v>
      </c>
      <c r="J188" s="1">
        <v>26.73</v>
      </c>
      <c r="K188" s="4">
        <f t="shared" si="4"/>
        <v>1307.0488859999998</v>
      </c>
      <c r="L188" s="4">
        <f t="shared" si="5"/>
        <v>3582.7711140000001</v>
      </c>
      <c r="O188">
        <v>1241</v>
      </c>
      <c r="P188">
        <v>45234</v>
      </c>
      <c r="Q188" t="str">
        <v>South</v>
      </c>
      <c r="R188" t="str">
        <v>Shoes</v>
      </c>
      <c r="S188" t="str">
        <v>Clothing</v>
      </c>
      <c r="T188">
        <v>1756.15</v>
      </c>
      <c r="U188" t="str">
        <v>Laura Wood</v>
      </c>
      <c r="V188">
        <v>31419</v>
      </c>
      <c r="W188">
        <v>45239</v>
      </c>
      <c r="X188">
        <v>33.44</v>
      </c>
      <c r="Y188">
        <v>587.25656000000004</v>
      </c>
      <c r="Z188">
        <v>1168.8934400000001</v>
      </c>
      <c r="AC188" t="str">
        <v>Eggs</v>
      </c>
      <c r="AD188">
        <v>2660.2016979999999</v>
      </c>
      <c r="AF188">
        <v>1239</v>
      </c>
      <c r="AG188" t="str">
        <v>Bed</v>
      </c>
      <c r="AH188">
        <v>1387.6280600000002</v>
      </c>
    </row>
    <row r="189" spans="1:34" x14ac:dyDescent="0.3">
      <c r="A189" s="1">
        <v>1187</v>
      </c>
      <c r="B189" s="2">
        <v>45444</v>
      </c>
      <c r="C189" s="1" t="s">
        <v>35</v>
      </c>
      <c r="D189" s="1" t="s">
        <v>71</v>
      </c>
      <c r="E189" s="1" t="s">
        <v>31</v>
      </c>
      <c r="F189" s="1">
        <v>1596.91</v>
      </c>
      <c r="G189" s="1" t="s">
        <v>122</v>
      </c>
      <c r="H189" s="2">
        <v>29720</v>
      </c>
      <c r="I189" s="2">
        <v>45453</v>
      </c>
      <c r="J189" s="1">
        <v>23.65</v>
      </c>
      <c r="K189" s="4">
        <f t="shared" si="4"/>
        <v>377.66921500000001</v>
      </c>
      <c r="L189" s="4">
        <f t="shared" si="5"/>
        <v>1219.240785</v>
      </c>
      <c r="O189">
        <v>1242</v>
      </c>
      <c r="P189">
        <v>44800</v>
      </c>
      <c r="Q189" t="str">
        <v>North</v>
      </c>
      <c r="R189" t="str">
        <v>Rice</v>
      </c>
      <c r="S189" t="str">
        <v>Groceries</v>
      </c>
      <c r="T189">
        <v>2727.83</v>
      </c>
      <c r="U189" t="str">
        <v>Laura Sanchez</v>
      </c>
      <c r="V189">
        <v>30923</v>
      </c>
      <c r="W189">
        <v>44805</v>
      </c>
      <c r="X189">
        <v>11.22</v>
      </c>
      <c r="Y189">
        <v>306.06252599999999</v>
      </c>
      <c r="Z189">
        <v>2421.7674739999998</v>
      </c>
      <c r="AC189" t="str">
        <v>Shoes</v>
      </c>
      <c r="AD189">
        <v>1168.8934400000001</v>
      </c>
      <c r="AF189">
        <v>1240</v>
      </c>
      <c r="AG189" t="str">
        <v>Eggs</v>
      </c>
      <c r="AH189">
        <v>2660.2016979999999</v>
      </c>
    </row>
    <row r="190" spans="1:34" x14ac:dyDescent="0.3">
      <c r="A190" s="1">
        <v>1188</v>
      </c>
      <c r="B190" s="2">
        <v>45667</v>
      </c>
      <c r="C190" s="1" t="s">
        <v>35</v>
      </c>
      <c r="D190" s="1" t="s">
        <v>88</v>
      </c>
      <c r="E190" s="1" t="s">
        <v>16</v>
      </c>
      <c r="F190" s="1">
        <v>746.87</v>
      </c>
      <c r="G190" s="1" t="s">
        <v>186</v>
      </c>
      <c r="H190" s="2">
        <v>39193</v>
      </c>
      <c r="I190" s="2">
        <v>45670</v>
      </c>
      <c r="J190" s="1">
        <v>42.9</v>
      </c>
      <c r="K190" s="4">
        <f t="shared" si="4"/>
        <v>320.40722999999997</v>
      </c>
      <c r="L190" s="4">
        <f t="shared" si="5"/>
        <v>426.46277000000003</v>
      </c>
      <c r="O190">
        <v>1245</v>
      </c>
      <c r="P190">
        <v>44488</v>
      </c>
      <c r="Q190" t="str">
        <v>South</v>
      </c>
      <c r="R190" t="str">
        <v>Milk</v>
      </c>
      <c r="S190" t="str">
        <v>Groceries</v>
      </c>
      <c r="T190">
        <v>2517.8000000000002</v>
      </c>
      <c r="U190" t="str">
        <v>Vincent Wiggins</v>
      </c>
      <c r="V190">
        <v>26671</v>
      </c>
      <c r="W190">
        <v>44495</v>
      </c>
      <c r="X190">
        <v>38.24</v>
      </c>
      <c r="Y190">
        <v>962.80672000000015</v>
      </c>
      <c r="Z190">
        <v>1554.9932800000001</v>
      </c>
      <c r="AC190" t="str">
        <v>Rice</v>
      </c>
      <c r="AD190">
        <v>2421.7674739999998</v>
      </c>
      <c r="AF190">
        <v>1241</v>
      </c>
      <c r="AG190" t="str">
        <v>Shoes</v>
      </c>
      <c r="AH190">
        <v>1168.8934400000001</v>
      </c>
    </row>
    <row r="191" spans="1:34" x14ac:dyDescent="0.3">
      <c r="A191" s="1">
        <v>1189</v>
      </c>
      <c r="B191" s="2">
        <v>45333</v>
      </c>
      <c r="C191" s="1" t="s">
        <v>35</v>
      </c>
      <c r="D191" s="1" t="s">
        <v>65</v>
      </c>
      <c r="E191" s="1" t="s">
        <v>19</v>
      </c>
      <c r="F191" s="1">
        <v>2712.97</v>
      </c>
      <c r="G191" s="1" t="s">
        <v>187</v>
      </c>
      <c r="H191" s="2">
        <v>30778</v>
      </c>
      <c r="I191" s="2">
        <v>45344</v>
      </c>
      <c r="J191" s="1">
        <v>6.89</v>
      </c>
      <c r="K191" s="4">
        <f t="shared" si="4"/>
        <v>186.923633</v>
      </c>
      <c r="L191" s="4">
        <f t="shared" si="5"/>
        <v>2526.0463669999999</v>
      </c>
      <c r="O191">
        <v>1246</v>
      </c>
      <c r="P191">
        <v>44489</v>
      </c>
      <c r="Q191" t="str">
        <v>West</v>
      </c>
      <c r="R191" t="str">
        <v>Eggs</v>
      </c>
      <c r="S191" t="str">
        <v>Groceries</v>
      </c>
      <c r="T191">
        <v>4390.6000000000004</v>
      </c>
      <c r="U191" t="str">
        <v>Regina Gay</v>
      </c>
      <c r="V191">
        <v>34571</v>
      </c>
      <c r="W191">
        <v>44491</v>
      </c>
      <c r="X191">
        <v>15.44</v>
      </c>
      <c r="Y191">
        <v>677.90863999999999</v>
      </c>
      <c r="Z191">
        <v>3712.6913600000003</v>
      </c>
      <c r="AC191" t="str">
        <v>Milk</v>
      </c>
      <c r="AD191">
        <v>1554.9932800000001</v>
      </c>
      <c r="AF191">
        <v>1242</v>
      </c>
      <c r="AG191" t="str">
        <v>Rice</v>
      </c>
      <c r="AH191">
        <v>2421.7674739999998</v>
      </c>
    </row>
    <row r="192" spans="1:34" x14ac:dyDescent="0.3">
      <c r="A192" s="1">
        <v>1190</v>
      </c>
      <c r="B192" s="2">
        <v>44120</v>
      </c>
      <c r="C192" s="1" t="s">
        <v>10</v>
      </c>
      <c r="D192" s="1" t="s">
        <v>15</v>
      </c>
      <c r="E192" s="1" t="s">
        <v>16</v>
      </c>
      <c r="F192" s="1">
        <v>4441.87</v>
      </c>
      <c r="G192" s="1" t="s">
        <v>184</v>
      </c>
      <c r="H192" s="2">
        <v>29547</v>
      </c>
      <c r="I192" s="2">
        <v>44123</v>
      </c>
      <c r="J192" s="1">
        <v>1.02</v>
      </c>
      <c r="K192" s="4">
        <f t="shared" si="4"/>
        <v>45.307074</v>
      </c>
      <c r="L192" s="4">
        <f t="shared" si="5"/>
        <v>4396.5629259999996</v>
      </c>
      <c r="O192">
        <v>1247</v>
      </c>
      <c r="P192">
        <v>44653</v>
      </c>
      <c r="Q192" t="str">
        <v>Central</v>
      </c>
      <c r="R192" t="str">
        <v>Sofa</v>
      </c>
      <c r="S192" t="str">
        <v>Furniture</v>
      </c>
      <c r="T192">
        <v>4464.93</v>
      </c>
      <c r="U192" t="str">
        <v>Tyler Frye</v>
      </c>
      <c r="V192">
        <v>22210</v>
      </c>
      <c r="W192">
        <v>44658</v>
      </c>
      <c r="X192">
        <v>42.78</v>
      </c>
      <c r="Y192">
        <v>1910.0970540000003</v>
      </c>
      <c r="Z192">
        <v>2554.832946</v>
      </c>
      <c r="AC192" t="str">
        <v>Eggs</v>
      </c>
      <c r="AD192">
        <v>3712.6913600000003</v>
      </c>
      <c r="AF192">
        <v>1245</v>
      </c>
      <c r="AG192" t="str">
        <v>Milk</v>
      </c>
      <c r="AH192">
        <v>1554.9932800000001</v>
      </c>
    </row>
    <row r="193" spans="1:34" x14ac:dyDescent="0.3">
      <c r="A193" s="1">
        <v>1191</v>
      </c>
      <c r="B193" s="2">
        <v>45266</v>
      </c>
      <c r="C193" s="1" t="s">
        <v>14</v>
      </c>
      <c r="D193" s="1" t="s">
        <v>55</v>
      </c>
      <c r="E193" s="1" t="s">
        <v>31</v>
      </c>
      <c r="F193" s="1">
        <v>4864.68</v>
      </c>
      <c r="G193" s="1" t="s">
        <v>188</v>
      </c>
      <c r="H193" s="2">
        <v>31467</v>
      </c>
      <c r="I193" s="2">
        <v>45277</v>
      </c>
      <c r="J193" s="1">
        <v>35.32</v>
      </c>
      <c r="K193" s="4">
        <f t="shared" si="4"/>
        <v>1718.2049760000002</v>
      </c>
      <c r="L193" s="4">
        <f t="shared" si="5"/>
        <v>3146.4750240000003</v>
      </c>
      <c r="O193">
        <v>1249</v>
      </c>
      <c r="P193">
        <v>45218</v>
      </c>
      <c r="Q193" t="str">
        <v>North</v>
      </c>
      <c r="R193" t="str">
        <v>Table</v>
      </c>
      <c r="S193" t="str">
        <v>Furniture</v>
      </c>
      <c r="T193">
        <v>1780.78</v>
      </c>
      <c r="U193" t="str">
        <v>Stephanie Weeks</v>
      </c>
      <c r="V193">
        <v>36951</v>
      </c>
      <c r="W193">
        <v>45232</v>
      </c>
      <c r="X193">
        <v>43.61</v>
      </c>
      <c r="Y193">
        <v>776.59815800000001</v>
      </c>
      <c r="Z193">
        <v>1004.181842</v>
      </c>
      <c r="AC193" t="str">
        <v>Sofa</v>
      </c>
      <c r="AD193">
        <v>2554.832946</v>
      </c>
      <c r="AF193">
        <v>1246</v>
      </c>
      <c r="AG193" t="str">
        <v>Eggs</v>
      </c>
      <c r="AH193">
        <v>3712.6913600000003</v>
      </c>
    </row>
    <row r="194" spans="1:34" x14ac:dyDescent="0.3">
      <c r="A194" s="1">
        <v>1192</v>
      </c>
      <c r="B194" s="2">
        <v>44285</v>
      </c>
      <c r="C194" s="1" t="s">
        <v>35</v>
      </c>
      <c r="D194" s="1" t="s">
        <v>27</v>
      </c>
      <c r="E194" s="1" t="s">
        <v>28</v>
      </c>
      <c r="F194" s="1">
        <v>4013.62</v>
      </c>
      <c r="G194" s="1" t="s">
        <v>189</v>
      </c>
      <c r="H194" s="2">
        <v>34164</v>
      </c>
      <c r="I194" s="2">
        <v>44292</v>
      </c>
      <c r="J194" s="1">
        <v>45.04</v>
      </c>
      <c r="K194" s="4">
        <f t="shared" si="4"/>
        <v>1807.7344479999999</v>
      </c>
      <c r="L194" s="4">
        <f t="shared" si="5"/>
        <v>2205.8855519999997</v>
      </c>
      <c r="O194">
        <v>1250</v>
      </c>
      <c r="P194">
        <v>44458</v>
      </c>
      <c r="Q194" t="str">
        <v>Central</v>
      </c>
      <c r="R194" t="str">
        <v>Football</v>
      </c>
      <c r="S194" t="str">
        <v>Sports</v>
      </c>
      <c r="T194">
        <v>2340.94</v>
      </c>
      <c r="U194" t="str">
        <v>Brandon Ross</v>
      </c>
      <c r="V194">
        <v>29792</v>
      </c>
      <c r="W194">
        <v>44460</v>
      </c>
      <c r="X194">
        <v>22.07</v>
      </c>
      <c r="Y194">
        <v>516.64545800000008</v>
      </c>
      <c r="Z194">
        <v>1824.2945420000001</v>
      </c>
      <c r="AC194" t="str">
        <v>Table</v>
      </c>
      <c r="AD194">
        <v>1004.181842</v>
      </c>
      <c r="AF194">
        <v>1247</v>
      </c>
      <c r="AG194" t="str">
        <v>Sofa</v>
      </c>
      <c r="AH194">
        <v>2554.832946</v>
      </c>
    </row>
    <row r="195" spans="1:34" x14ac:dyDescent="0.3">
      <c r="A195" s="1">
        <v>1193</v>
      </c>
      <c r="B195" s="2">
        <v>45437</v>
      </c>
      <c r="C195" s="1" t="s">
        <v>14</v>
      </c>
      <c r="D195" s="1" t="s">
        <v>36</v>
      </c>
      <c r="E195" s="1" t="s">
        <v>28</v>
      </c>
      <c r="F195" s="1">
        <v>3465.02</v>
      </c>
      <c r="G195" s="1" t="s">
        <v>190</v>
      </c>
      <c r="H195" s="2">
        <v>33354</v>
      </c>
      <c r="I195" s="2">
        <v>45449</v>
      </c>
      <c r="J195" s="1">
        <v>18.989999999999998</v>
      </c>
      <c r="K195" s="4">
        <f t="shared" ref="K195:K258" si="6">F195*J195%</f>
        <v>658.00729799999999</v>
      </c>
      <c r="L195" s="4">
        <f t="shared" ref="L195:L258" si="7">F195-K195</f>
        <v>2807.012702</v>
      </c>
      <c r="O195">
        <v>1252</v>
      </c>
      <c r="P195">
        <v>45116</v>
      </c>
      <c r="Q195" t="str">
        <v>South</v>
      </c>
      <c r="R195" t="str">
        <v>Sofa</v>
      </c>
      <c r="S195" t="str">
        <v>Furniture</v>
      </c>
      <c r="T195">
        <v>2705.86</v>
      </c>
      <c r="U195" t="str">
        <v>Matthew Gonzalez</v>
      </c>
      <c r="V195">
        <v>25321</v>
      </c>
      <c r="W195">
        <v>45121</v>
      </c>
      <c r="X195">
        <v>48.33</v>
      </c>
      <c r="Y195">
        <v>1307.7421380000001</v>
      </c>
      <c r="Z195">
        <v>1398.1178620000001</v>
      </c>
      <c r="AC195" t="str">
        <v>Football</v>
      </c>
      <c r="AD195">
        <v>1824.2945420000001</v>
      </c>
      <c r="AF195">
        <v>1249</v>
      </c>
      <c r="AG195" t="str">
        <v>Table</v>
      </c>
      <c r="AH195">
        <v>1004.181842</v>
      </c>
    </row>
    <row r="196" spans="1:34" x14ac:dyDescent="0.3">
      <c r="A196" s="1">
        <v>1194</v>
      </c>
      <c r="B196" s="2">
        <v>45746</v>
      </c>
      <c r="C196" s="1" t="s">
        <v>14</v>
      </c>
      <c r="D196" s="1" t="s">
        <v>65</v>
      </c>
      <c r="E196" s="1" t="s">
        <v>19</v>
      </c>
      <c r="F196" s="1">
        <v>4434.63</v>
      </c>
      <c r="G196" s="1" t="s">
        <v>191</v>
      </c>
      <c r="H196" s="2">
        <v>37495</v>
      </c>
      <c r="I196" s="2">
        <v>45750</v>
      </c>
      <c r="J196" s="1">
        <v>35.770000000000003</v>
      </c>
      <c r="K196" s="4">
        <f t="shared" si="6"/>
        <v>1586.267151</v>
      </c>
      <c r="L196" s="4">
        <f t="shared" si="7"/>
        <v>2848.3628490000001</v>
      </c>
      <c r="O196">
        <v>1253</v>
      </c>
      <c r="P196">
        <v>44995</v>
      </c>
      <c r="Q196" t="str">
        <v>West</v>
      </c>
      <c r="R196" t="str">
        <v>Camera</v>
      </c>
      <c r="S196" t="str">
        <v>Electronics</v>
      </c>
      <c r="T196">
        <v>4945.4399999999996</v>
      </c>
      <c r="U196" t="str">
        <v>Adam Martinez</v>
      </c>
      <c r="V196">
        <v>22599</v>
      </c>
      <c r="W196">
        <v>44999</v>
      </c>
      <c r="X196">
        <v>23.04</v>
      </c>
      <c r="Y196">
        <v>1139.4293759999998</v>
      </c>
      <c r="Z196">
        <v>3806.0106239999996</v>
      </c>
      <c r="AC196" t="str">
        <v>Sofa</v>
      </c>
      <c r="AD196">
        <v>1398.1178620000001</v>
      </c>
      <c r="AF196">
        <v>1250</v>
      </c>
      <c r="AG196" t="str">
        <v>Football</v>
      </c>
      <c r="AH196">
        <v>1824.2945420000001</v>
      </c>
    </row>
    <row r="197" spans="1:34" x14ac:dyDescent="0.3">
      <c r="A197" s="1">
        <v>1195</v>
      </c>
      <c r="B197" s="2">
        <v>45831</v>
      </c>
      <c r="C197" s="1" t="s">
        <v>21</v>
      </c>
      <c r="D197" s="1" t="s">
        <v>53</v>
      </c>
      <c r="E197" s="1" t="s">
        <v>28</v>
      </c>
      <c r="F197" s="1">
        <v>440.11</v>
      </c>
      <c r="G197" s="1" t="s">
        <v>191</v>
      </c>
      <c r="H197" s="2">
        <v>37495</v>
      </c>
      <c r="I197" s="2">
        <v>45836</v>
      </c>
      <c r="J197" s="1">
        <v>15.2</v>
      </c>
      <c r="K197" s="4">
        <f t="shared" si="6"/>
        <v>66.896720000000002</v>
      </c>
      <c r="L197" s="4">
        <f t="shared" si="7"/>
        <v>373.21328</v>
      </c>
      <c r="O197">
        <v>1254</v>
      </c>
      <c r="P197">
        <v>45777</v>
      </c>
      <c r="Q197" t="str">
        <v>South</v>
      </c>
      <c r="R197" t="str">
        <v>Cap</v>
      </c>
      <c r="S197" t="str">
        <v>Clothing</v>
      </c>
      <c r="T197">
        <v>1796.08</v>
      </c>
      <c r="U197" t="str">
        <v>Tracy Moore</v>
      </c>
      <c r="V197">
        <v>33282</v>
      </c>
      <c r="W197">
        <v>45788</v>
      </c>
      <c r="X197">
        <v>3.3</v>
      </c>
      <c r="Y197">
        <v>59.27064</v>
      </c>
      <c r="Z197">
        <v>1736.80936</v>
      </c>
      <c r="AC197" t="str">
        <v>Camera</v>
      </c>
      <c r="AD197">
        <v>3806.0106239999996</v>
      </c>
      <c r="AF197">
        <v>1252</v>
      </c>
      <c r="AG197" t="str">
        <v>Sofa</v>
      </c>
      <c r="AH197">
        <v>1398.1178620000001</v>
      </c>
    </row>
    <row r="198" spans="1:34" x14ac:dyDescent="0.3">
      <c r="A198" s="1">
        <v>1196</v>
      </c>
      <c r="B198" s="2">
        <v>45182</v>
      </c>
      <c r="C198" s="1" t="s">
        <v>10</v>
      </c>
      <c r="D198" s="1" t="s">
        <v>102</v>
      </c>
      <c r="E198" s="1" t="s">
        <v>12</v>
      </c>
      <c r="F198" s="1">
        <v>505.23</v>
      </c>
      <c r="G198" s="1" t="s">
        <v>192</v>
      </c>
      <c r="H198" s="2">
        <v>33626</v>
      </c>
      <c r="I198" s="2">
        <v>45186</v>
      </c>
      <c r="J198" s="1">
        <v>32.119999999999997</v>
      </c>
      <c r="K198" s="4">
        <f t="shared" si="6"/>
        <v>162.279876</v>
      </c>
      <c r="L198" s="4">
        <f t="shared" si="7"/>
        <v>342.95012400000002</v>
      </c>
      <c r="O198">
        <v>1256</v>
      </c>
      <c r="P198">
        <v>44829</v>
      </c>
      <c r="Q198" t="str">
        <v>West</v>
      </c>
      <c r="R198" t="str">
        <v>Headphones</v>
      </c>
      <c r="S198" t="str">
        <v>Electronics</v>
      </c>
      <c r="T198">
        <v>1161.73</v>
      </c>
      <c r="U198" t="str">
        <v>Jessica Frank</v>
      </c>
      <c r="V198">
        <v>30755</v>
      </c>
      <c r="W198">
        <v>44838</v>
      </c>
      <c r="X198">
        <v>8.2799999999999994</v>
      </c>
      <c r="Y198">
        <v>96.191243999999998</v>
      </c>
      <c r="Z198">
        <v>1065.5387559999999</v>
      </c>
      <c r="AC198" t="str">
        <v>Cap</v>
      </c>
      <c r="AD198">
        <v>1736.80936</v>
      </c>
      <c r="AF198">
        <v>1253</v>
      </c>
      <c r="AG198" t="str">
        <v>Camera</v>
      </c>
      <c r="AH198">
        <v>3806.0106239999996</v>
      </c>
    </row>
    <row r="199" spans="1:34" x14ac:dyDescent="0.3">
      <c r="A199" s="1">
        <v>1197</v>
      </c>
      <c r="B199" s="2">
        <v>45554</v>
      </c>
      <c r="C199" s="1" t="s">
        <v>35</v>
      </c>
      <c r="D199" s="1" t="s">
        <v>33</v>
      </c>
      <c r="E199" s="1" t="s">
        <v>16</v>
      </c>
      <c r="F199" s="1">
        <v>4798.92</v>
      </c>
      <c r="G199" s="1" t="s">
        <v>123</v>
      </c>
      <c r="H199" s="2">
        <v>36120</v>
      </c>
      <c r="I199" s="2">
        <v>45561</v>
      </c>
      <c r="J199" s="1">
        <v>34.590000000000003</v>
      </c>
      <c r="K199" s="4">
        <f t="shared" si="6"/>
        <v>1659.9464280000002</v>
      </c>
      <c r="L199" s="4">
        <f t="shared" si="7"/>
        <v>3138.9735719999999</v>
      </c>
      <c r="O199">
        <v>1258</v>
      </c>
      <c r="P199">
        <v>44533</v>
      </c>
      <c r="Q199" t="str">
        <v>East</v>
      </c>
      <c r="R199" t="str">
        <v>Football</v>
      </c>
      <c r="S199" t="str">
        <v>Sports</v>
      </c>
      <c r="T199">
        <v>4156.28</v>
      </c>
      <c r="U199" t="str">
        <v>Kevin Preston</v>
      </c>
      <c r="V199">
        <v>32064</v>
      </c>
      <c r="W199">
        <v>44535</v>
      </c>
      <c r="X199">
        <v>11.58</v>
      </c>
      <c r="Y199">
        <v>481.29722399999997</v>
      </c>
      <c r="Z199">
        <v>3674.9827759999998</v>
      </c>
      <c r="AC199" t="str">
        <v>Headphones</v>
      </c>
      <c r="AD199">
        <v>1065.5387559999999</v>
      </c>
      <c r="AF199">
        <v>1254</v>
      </c>
      <c r="AG199" t="str">
        <v>Cap</v>
      </c>
      <c r="AH199">
        <v>1736.80936</v>
      </c>
    </row>
    <row r="200" spans="1:34" x14ac:dyDescent="0.3">
      <c r="A200" s="1">
        <v>1198</v>
      </c>
      <c r="B200" s="2">
        <v>44503</v>
      </c>
      <c r="C200" s="1" t="s">
        <v>14</v>
      </c>
      <c r="D200" s="1" t="s">
        <v>33</v>
      </c>
      <c r="E200" s="1" t="s">
        <v>16</v>
      </c>
      <c r="F200" s="1">
        <v>484.34</v>
      </c>
      <c r="G200" s="1" t="s">
        <v>193</v>
      </c>
      <c r="H200" s="2">
        <v>26082</v>
      </c>
      <c r="I200" s="2">
        <v>44510</v>
      </c>
      <c r="J200" s="1">
        <v>18.260000000000002</v>
      </c>
      <c r="K200" s="4">
        <f t="shared" si="6"/>
        <v>88.440483999999998</v>
      </c>
      <c r="L200" s="4">
        <f t="shared" si="7"/>
        <v>395.89951599999995</v>
      </c>
      <c r="O200">
        <v>1259</v>
      </c>
      <c r="P200">
        <v>44840</v>
      </c>
      <c r="Q200" t="str">
        <v>South</v>
      </c>
      <c r="R200" t="str">
        <v>Basketball</v>
      </c>
      <c r="S200" t="str">
        <v>Sports</v>
      </c>
      <c r="T200">
        <v>1970.21</v>
      </c>
      <c r="U200" t="str">
        <v>Jeffery Smith</v>
      </c>
      <c r="V200">
        <v>28619</v>
      </c>
      <c r="W200">
        <v>44850</v>
      </c>
      <c r="X200">
        <v>11.03</v>
      </c>
      <c r="Y200">
        <v>217.31416300000001</v>
      </c>
      <c r="Z200">
        <v>1752.895837</v>
      </c>
      <c r="AC200" t="str">
        <v>Football</v>
      </c>
      <c r="AD200">
        <v>3674.9827759999998</v>
      </c>
      <c r="AF200">
        <v>1256</v>
      </c>
      <c r="AG200" t="str">
        <v>Headphones</v>
      </c>
      <c r="AH200">
        <v>1065.5387559999999</v>
      </c>
    </row>
    <row r="201" spans="1:34" x14ac:dyDescent="0.3">
      <c r="A201" s="1">
        <v>1199</v>
      </c>
      <c r="B201" s="2">
        <v>44435</v>
      </c>
      <c r="C201" s="1" t="s">
        <v>14</v>
      </c>
      <c r="D201" s="1" t="s">
        <v>49</v>
      </c>
      <c r="E201" s="1" t="s">
        <v>12</v>
      </c>
      <c r="F201" s="1">
        <v>4449.97</v>
      </c>
      <c r="G201" s="1" t="s">
        <v>118</v>
      </c>
      <c r="H201" s="2">
        <v>22599</v>
      </c>
      <c r="I201" s="2">
        <v>44448</v>
      </c>
      <c r="J201" s="1">
        <v>4.2699999999999996</v>
      </c>
      <c r="K201" s="4">
        <f t="shared" si="6"/>
        <v>190.01371899999998</v>
      </c>
      <c r="L201" s="4">
        <f t="shared" si="7"/>
        <v>4259.9562810000007</v>
      </c>
      <c r="O201">
        <v>1260</v>
      </c>
      <c r="P201">
        <v>44890</v>
      </c>
      <c r="Q201" t="str">
        <v>Central</v>
      </c>
      <c r="R201" t="str">
        <v>Table</v>
      </c>
      <c r="S201" t="str">
        <v>Furniture</v>
      </c>
      <c r="T201">
        <v>4251.99</v>
      </c>
      <c r="U201" t="str">
        <v>Jacob Thomas</v>
      </c>
      <c r="V201">
        <v>39193</v>
      </c>
      <c r="W201">
        <v>44903</v>
      </c>
      <c r="X201">
        <v>34.770000000000003</v>
      </c>
      <c r="Y201">
        <v>1478.416923</v>
      </c>
      <c r="Z201">
        <v>2773.573077</v>
      </c>
      <c r="AC201" t="str">
        <v>Basketball</v>
      </c>
      <c r="AD201">
        <v>1752.895837</v>
      </c>
      <c r="AF201">
        <v>1258</v>
      </c>
      <c r="AG201" t="str">
        <v>Football</v>
      </c>
      <c r="AH201">
        <v>3674.9827759999998</v>
      </c>
    </row>
    <row r="202" spans="1:34" x14ac:dyDescent="0.3">
      <c r="A202" s="1">
        <v>1200</v>
      </c>
      <c r="B202" s="2">
        <v>45089</v>
      </c>
      <c r="C202" s="1" t="s">
        <v>26</v>
      </c>
      <c r="D202" s="1" t="s">
        <v>11</v>
      </c>
      <c r="E202" s="1" t="s">
        <v>12</v>
      </c>
      <c r="F202" s="1">
        <v>3878.91</v>
      </c>
      <c r="G202" s="1" t="s">
        <v>83</v>
      </c>
      <c r="H202" s="2">
        <v>24673</v>
      </c>
      <c r="I202" s="2">
        <v>45096</v>
      </c>
      <c r="J202" s="1">
        <v>39.96</v>
      </c>
      <c r="K202" s="4">
        <f t="shared" si="6"/>
        <v>1550.012436</v>
      </c>
      <c r="L202" s="4">
        <f t="shared" si="7"/>
        <v>2328.8975639999999</v>
      </c>
      <c r="O202">
        <v>1261</v>
      </c>
      <c r="P202">
        <v>44437</v>
      </c>
      <c r="Q202" t="str">
        <v>South</v>
      </c>
      <c r="R202" t="str">
        <v>Laptop</v>
      </c>
      <c r="S202" t="str">
        <v>Electronics</v>
      </c>
      <c r="T202">
        <v>2814.81</v>
      </c>
      <c r="U202" t="str">
        <v>Beth Landry</v>
      </c>
      <c r="V202">
        <v>34954</v>
      </c>
      <c r="W202">
        <v>44444</v>
      </c>
      <c r="X202">
        <v>36.85</v>
      </c>
      <c r="Y202">
        <v>1037.2574849999999</v>
      </c>
      <c r="Z202">
        <v>1777.5525150000001</v>
      </c>
      <c r="AC202" t="str">
        <v>Table</v>
      </c>
      <c r="AD202">
        <v>2773.573077</v>
      </c>
      <c r="AF202">
        <v>1259</v>
      </c>
      <c r="AG202" t="str">
        <v>Basketball</v>
      </c>
      <c r="AH202">
        <v>1752.895837</v>
      </c>
    </row>
    <row r="203" spans="1:34" x14ac:dyDescent="0.3">
      <c r="A203" s="1">
        <v>1201</v>
      </c>
      <c r="B203" s="2">
        <v>44968</v>
      </c>
      <c r="C203" s="1" t="s">
        <v>21</v>
      </c>
      <c r="D203" s="1" t="s">
        <v>38</v>
      </c>
      <c r="E203" s="1" t="s">
        <v>28</v>
      </c>
      <c r="F203" s="1">
        <v>3955.84</v>
      </c>
      <c r="G203" s="1" t="s">
        <v>194</v>
      </c>
      <c r="H203" s="2">
        <v>22210</v>
      </c>
      <c r="I203" s="2">
        <v>44969</v>
      </c>
      <c r="J203" s="1">
        <v>18.329999999999998</v>
      </c>
      <c r="K203" s="4">
        <f t="shared" si="6"/>
        <v>725.10547199999996</v>
      </c>
      <c r="L203" s="4">
        <f t="shared" si="7"/>
        <v>3230.734528</v>
      </c>
      <c r="O203">
        <v>1262</v>
      </c>
      <c r="P203">
        <v>45103</v>
      </c>
      <c r="Q203" t="str">
        <v>West</v>
      </c>
      <c r="R203" t="str">
        <v>Table</v>
      </c>
      <c r="S203" t="str">
        <v>Furniture</v>
      </c>
      <c r="T203">
        <v>2491.4899999999998</v>
      </c>
      <c r="U203" t="str">
        <v>Matthew Baird</v>
      </c>
      <c r="V203">
        <v>35658</v>
      </c>
      <c r="W203">
        <v>45113</v>
      </c>
      <c r="X203">
        <v>21.1</v>
      </c>
      <c r="Y203">
        <v>525.70438999999999</v>
      </c>
      <c r="Z203">
        <v>1965.7856099999999</v>
      </c>
      <c r="AC203" t="str">
        <v>Laptop</v>
      </c>
      <c r="AD203">
        <v>1777.5525150000001</v>
      </c>
      <c r="AF203">
        <v>1260</v>
      </c>
      <c r="AG203" t="str">
        <v>Table</v>
      </c>
      <c r="AH203">
        <v>2773.573077</v>
      </c>
    </row>
    <row r="204" spans="1:34" x14ac:dyDescent="0.3">
      <c r="A204" s="1">
        <v>1202</v>
      </c>
      <c r="B204" s="2">
        <v>44175</v>
      </c>
      <c r="C204" s="1" t="s">
        <v>26</v>
      </c>
      <c r="D204" s="1" t="s">
        <v>69</v>
      </c>
      <c r="E204" s="1" t="s">
        <v>31</v>
      </c>
      <c r="F204" s="1">
        <v>1511.72</v>
      </c>
      <c r="G204" s="1" t="s">
        <v>195</v>
      </c>
      <c r="H204" s="2">
        <v>28065</v>
      </c>
      <c r="I204" s="2">
        <v>44187</v>
      </c>
      <c r="J204" s="1">
        <v>39.659999999999997</v>
      </c>
      <c r="K204" s="4">
        <f t="shared" si="6"/>
        <v>599.54815199999996</v>
      </c>
      <c r="L204" s="4">
        <f t="shared" si="7"/>
        <v>912.17184800000007</v>
      </c>
      <c r="O204">
        <v>1263</v>
      </c>
      <c r="P204">
        <v>44413</v>
      </c>
      <c r="Q204" t="str">
        <v>North</v>
      </c>
      <c r="R204" t="str">
        <v>Tablet</v>
      </c>
      <c r="S204" t="str">
        <v>Electronics</v>
      </c>
      <c r="T204">
        <v>3097.86</v>
      </c>
      <c r="U204" t="str">
        <v>Aaron Smith</v>
      </c>
      <c r="V204">
        <v>23470</v>
      </c>
      <c r="W204">
        <v>44419</v>
      </c>
      <c r="X204">
        <v>41.73</v>
      </c>
      <c r="Y204">
        <v>1292.7369779999999</v>
      </c>
      <c r="Z204">
        <v>1805.1230220000002</v>
      </c>
      <c r="AC204" t="str">
        <v>Table</v>
      </c>
      <c r="AD204">
        <v>1965.7856099999999</v>
      </c>
      <c r="AF204">
        <v>1261</v>
      </c>
      <c r="AG204" t="str">
        <v>Laptop</v>
      </c>
      <c r="AH204">
        <v>1777.5525150000001</v>
      </c>
    </row>
    <row r="205" spans="1:34" x14ac:dyDescent="0.3">
      <c r="A205" s="1">
        <v>1203</v>
      </c>
      <c r="B205" s="2">
        <v>45345</v>
      </c>
      <c r="C205" s="1" t="s">
        <v>35</v>
      </c>
      <c r="D205" s="1" t="s">
        <v>44</v>
      </c>
      <c r="E205" s="1" t="s">
        <v>16</v>
      </c>
      <c r="F205" s="1">
        <v>2358</v>
      </c>
      <c r="G205" s="1" t="s">
        <v>122</v>
      </c>
      <c r="H205" s="2">
        <v>29720</v>
      </c>
      <c r="I205" s="2">
        <v>45346</v>
      </c>
      <c r="J205" s="1">
        <v>47.61</v>
      </c>
      <c r="K205" s="4">
        <f t="shared" si="6"/>
        <v>1122.6437999999998</v>
      </c>
      <c r="L205" s="4">
        <f t="shared" si="7"/>
        <v>1235.3562000000002</v>
      </c>
      <c r="O205">
        <v>1265</v>
      </c>
      <c r="P205">
        <v>45103</v>
      </c>
      <c r="Q205" t="str">
        <v>Central</v>
      </c>
      <c r="R205" t="str">
        <v>Laptop</v>
      </c>
      <c r="S205" t="str">
        <v>Electronics</v>
      </c>
      <c r="T205">
        <v>3658.32</v>
      </c>
      <c r="U205" t="str">
        <v>Kirsten Wilkins</v>
      </c>
      <c r="V205">
        <v>25430</v>
      </c>
      <c r="W205">
        <v>45116</v>
      </c>
      <c r="X205">
        <v>27.9</v>
      </c>
      <c r="Y205">
        <v>1020.6712799999999</v>
      </c>
      <c r="Z205">
        <v>2637.6487200000001</v>
      </c>
      <c r="AC205" t="str">
        <v>Tablet</v>
      </c>
      <c r="AD205">
        <v>1805.1230220000002</v>
      </c>
      <c r="AF205">
        <v>1262</v>
      </c>
      <c r="AG205" t="str">
        <v>Table</v>
      </c>
      <c r="AH205">
        <v>1965.7856099999999</v>
      </c>
    </row>
    <row r="206" spans="1:34" x14ac:dyDescent="0.3">
      <c r="A206" s="1">
        <v>1204</v>
      </c>
      <c r="B206" s="2">
        <v>44468</v>
      </c>
      <c r="C206" s="1" t="s">
        <v>26</v>
      </c>
      <c r="D206" s="1" t="s">
        <v>65</v>
      </c>
      <c r="E206" s="1" t="s">
        <v>19</v>
      </c>
      <c r="F206" s="1">
        <v>4910.2700000000004</v>
      </c>
      <c r="G206" s="1" t="s">
        <v>173</v>
      </c>
      <c r="H206" s="2">
        <v>22016</v>
      </c>
      <c r="I206" s="2">
        <v>44481</v>
      </c>
      <c r="J206" s="1">
        <v>0.52</v>
      </c>
      <c r="K206" s="4">
        <f t="shared" si="6"/>
        <v>25.533404000000001</v>
      </c>
      <c r="L206" s="4">
        <f t="shared" si="7"/>
        <v>4884.7365960000006</v>
      </c>
      <c r="O206">
        <v>1266</v>
      </c>
      <c r="P206">
        <v>45878</v>
      </c>
      <c r="Q206" t="str">
        <v>Central</v>
      </c>
      <c r="R206" t="str">
        <v>Oil</v>
      </c>
      <c r="S206" t="str">
        <v>Groceries</v>
      </c>
      <c r="T206">
        <v>4570.67</v>
      </c>
      <c r="U206" t="str">
        <v>Cynthia Brown</v>
      </c>
      <c r="V206">
        <v>35407</v>
      </c>
      <c r="W206">
        <v>45880</v>
      </c>
      <c r="X206">
        <v>40.4</v>
      </c>
      <c r="Y206">
        <v>1846.5506799999998</v>
      </c>
      <c r="Z206">
        <v>2724.1193200000002</v>
      </c>
      <c r="AC206" t="str">
        <v>Laptop</v>
      </c>
      <c r="AD206">
        <v>2637.6487200000001</v>
      </c>
      <c r="AF206">
        <v>1263</v>
      </c>
      <c r="AG206" t="str">
        <v>Tablet</v>
      </c>
      <c r="AH206">
        <v>1805.1230220000002</v>
      </c>
    </row>
    <row r="207" spans="1:34" x14ac:dyDescent="0.3">
      <c r="A207" s="1">
        <v>1205</v>
      </c>
      <c r="B207" s="2">
        <v>44575</v>
      </c>
      <c r="C207" s="1" t="s">
        <v>21</v>
      </c>
      <c r="D207" s="1" t="s">
        <v>69</v>
      </c>
      <c r="E207" s="1" t="s">
        <v>31</v>
      </c>
      <c r="F207" s="1">
        <v>654.83000000000004</v>
      </c>
      <c r="G207" s="1" t="s">
        <v>196</v>
      </c>
      <c r="H207" s="2">
        <v>26300</v>
      </c>
      <c r="I207" s="2">
        <v>44588</v>
      </c>
      <c r="J207" s="1">
        <v>27.19</v>
      </c>
      <c r="K207" s="4">
        <f t="shared" si="6"/>
        <v>178.04827700000004</v>
      </c>
      <c r="L207" s="4">
        <f t="shared" si="7"/>
        <v>476.781723</v>
      </c>
      <c r="O207">
        <v>1268</v>
      </c>
      <c r="P207">
        <v>44776</v>
      </c>
      <c r="Q207" t="str">
        <v>West</v>
      </c>
      <c r="R207" t="str">
        <v>Shoes</v>
      </c>
      <c r="S207" t="str">
        <v>Sports</v>
      </c>
      <c r="T207">
        <v>1206.06</v>
      </c>
      <c r="U207" t="str">
        <v>Wesley Olson</v>
      </c>
      <c r="V207">
        <v>27166</v>
      </c>
      <c r="W207">
        <v>44782</v>
      </c>
      <c r="X207">
        <v>10.39</v>
      </c>
      <c r="Y207">
        <v>125.309634</v>
      </c>
      <c r="Z207">
        <v>1080.750366</v>
      </c>
      <c r="AC207" t="str">
        <v>Oil</v>
      </c>
      <c r="AD207">
        <v>2724.1193200000002</v>
      </c>
      <c r="AF207">
        <v>1265</v>
      </c>
      <c r="AG207" t="str">
        <v>Laptop</v>
      </c>
      <c r="AH207">
        <v>2637.6487200000001</v>
      </c>
    </row>
    <row r="208" spans="1:34" x14ac:dyDescent="0.3">
      <c r="A208" s="1">
        <v>1206</v>
      </c>
      <c r="B208" s="2">
        <v>45665</v>
      </c>
      <c r="C208" s="1" t="s">
        <v>14</v>
      </c>
      <c r="D208" s="1" t="s">
        <v>47</v>
      </c>
      <c r="E208" s="1" t="s">
        <v>12</v>
      </c>
      <c r="F208" s="1">
        <v>871.1</v>
      </c>
      <c r="G208" s="1" t="s">
        <v>197</v>
      </c>
      <c r="H208" s="2">
        <v>26001</v>
      </c>
      <c r="I208" s="2">
        <v>45667</v>
      </c>
      <c r="J208" s="1">
        <v>42.4</v>
      </c>
      <c r="K208" s="4">
        <f t="shared" si="6"/>
        <v>369.34640000000002</v>
      </c>
      <c r="L208" s="4">
        <f t="shared" si="7"/>
        <v>501.75360000000001</v>
      </c>
      <c r="O208">
        <v>1270</v>
      </c>
      <c r="P208">
        <v>44757</v>
      </c>
      <c r="Q208" t="str">
        <v>Central</v>
      </c>
      <c r="R208" t="str">
        <v>Wardrobe</v>
      </c>
      <c r="S208" t="str">
        <v>Furniture</v>
      </c>
      <c r="T208">
        <v>1878.78</v>
      </c>
      <c r="U208" t="str">
        <v>Brittany Allen</v>
      </c>
      <c r="V208">
        <v>24670</v>
      </c>
      <c r="W208">
        <v>44766</v>
      </c>
      <c r="X208">
        <v>1.81</v>
      </c>
      <c r="Y208">
        <v>34.005918000000001</v>
      </c>
      <c r="Z208">
        <v>1844.7740819999999</v>
      </c>
      <c r="AC208" t="str">
        <v>Shoes</v>
      </c>
      <c r="AD208">
        <v>1080.750366</v>
      </c>
      <c r="AF208">
        <v>1266</v>
      </c>
      <c r="AG208" t="str">
        <v>Oil</v>
      </c>
      <c r="AH208">
        <v>2724.1193200000002</v>
      </c>
    </row>
    <row r="209" spans="1:34" x14ac:dyDescent="0.3">
      <c r="A209" s="1">
        <v>1207</v>
      </c>
      <c r="B209" s="2">
        <v>44585</v>
      </c>
      <c r="C209" s="1" t="s">
        <v>10</v>
      </c>
      <c r="D209" s="1" t="s">
        <v>30</v>
      </c>
      <c r="E209" s="1" t="s">
        <v>31</v>
      </c>
      <c r="F209" s="1">
        <v>2724.62</v>
      </c>
      <c r="G209" s="1" t="s">
        <v>198</v>
      </c>
      <c r="H209" s="2">
        <v>31598</v>
      </c>
      <c r="I209" s="2">
        <v>44599</v>
      </c>
      <c r="J209" s="1">
        <v>39.33</v>
      </c>
      <c r="K209" s="4">
        <f t="shared" si="6"/>
        <v>1071.593046</v>
      </c>
      <c r="L209" s="4">
        <f t="shared" si="7"/>
        <v>1653.0269539999999</v>
      </c>
      <c r="O209">
        <v>1272</v>
      </c>
      <c r="P209">
        <v>45875</v>
      </c>
      <c r="Q209" t="str">
        <v>North</v>
      </c>
      <c r="R209" t="str">
        <v>Tennis Racket</v>
      </c>
      <c r="S209" t="str">
        <v>Sports</v>
      </c>
      <c r="T209">
        <v>3347.21</v>
      </c>
      <c r="U209" t="str">
        <v>Jason Davidson</v>
      </c>
      <c r="V209">
        <v>34016</v>
      </c>
      <c r="W209">
        <v>45880</v>
      </c>
      <c r="X209">
        <v>41.7</v>
      </c>
      <c r="Y209">
        <v>1395.7865700000002</v>
      </c>
      <c r="Z209">
        <v>1951.4234299999998</v>
      </c>
      <c r="AC209" t="str">
        <v>Wardrobe</v>
      </c>
      <c r="AD209">
        <v>1844.7740819999999</v>
      </c>
      <c r="AF209">
        <v>1268</v>
      </c>
      <c r="AG209" t="str">
        <v>Shoes</v>
      </c>
      <c r="AH209">
        <v>1080.750366</v>
      </c>
    </row>
    <row r="210" spans="1:34" x14ac:dyDescent="0.3">
      <c r="A210" s="1">
        <v>1208</v>
      </c>
      <c r="B210" s="2">
        <v>45028</v>
      </c>
      <c r="C210" s="1" t="s">
        <v>14</v>
      </c>
      <c r="D210" s="1" t="s">
        <v>36</v>
      </c>
      <c r="E210" s="1" t="s">
        <v>28</v>
      </c>
      <c r="F210" s="1">
        <v>1636.83</v>
      </c>
      <c r="G210" s="1" t="s">
        <v>199</v>
      </c>
      <c r="H210" s="2">
        <v>25341</v>
      </c>
      <c r="I210" s="2">
        <v>45040</v>
      </c>
      <c r="J210" s="1">
        <v>11.01</v>
      </c>
      <c r="K210" s="4">
        <f t="shared" si="6"/>
        <v>180.21498299999999</v>
      </c>
      <c r="L210" s="4">
        <f t="shared" si="7"/>
        <v>1456.6150169999999</v>
      </c>
      <c r="O210">
        <v>1273</v>
      </c>
      <c r="P210">
        <v>45857</v>
      </c>
      <c r="Q210" t="str">
        <v>East</v>
      </c>
      <c r="R210" t="str">
        <v>Chair</v>
      </c>
      <c r="S210" t="str">
        <v>Furniture</v>
      </c>
      <c r="T210">
        <v>2890.65</v>
      </c>
      <c r="U210" t="str">
        <v>Caitlin Crane</v>
      </c>
      <c r="V210">
        <v>33332</v>
      </c>
      <c r="W210">
        <v>45868</v>
      </c>
      <c r="X210">
        <v>27.79</v>
      </c>
      <c r="Y210">
        <v>803.31163500000002</v>
      </c>
      <c r="Z210">
        <v>2087.3383650000001</v>
      </c>
      <c r="AC210" t="str">
        <v>Tennis Racket</v>
      </c>
      <c r="AD210">
        <v>1951.4234299999998</v>
      </c>
      <c r="AF210">
        <v>1270</v>
      </c>
      <c r="AG210" t="str">
        <v>Wardrobe</v>
      </c>
      <c r="AH210">
        <v>1844.7740819999999</v>
      </c>
    </row>
    <row r="211" spans="1:34" x14ac:dyDescent="0.3">
      <c r="A211" s="1">
        <v>1209</v>
      </c>
      <c r="B211" s="2">
        <v>44543</v>
      </c>
      <c r="C211" s="1" t="s">
        <v>10</v>
      </c>
      <c r="D211" s="1" t="s">
        <v>65</v>
      </c>
      <c r="E211" s="1" t="s">
        <v>19</v>
      </c>
      <c r="F211" s="1">
        <v>173.02</v>
      </c>
      <c r="G211" s="1" t="s">
        <v>200</v>
      </c>
      <c r="H211" s="2">
        <v>30222</v>
      </c>
      <c r="I211" s="2">
        <v>44553</v>
      </c>
      <c r="J211" s="1">
        <v>15.94</v>
      </c>
      <c r="K211" s="4">
        <f t="shared" si="6"/>
        <v>27.579387999999998</v>
      </c>
      <c r="L211" s="4">
        <f t="shared" si="7"/>
        <v>145.44061200000002</v>
      </c>
      <c r="O211">
        <v>1274</v>
      </c>
      <c r="P211">
        <v>45696</v>
      </c>
      <c r="Q211" t="str">
        <v>East</v>
      </c>
      <c r="R211" t="str">
        <v>Football</v>
      </c>
      <c r="S211" t="str">
        <v>Sports</v>
      </c>
      <c r="T211">
        <v>3258.98</v>
      </c>
      <c r="U211" t="str">
        <v>Patrick Woods</v>
      </c>
      <c r="V211">
        <v>34932</v>
      </c>
      <c r="W211">
        <v>45701</v>
      </c>
      <c r="X211">
        <v>15.98</v>
      </c>
      <c r="Y211">
        <v>520.78500399999996</v>
      </c>
      <c r="Z211">
        <v>2738.1949960000002</v>
      </c>
      <c r="AC211" t="str">
        <v>Chair</v>
      </c>
      <c r="AD211">
        <v>2087.3383650000001</v>
      </c>
      <c r="AF211">
        <v>1272</v>
      </c>
      <c r="AG211" t="str">
        <v>Tennis Racket</v>
      </c>
      <c r="AH211">
        <v>1951.4234299999998</v>
      </c>
    </row>
    <row r="212" spans="1:34" x14ac:dyDescent="0.3">
      <c r="A212" s="1">
        <v>1210</v>
      </c>
      <c r="B212" s="2">
        <v>44387</v>
      </c>
      <c r="C212" s="1" t="s">
        <v>35</v>
      </c>
      <c r="D212" s="1" t="s">
        <v>61</v>
      </c>
      <c r="E212" s="1" t="s">
        <v>19</v>
      </c>
      <c r="F212" s="1">
        <v>3390.55</v>
      </c>
      <c r="G212" s="1" t="s">
        <v>201</v>
      </c>
      <c r="H212" s="2">
        <v>23469</v>
      </c>
      <c r="I212" s="2">
        <v>44389</v>
      </c>
      <c r="J212" s="1">
        <v>16.8</v>
      </c>
      <c r="K212" s="4">
        <f t="shared" si="6"/>
        <v>569.61240000000009</v>
      </c>
      <c r="L212" s="4">
        <f t="shared" si="7"/>
        <v>2820.9376000000002</v>
      </c>
      <c r="O212">
        <v>1275</v>
      </c>
      <c r="P212">
        <v>45724</v>
      </c>
      <c r="Q212" t="str">
        <v>West</v>
      </c>
      <c r="R212" t="str">
        <v>Football</v>
      </c>
      <c r="S212" t="str">
        <v>Sports</v>
      </c>
      <c r="T212">
        <v>2674.72</v>
      </c>
      <c r="U212" t="str">
        <v>Troy Kelley</v>
      </c>
      <c r="V212">
        <v>29348</v>
      </c>
      <c r="W212">
        <v>45730</v>
      </c>
      <c r="X212">
        <v>41</v>
      </c>
      <c r="Y212">
        <v>1096.6351999999999</v>
      </c>
      <c r="Z212">
        <v>1578.0847999999999</v>
      </c>
      <c r="AC212" t="str">
        <v>Football</v>
      </c>
      <c r="AD212">
        <v>2738.1949960000002</v>
      </c>
      <c r="AF212">
        <v>1273</v>
      </c>
      <c r="AG212" t="str">
        <v>Chair</v>
      </c>
      <c r="AH212">
        <v>2087.3383650000001</v>
      </c>
    </row>
    <row r="213" spans="1:34" x14ac:dyDescent="0.3">
      <c r="A213" s="1">
        <v>1211</v>
      </c>
      <c r="B213" s="2">
        <v>44412</v>
      </c>
      <c r="C213" s="1" t="s">
        <v>14</v>
      </c>
      <c r="D213" s="1" t="s">
        <v>53</v>
      </c>
      <c r="E213" s="1" t="s">
        <v>28</v>
      </c>
      <c r="F213" s="1">
        <v>2135.7600000000002</v>
      </c>
      <c r="G213" s="1" t="s">
        <v>202</v>
      </c>
      <c r="H213" s="2">
        <v>24802</v>
      </c>
      <c r="I213" s="2">
        <v>44426</v>
      </c>
      <c r="J213" s="1">
        <v>38.24</v>
      </c>
      <c r="K213" s="4">
        <f t="shared" si="6"/>
        <v>816.71462400000007</v>
      </c>
      <c r="L213" s="4">
        <f t="shared" si="7"/>
        <v>1319.045376</v>
      </c>
      <c r="O213">
        <v>1276</v>
      </c>
      <c r="P213">
        <v>45664</v>
      </c>
      <c r="Q213" t="str">
        <v>Central</v>
      </c>
      <c r="R213" t="str">
        <v>Tennis Racket</v>
      </c>
      <c r="S213" t="str">
        <v>Sports</v>
      </c>
      <c r="T213">
        <v>2605.23</v>
      </c>
      <c r="U213" t="str">
        <v>Debra Jones</v>
      </c>
      <c r="V213">
        <v>25811</v>
      </c>
      <c r="W213">
        <v>45671</v>
      </c>
      <c r="X213">
        <v>38.31</v>
      </c>
      <c r="Y213">
        <v>998.06361300000003</v>
      </c>
      <c r="Z213">
        <v>1607.166387</v>
      </c>
      <c r="AC213" t="str">
        <v>Football</v>
      </c>
      <c r="AD213">
        <v>1578.0847999999999</v>
      </c>
      <c r="AF213">
        <v>1274</v>
      </c>
      <c r="AG213" t="str">
        <v>Football</v>
      </c>
      <c r="AH213">
        <v>2738.1949960000002</v>
      </c>
    </row>
    <row r="214" spans="1:34" x14ac:dyDescent="0.3">
      <c r="A214" s="1">
        <v>1212</v>
      </c>
      <c r="B214" s="2">
        <v>45875</v>
      </c>
      <c r="C214" s="1" t="s">
        <v>35</v>
      </c>
      <c r="D214" s="1" t="s">
        <v>58</v>
      </c>
      <c r="E214" s="1" t="s">
        <v>31</v>
      </c>
      <c r="F214" s="1">
        <v>4735.45</v>
      </c>
      <c r="G214" s="1" t="s">
        <v>165</v>
      </c>
      <c r="H214" s="2">
        <v>29887</v>
      </c>
      <c r="I214" s="2">
        <v>45888</v>
      </c>
      <c r="J214" s="1">
        <v>31.17</v>
      </c>
      <c r="K214" s="4">
        <f t="shared" si="6"/>
        <v>1476.039765</v>
      </c>
      <c r="L214" s="4">
        <f t="shared" si="7"/>
        <v>3259.4102349999998</v>
      </c>
      <c r="O214">
        <v>1278</v>
      </c>
      <c r="P214">
        <v>45112</v>
      </c>
      <c r="Q214" t="str">
        <v>North</v>
      </c>
      <c r="R214" t="str">
        <v>Milk</v>
      </c>
      <c r="S214" t="str">
        <v>Groceries</v>
      </c>
      <c r="T214">
        <v>1792.81</v>
      </c>
      <c r="U214" t="str">
        <v>Colin Garcia</v>
      </c>
      <c r="V214">
        <v>37783</v>
      </c>
      <c r="W214">
        <v>45114</v>
      </c>
      <c r="X214">
        <v>0.96</v>
      </c>
      <c r="Y214">
        <v>17.210975999999999</v>
      </c>
      <c r="Z214">
        <v>1775.5990239999999</v>
      </c>
      <c r="AC214" t="str">
        <v>Tennis Racket</v>
      </c>
      <c r="AD214">
        <v>1607.166387</v>
      </c>
      <c r="AF214">
        <v>1275</v>
      </c>
      <c r="AG214" t="str">
        <v>Football</v>
      </c>
      <c r="AH214">
        <v>1578.0847999999999</v>
      </c>
    </row>
    <row r="215" spans="1:34" x14ac:dyDescent="0.3">
      <c r="A215" s="1">
        <v>1213</v>
      </c>
      <c r="B215" s="2">
        <v>44481</v>
      </c>
      <c r="C215" s="1" t="s">
        <v>10</v>
      </c>
      <c r="D215" s="1" t="s">
        <v>69</v>
      </c>
      <c r="E215" s="1" t="s">
        <v>31</v>
      </c>
      <c r="F215" s="1">
        <v>2889.24</v>
      </c>
      <c r="G215" s="1" t="s">
        <v>13</v>
      </c>
      <c r="H215" s="2">
        <v>24348</v>
      </c>
      <c r="I215" s="2">
        <v>44488</v>
      </c>
      <c r="J215" s="1">
        <v>28.37</v>
      </c>
      <c r="K215" s="4">
        <f t="shared" si="6"/>
        <v>819.67738799999995</v>
      </c>
      <c r="L215" s="4">
        <f t="shared" si="7"/>
        <v>2069.5626119999997</v>
      </c>
      <c r="O215">
        <v>1281</v>
      </c>
      <c r="P215">
        <v>44602</v>
      </c>
      <c r="Q215" t="str">
        <v>Central</v>
      </c>
      <c r="R215" t="str">
        <v>Tablet</v>
      </c>
      <c r="S215" t="str">
        <v>Electronics</v>
      </c>
      <c r="T215">
        <v>1739.97</v>
      </c>
      <c r="U215" t="str">
        <v>Brandon King</v>
      </c>
      <c r="V215">
        <v>34364</v>
      </c>
      <c r="W215">
        <v>44608</v>
      </c>
      <c r="X215">
        <v>37.43</v>
      </c>
      <c r="Y215">
        <v>651.27077100000008</v>
      </c>
      <c r="Z215">
        <v>1088.6992289999998</v>
      </c>
      <c r="AC215" t="str">
        <v>Milk</v>
      </c>
      <c r="AD215">
        <v>1775.5990239999999</v>
      </c>
      <c r="AF215">
        <v>1276</v>
      </c>
      <c r="AG215" t="str">
        <v>Tennis Racket</v>
      </c>
      <c r="AH215">
        <v>1607.166387</v>
      </c>
    </row>
    <row r="216" spans="1:34" x14ac:dyDescent="0.3">
      <c r="A216" s="1">
        <v>1214</v>
      </c>
      <c r="B216" s="2">
        <v>45507</v>
      </c>
      <c r="C216" s="1" t="s">
        <v>21</v>
      </c>
      <c r="D216" s="1" t="s">
        <v>22</v>
      </c>
      <c r="E216" s="1" t="s">
        <v>19</v>
      </c>
      <c r="F216" s="1">
        <v>3022.9</v>
      </c>
      <c r="G216" s="1" t="s">
        <v>170</v>
      </c>
      <c r="H216" s="2">
        <v>34205</v>
      </c>
      <c r="I216" s="2">
        <v>45521</v>
      </c>
      <c r="J216" s="1">
        <v>47.72</v>
      </c>
      <c r="K216" s="4">
        <f t="shared" si="6"/>
        <v>1442.5278800000001</v>
      </c>
      <c r="L216" s="4">
        <f t="shared" si="7"/>
        <v>1580.37212</v>
      </c>
      <c r="O216">
        <v>1283</v>
      </c>
      <c r="P216">
        <v>45017</v>
      </c>
      <c r="Q216" t="str">
        <v>East</v>
      </c>
      <c r="R216" t="str">
        <v>Oil</v>
      </c>
      <c r="S216" t="str">
        <v>Groceries</v>
      </c>
      <c r="T216">
        <v>1815.01</v>
      </c>
      <c r="U216" t="str">
        <v>Kyle Thomas</v>
      </c>
      <c r="V216">
        <v>29541</v>
      </c>
      <c r="W216">
        <v>45031</v>
      </c>
      <c r="X216">
        <v>30.87</v>
      </c>
      <c r="Y216">
        <v>560.293587</v>
      </c>
      <c r="Z216">
        <v>1254.7164130000001</v>
      </c>
      <c r="AC216" t="str">
        <v>Tablet</v>
      </c>
      <c r="AD216">
        <v>1088.6992289999998</v>
      </c>
      <c r="AF216">
        <v>1278</v>
      </c>
      <c r="AG216" t="str">
        <v>Milk</v>
      </c>
      <c r="AH216">
        <v>1775.5990239999999</v>
      </c>
    </row>
    <row r="217" spans="1:34" x14ac:dyDescent="0.3">
      <c r="A217" s="1">
        <v>1215</v>
      </c>
      <c r="B217" s="2">
        <v>45473</v>
      </c>
      <c r="C217" s="1" t="s">
        <v>35</v>
      </c>
      <c r="D217" s="1" t="s">
        <v>11</v>
      </c>
      <c r="E217" s="1" t="s">
        <v>12</v>
      </c>
      <c r="F217" s="1">
        <v>4188.75</v>
      </c>
      <c r="G217" s="1" t="s">
        <v>203</v>
      </c>
      <c r="H217" s="2">
        <v>34357</v>
      </c>
      <c r="I217" s="2">
        <v>45475</v>
      </c>
      <c r="J217" s="1">
        <v>38.21</v>
      </c>
      <c r="K217" s="4">
        <f t="shared" si="6"/>
        <v>1600.521375</v>
      </c>
      <c r="L217" s="4">
        <f t="shared" si="7"/>
        <v>2588.2286249999997</v>
      </c>
      <c r="O217">
        <v>1284</v>
      </c>
      <c r="P217">
        <v>45082</v>
      </c>
      <c r="Q217" t="str">
        <v>West</v>
      </c>
      <c r="R217" t="str">
        <v>Cricket Bat</v>
      </c>
      <c r="S217" t="str">
        <v>Sports</v>
      </c>
      <c r="T217">
        <v>3756.55</v>
      </c>
      <c r="U217" t="str">
        <v>Mrs. Rebecca Young</v>
      </c>
      <c r="V217">
        <v>30820</v>
      </c>
      <c r="W217">
        <v>45088</v>
      </c>
      <c r="X217">
        <v>23.22</v>
      </c>
      <c r="Y217">
        <v>872.27090999999996</v>
      </c>
      <c r="Z217">
        <v>2884.27909</v>
      </c>
      <c r="AC217" t="str">
        <v>Oil</v>
      </c>
      <c r="AD217">
        <v>1254.7164130000001</v>
      </c>
      <c r="AF217">
        <v>1281</v>
      </c>
      <c r="AG217" t="str">
        <v>Tablet</v>
      </c>
      <c r="AH217">
        <v>1088.6992289999998</v>
      </c>
    </row>
    <row r="218" spans="1:34" x14ac:dyDescent="0.3">
      <c r="A218" s="1">
        <v>1216</v>
      </c>
      <c r="B218" s="2">
        <v>44675</v>
      </c>
      <c r="C218" s="1" t="s">
        <v>26</v>
      </c>
      <c r="D218" s="1" t="s">
        <v>49</v>
      </c>
      <c r="E218" s="1" t="s">
        <v>12</v>
      </c>
      <c r="F218" s="1">
        <v>2073.79</v>
      </c>
      <c r="G218" s="1" t="s">
        <v>77</v>
      </c>
      <c r="H218" s="2">
        <v>38696</v>
      </c>
      <c r="I218" s="2">
        <v>44682</v>
      </c>
      <c r="J218" s="1">
        <v>25.62</v>
      </c>
      <c r="K218" s="4">
        <f t="shared" si="6"/>
        <v>531.30499799999996</v>
      </c>
      <c r="L218" s="4">
        <f t="shared" si="7"/>
        <v>1542.4850019999999</v>
      </c>
      <c r="O218">
        <v>1286</v>
      </c>
      <c r="P218">
        <v>45456</v>
      </c>
      <c r="Q218" t="str">
        <v>Central</v>
      </c>
      <c r="R218" t="str">
        <v>Shoes</v>
      </c>
      <c r="S218" t="str">
        <v>Clothing</v>
      </c>
      <c r="T218">
        <v>2518.66</v>
      </c>
      <c r="U218" t="str">
        <v>Robert Jones</v>
      </c>
      <c r="V218">
        <v>32047</v>
      </c>
      <c r="W218">
        <v>45468</v>
      </c>
      <c r="X218">
        <v>37.5</v>
      </c>
      <c r="Y218">
        <v>944.49749999999995</v>
      </c>
      <c r="Z218">
        <v>1574.1624999999999</v>
      </c>
      <c r="AC218" t="str">
        <v>Cricket Bat</v>
      </c>
      <c r="AD218">
        <v>2884.27909</v>
      </c>
      <c r="AF218">
        <v>1283</v>
      </c>
      <c r="AG218" t="str">
        <v>Oil</v>
      </c>
      <c r="AH218">
        <v>1254.7164130000001</v>
      </c>
    </row>
    <row r="219" spans="1:34" x14ac:dyDescent="0.3">
      <c r="A219" s="1">
        <v>1217</v>
      </c>
      <c r="B219" s="2">
        <v>44521</v>
      </c>
      <c r="C219" s="1" t="s">
        <v>14</v>
      </c>
      <c r="D219" s="1" t="s">
        <v>73</v>
      </c>
      <c r="E219" s="1" t="s">
        <v>28</v>
      </c>
      <c r="F219" s="1">
        <v>2237.83</v>
      </c>
      <c r="G219" s="1" t="s">
        <v>137</v>
      </c>
      <c r="H219" s="2">
        <v>36905</v>
      </c>
      <c r="I219" s="2">
        <v>44524</v>
      </c>
      <c r="J219" s="1">
        <v>4.8600000000000003</v>
      </c>
      <c r="K219" s="4">
        <f t="shared" si="6"/>
        <v>108.758538</v>
      </c>
      <c r="L219" s="4">
        <f t="shared" si="7"/>
        <v>2129.0714619999999</v>
      </c>
      <c r="O219">
        <v>1288</v>
      </c>
      <c r="P219">
        <v>44486</v>
      </c>
      <c r="Q219" t="str">
        <v>West</v>
      </c>
      <c r="R219" t="str">
        <v>Bed</v>
      </c>
      <c r="S219" t="str">
        <v>Furniture</v>
      </c>
      <c r="T219">
        <v>2583.3000000000002</v>
      </c>
      <c r="U219" t="str">
        <v>Colin White</v>
      </c>
      <c r="V219">
        <v>34345</v>
      </c>
      <c r="W219">
        <v>44493</v>
      </c>
      <c r="X219">
        <v>25.43</v>
      </c>
      <c r="Y219">
        <v>656.93318999999997</v>
      </c>
      <c r="Z219">
        <v>1926.3668100000002</v>
      </c>
      <c r="AC219" t="str">
        <v>Shoes</v>
      </c>
      <c r="AD219">
        <v>1574.1624999999999</v>
      </c>
      <c r="AF219">
        <v>1284</v>
      </c>
      <c r="AG219" t="str">
        <v>Cricket Bat</v>
      </c>
      <c r="AH219">
        <v>2884.27909</v>
      </c>
    </row>
    <row r="220" spans="1:34" x14ac:dyDescent="0.3">
      <c r="A220" s="1">
        <v>1218</v>
      </c>
      <c r="B220" s="2">
        <v>44470</v>
      </c>
      <c r="C220" s="1" t="s">
        <v>26</v>
      </c>
      <c r="D220" s="1" t="s">
        <v>24</v>
      </c>
      <c r="E220" s="1" t="s">
        <v>19</v>
      </c>
      <c r="F220" s="1">
        <v>3830.75</v>
      </c>
      <c r="G220" s="1" t="s">
        <v>204</v>
      </c>
      <c r="H220" s="2">
        <v>23718</v>
      </c>
      <c r="I220" s="2">
        <v>44475</v>
      </c>
      <c r="J220" s="1">
        <v>39.33</v>
      </c>
      <c r="K220" s="4">
        <f t="shared" si="6"/>
        <v>1506.633975</v>
      </c>
      <c r="L220" s="4">
        <f t="shared" si="7"/>
        <v>2324.1160250000003</v>
      </c>
      <c r="O220">
        <v>1290</v>
      </c>
      <c r="P220">
        <v>44419</v>
      </c>
      <c r="Q220" t="str">
        <v>Central</v>
      </c>
      <c r="R220" t="str">
        <v>Cap</v>
      </c>
      <c r="S220" t="str">
        <v>Clothing</v>
      </c>
      <c r="T220">
        <v>3547.69</v>
      </c>
      <c r="U220" t="str">
        <v>Troy Kelley</v>
      </c>
      <c r="V220">
        <v>29348</v>
      </c>
      <c r="W220">
        <v>44423</v>
      </c>
      <c r="X220">
        <v>29.29</v>
      </c>
      <c r="Y220">
        <v>1039.1184009999999</v>
      </c>
      <c r="Z220">
        <v>2508.5715989999999</v>
      </c>
      <c r="AC220" t="str">
        <v>Bed</v>
      </c>
      <c r="AD220">
        <v>1926.3668100000002</v>
      </c>
      <c r="AF220">
        <v>1286</v>
      </c>
      <c r="AG220" t="str">
        <v>Shoes</v>
      </c>
      <c r="AH220">
        <v>1574.1624999999999</v>
      </c>
    </row>
    <row r="221" spans="1:34" x14ac:dyDescent="0.3">
      <c r="A221" s="1">
        <v>1219</v>
      </c>
      <c r="B221" s="2">
        <v>45412</v>
      </c>
      <c r="C221" s="1" t="s">
        <v>35</v>
      </c>
      <c r="D221" s="1" t="s">
        <v>53</v>
      </c>
      <c r="E221" s="1" t="s">
        <v>28</v>
      </c>
      <c r="F221" s="1">
        <v>808.73</v>
      </c>
      <c r="G221" s="1" t="s">
        <v>205</v>
      </c>
      <c r="H221" s="2">
        <v>27526</v>
      </c>
      <c r="I221" s="2">
        <v>45419</v>
      </c>
      <c r="J221" s="1">
        <v>8.61</v>
      </c>
      <c r="K221" s="4">
        <f t="shared" si="6"/>
        <v>69.631653</v>
      </c>
      <c r="L221" s="4">
        <f t="shared" si="7"/>
        <v>739.09834699999999</v>
      </c>
      <c r="O221">
        <v>1291</v>
      </c>
      <c r="P221">
        <v>44229</v>
      </c>
      <c r="Q221" t="str">
        <v>North</v>
      </c>
      <c r="R221" t="str">
        <v>Tennis Racket</v>
      </c>
      <c r="S221" t="str">
        <v>Sports</v>
      </c>
      <c r="T221">
        <v>3240.37</v>
      </c>
      <c r="U221" t="str">
        <v>Douglas Williams</v>
      </c>
      <c r="V221">
        <v>38826</v>
      </c>
      <c r="W221">
        <v>44235</v>
      </c>
      <c r="X221">
        <v>27.44</v>
      </c>
      <c r="Y221">
        <v>889.15752800000007</v>
      </c>
      <c r="Z221">
        <v>2351.2124719999997</v>
      </c>
      <c r="AC221" t="str">
        <v>Cap</v>
      </c>
      <c r="AD221">
        <v>2508.5715989999999</v>
      </c>
      <c r="AF221">
        <v>1288</v>
      </c>
      <c r="AG221" t="str">
        <v>Bed</v>
      </c>
      <c r="AH221">
        <v>1926.3668100000002</v>
      </c>
    </row>
    <row r="222" spans="1:34" x14ac:dyDescent="0.3">
      <c r="A222" s="1">
        <v>1220</v>
      </c>
      <c r="B222" s="2">
        <v>45194</v>
      </c>
      <c r="C222" s="1" t="s">
        <v>14</v>
      </c>
      <c r="D222" s="1" t="s">
        <v>65</v>
      </c>
      <c r="E222" s="1" t="s">
        <v>19</v>
      </c>
      <c r="F222" s="1">
        <v>3956.75</v>
      </c>
      <c r="G222" s="1" t="s">
        <v>206</v>
      </c>
      <c r="H222" s="2">
        <v>34011</v>
      </c>
      <c r="I222" s="2">
        <v>45205</v>
      </c>
      <c r="J222" s="1">
        <v>1.67</v>
      </c>
      <c r="K222" s="4">
        <f t="shared" si="6"/>
        <v>66.077725000000001</v>
      </c>
      <c r="L222" s="4">
        <f t="shared" si="7"/>
        <v>3890.6722749999999</v>
      </c>
      <c r="O222">
        <v>1292</v>
      </c>
      <c r="P222">
        <v>45799</v>
      </c>
      <c r="Q222" t="str">
        <v>West</v>
      </c>
      <c r="R222" t="str">
        <v>Shoes</v>
      </c>
      <c r="S222" t="str">
        <v>Sports</v>
      </c>
      <c r="T222">
        <v>1365.32</v>
      </c>
      <c r="U222" t="str">
        <v>Stephanie Weeks</v>
      </c>
      <c r="V222">
        <v>36951</v>
      </c>
      <c r="W222">
        <v>45803</v>
      </c>
      <c r="X222">
        <v>19.55</v>
      </c>
      <c r="Y222">
        <v>266.92005999999998</v>
      </c>
      <c r="Z222">
        <v>1098.39994</v>
      </c>
      <c r="AC222" t="str">
        <v>Tennis Racket</v>
      </c>
      <c r="AD222">
        <v>2351.2124719999997</v>
      </c>
      <c r="AF222">
        <v>1290</v>
      </c>
      <c r="AG222" t="str">
        <v>Cap</v>
      </c>
      <c r="AH222">
        <v>2508.5715989999999</v>
      </c>
    </row>
    <row r="223" spans="1:34" x14ac:dyDescent="0.3">
      <c r="A223" s="1">
        <v>1221</v>
      </c>
      <c r="B223" s="2">
        <v>45465</v>
      </c>
      <c r="C223" s="1" t="s">
        <v>14</v>
      </c>
      <c r="D223" s="1" t="s">
        <v>53</v>
      </c>
      <c r="E223" s="1" t="s">
        <v>28</v>
      </c>
      <c r="F223" s="1">
        <v>3130.27</v>
      </c>
      <c r="G223" s="1" t="s">
        <v>139</v>
      </c>
      <c r="H223" s="2">
        <v>29381</v>
      </c>
      <c r="I223" s="2">
        <v>45478</v>
      </c>
      <c r="J223" s="1">
        <v>44.53</v>
      </c>
      <c r="K223" s="4">
        <f t="shared" si="6"/>
        <v>1393.9092310000001</v>
      </c>
      <c r="L223" s="4">
        <f t="shared" si="7"/>
        <v>1736.3607689999999</v>
      </c>
      <c r="O223">
        <v>1295</v>
      </c>
      <c r="P223">
        <v>45791</v>
      </c>
      <c r="Q223" t="str">
        <v>Central</v>
      </c>
      <c r="R223" t="str">
        <v>Basketball</v>
      </c>
      <c r="S223" t="str">
        <v>Sports</v>
      </c>
      <c r="T223">
        <v>2154.89</v>
      </c>
      <c r="U223" t="str">
        <v>David Noble</v>
      </c>
      <c r="V223">
        <v>22594</v>
      </c>
      <c r="W223">
        <v>45792</v>
      </c>
      <c r="X223">
        <v>25</v>
      </c>
      <c r="Y223">
        <v>538.72249999999997</v>
      </c>
      <c r="Z223">
        <v>1616.1675</v>
      </c>
      <c r="AC223" t="str">
        <v>Shoes</v>
      </c>
      <c r="AD223">
        <v>1098.39994</v>
      </c>
      <c r="AF223">
        <v>1291</v>
      </c>
      <c r="AG223" t="str">
        <v>Tennis Racket</v>
      </c>
      <c r="AH223">
        <v>2351.2124719999997</v>
      </c>
    </row>
    <row r="224" spans="1:34" x14ac:dyDescent="0.3">
      <c r="A224" s="1">
        <v>1222</v>
      </c>
      <c r="B224" s="2">
        <v>44808</v>
      </c>
      <c r="C224" s="1" t="s">
        <v>35</v>
      </c>
      <c r="D224" s="1" t="s">
        <v>53</v>
      </c>
      <c r="E224" s="1" t="s">
        <v>28</v>
      </c>
      <c r="F224" s="1">
        <v>3446.37</v>
      </c>
      <c r="G224" s="1" t="s">
        <v>207</v>
      </c>
      <c r="H224" s="2">
        <v>23988</v>
      </c>
      <c r="I224" s="2">
        <v>44814</v>
      </c>
      <c r="J224" s="1">
        <v>5.56</v>
      </c>
      <c r="K224" s="4">
        <f t="shared" si="6"/>
        <v>191.61817199999999</v>
      </c>
      <c r="L224" s="4">
        <f t="shared" si="7"/>
        <v>3254.7518279999999</v>
      </c>
      <c r="O224">
        <v>1296</v>
      </c>
      <c r="P224">
        <v>45625</v>
      </c>
      <c r="Q224" t="str">
        <v>South</v>
      </c>
      <c r="R224" t="str">
        <v>Wheat</v>
      </c>
      <c r="S224" t="str">
        <v>Groceries</v>
      </c>
      <c r="T224">
        <v>4002.12</v>
      </c>
      <c r="U224" t="str">
        <v>Lucas Rodriguez</v>
      </c>
      <c r="V224">
        <v>23890</v>
      </c>
      <c r="W224">
        <v>45633</v>
      </c>
      <c r="X224">
        <v>46.69</v>
      </c>
      <c r="Y224">
        <v>1868.5898279999999</v>
      </c>
      <c r="Z224">
        <v>2133.5301719999998</v>
      </c>
      <c r="AC224" t="str">
        <v>Basketball</v>
      </c>
      <c r="AD224">
        <v>1616.1675</v>
      </c>
      <c r="AF224">
        <v>1292</v>
      </c>
      <c r="AG224" t="str">
        <v>Shoes</v>
      </c>
      <c r="AH224">
        <v>1098.39994</v>
      </c>
    </row>
    <row r="225" spans="1:34" x14ac:dyDescent="0.3">
      <c r="A225" s="1">
        <v>1223</v>
      </c>
      <c r="B225" s="2">
        <v>45167</v>
      </c>
      <c r="C225" s="1" t="s">
        <v>35</v>
      </c>
      <c r="D225" s="1" t="s">
        <v>36</v>
      </c>
      <c r="E225" s="1" t="s">
        <v>28</v>
      </c>
      <c r="F225" s="1">
        <v>2497.2600000000002</v>
      </c>
      <c r="G225" s="1" t="s">
        <v>130</v>
      </c>
      <c r="H225" s="2">
        <v>38750</v>
      </c>
      <c r="I225" s="2">
        <v>45174</v>
      </c>
      <c r="J225" s="1">
        <v>1.29</v>
      </c>
      <c r="K225" s="4">
        <f t="shared" si="6"/>
        <v>32.214654000000003</v>
      </c>
      <c r="L225" s="4">
        <f t="shared" si="7"/>
        <v>2465.0453460000003</v>
      </c>
      <c r="O225">
        <v>1297</v>
      </c>
      <c r="P225">
        <v>44703</v>
      </c>
      <c r="Q225" t="str">
        <v>East</v>
      </c>
      <c r="R225" t="str">
        <v>Headphones</v>
      </c>
      <c r="S225" t="str">
        <v>Electronics</v>
      </c>
      <c r="T225">
        <v>3838.33</v>
      </c>
      <c r="U225" t="str">
        <v>Jesse Hernandez</v>
      </c>
      <c r="V225">
        <v>27550</v>
      </c>
      <c r="W225">
        <v>44713</v>
      </c>
      <c r="X225">
        <v>24.79</v>
      </c>
      <c r="Y225">
        <v>951.52200699999992</v>
      </c>
      <c r="Z225">
        <v>2886.8079929999999</v>
      </c>
      <c r="AC225" t="str">
        <v>Wheat</v>
      </c>
      <c r="AD225">
        <v>2133.5301719999998</v>
      </c>
      <c r="AF225">
        <v>1295</v>
      </c>
      <c r="AG225" t="str">
        <v>Basketball</v>
      </c>
      <c r="AH225">
        <v>1616.1675</v>
      </c>
    </row>
    <row r="226" spans="1:34" x14ac:dyDescent="0.3">
      <c r="A226" s="1">
        <v>1224</v>
      </c>
      <c r="B226" s="2">
        <v>44083</v>
      </c>
      <c r="C226" s="1" t="s">
        <v>14</v>
      </c>
      <c r="D226" s="1" t="s">
        <v>11</v>
      </c>
      <c r="E226" s="1" t="s">
        <v>12</v>
      </c>
      <c r="F226" s="1">
        <v>851.57</v>
      </c>
      <c r="G226" s="1" t="s">
        <v>181</v>
      </c>
      <c r="H226" s="2">
        <v>25222</v>
      </c>
      <c r="I226" s="2">
        <v>44092</v>
      </c>
      <c r="J226" s="1">
        <v>7.79</v>
      </c>
      <c r="K226" s="4">
        <f t="shared" si="6"/>
        <v>66.337303000000006</v>
      </c>
      <c r="L226" s="4">
        <f t="shared" si="7"/>
        <v>785.23269700000003</v>
      </c>
      <c r="O226">
        <v>1299</v>
      </c>
      <c r="P226">
        <v>44819</v>
      </c>
      <c r="Q226" t="str">
        <v>West</v>
      </c>
      <c r="R226" t="str">
        <v>Sofa</v>
      </c>
      <c r="S226" t="str">
        <v>Furniture</v>
      </c>
      <c r="T226">
        <v>2757.73</v>
      </c>
      <c r="U226" t="str">
        <v>Christopher Harris</v>
      </c>
      <c r="V226">
        <v>24792</v>
      </c>
      <c r="W226">
        <v>44829</v>
      </c>
      <c r="X226">
        <v>21.95</v>
      </c>
      <c r="Y226">
        <v>605.32173499999999</v>
      </c>
      <c r="Z226">
        <v>2152.408265</v>
      </c>
      <c r="AC226" t="str">
        <v>Headphones</v>
      </c>
      <c r="AD226">
        <v>2886.8079929999999</v>
      </c>
      <c r="AF226">
        <v>1296</v>
      </c>
      <c r="AG226" t="str">
        <v>Wheat</v>
      </c>
      <c r="AH226">
        <v>2133.5301719999998</v>
      </c>
    </row>
    <row r="227" spans="1:34" x14ac:dyDescent="0.3">
      <c r="A227" s="1">
        <v>1225</v>
      </c>
      <c r="B227" s="2">
        <v>44858</v>
      </c>
      <c r="C227" s="1" t="s">
        <v>26</v>
      </c>
      <c r="D227" s="1" t="s">
        <v>33</v>
      </c>
      <c r="E227" s="1" t="s">
        <v>16</v>
      </c>
      <c r="F227" s="1">
        <v>2904.95</v>
      </c>
      <c r="G227" s="1" t="s">
        <v>124</v>
      </c>
      <c r="H227" s="2">
        <v>30786</v>
      </c>
      <c r="I227" s="2">
        <v>44860</v>
      </c>
      <c r="J227" s="1">
        <v>6.47</v>
      </c>
      <c r="K227" s="4">
        <f t="shared" si="6"/>
        <v>187.95026499999997</v>
      </c>
      <c r="L227" s="4">
        <f t="shared" si="7"/>
        <v>2716.9997349999999</v>
      </c>
      <c r="O227">
        <v>1300</v>
      </c>
      <c r="P227">
        <v>45780</v>
      </c>
      <c r="Q227" t="str">
        <v>Central</v>
      </c>
      <c r="R227" t="str">
        <v>Wardrobe</v>
      </c>
      <c r="S227" t="str">
        <v>Furniture</v>
      </c>
      <c r="T227">
        <v>4519.3100000000004</v>
      </c>
      <c r="U227" t="str">
        <v>Kathryn Allen</v>
      </c>
      <c r="V227">
        <v>32146</v>
      </c>
      <c r="W227">
        <v>45791</v>
      </c>
      <c r="X227">
        <v>34.9</v>
      </c>
      <c r="Y227">
        <v>1577.23919</v>
      </c>
      <c r="Z227">
        <v>2942.0708100000002</v>
      </c>
      <c r="AC227" t="str">
        <v>Sofa</v>
      </c>
      <c r="AD227">
        <v>2152.408265</v>
      </c>
      <c r="AF227">
        <v>1297</v>
      </c>
      <c r="AG227" t="str">
        <v>Headphones</v>
      </c>
      <c r="AH227">
        <v>2886.8079929999999</v>
      </c>
    </row>
    <row r="228" spans="1:34" x14ac:dyDescent="0.3">
      <c r="A228" s="1">
        <v>1226</v>
      </c>
      <c r="B228" s="2">
        <v>45203</v>
      </c>
      <c r="C228" s="1" t="s">
        <v>26</v>
      </c>
      <c r="D228" s="1" t="s">
        <v>47</v>
      </c>
      <c r="E228" s="1" t="s">
        <v>12</v>
      </c>
      <c r="F228" s="1">
        <v>513.84</v>
      </c>
      <c r="G228" s="1" t="s">
        <v>113</v>
      </c>
      <c r="H228" s="2">
        <v>25579</v>
      </c>
      <c r="I228" s="2">
        <v>45214</v>
      </c>
      <c r="J228" s="1">
        <v>49.58</v>
      </c>
      <c r="K228" s="4">
        <f t="shared" si="6"/>
        <v>254.76187199999998</v>
      </c>
      <c r="L228" s="4">
        <f t="shared" si="7"/>
        <v>259.07812800000005</v>
      </c>
      <c r="O228">
        <v>1301</v>
      </c>
      <c r="P228">
        <v>45060</v>
      </c>
      <c r="Q228" t="str">
        <v>North</v>
      </c>
      <c r="R228" t="str">
        <v>Oil</v>
      </c>
      <c r="S228" t="str">
        <v>Groceries</v>
      </c>
      <c r="T228">
        <v>2137.69</v>
      </c>
      <c r="U228" t="str">
        <v>Mark Swanson</v>
      </c>
      <c r="V228">
        <v>36099</v>
      </c>
      <c r="W228">
        <v>45074</v>
      </c>
      <c r="X228">
        <v>25.33</v>
      </c>
      <c r="Y228">
        <v>541.47687699999994</v>
      </c>
      <c r="Z228">
        <v>1596.213123</v>
      </c>
      <c r="AC228" t="str">
        <v>Wardrobe</v>
      </c>
      <c r="AD228">
        <v>2942.0708100000002</v>
      </c>
      <c r="AF228">
        <v>1299</v>
      </c>
      <c r="AG228" t="str">
        <v>Sofa</v>
      </c>
      <c r="AH228">
        <v>2152.408265</v>
      </c>
    </row>
    <row r="229" spans="1:34" x14ac:dyDescent="0.3">
      <c r="A229" s="1">
        <v>1227</v>
      </c>
      <c r="B229" s="2">
        <v>45737</v>
      </c>
      <c r="C229" s="1" t="s">
        <v>35</v>
      </c>
      <c r="D229" s="1" t="s">
        <v>47</v>
      </c>
      <c r="E229" s="1" t="s">
        <v>12</v>
      </c>
      <c r="F229" s="1">
        <v>4335.8</v>
      </c>
      <c r="G229" s="1" t="s">
        <v>208</v>
      </c>
      <c r="H229" s="2">
        <v>32188</v>
      </c>
      <c r="I229" s="2">
        <v>45750</v>
      </c>
      <c r="J229" s="1">
        <v>9.0299999999999994</v>
      </c>
      <c r="K229" s="4">
        <f t="shared" si="6"/>
        <v>391.52274</v>
      </c>
      <c r="L229" s="4">
        <f t="shared" si="7"/>
        <v>3944.2772600000003</v>
      </c>
      <c r="O229">
        <v>1302</v>
      </c>
      <c r="P229">
        <v>44344</v>
      </c>
      <c r="Q229" t="str">
        <v>West</v>
      </c>
      <c r="R229" t="str">
        <v>Table</v>
      </c>
      <c r="S229" t="str">
        <v>Furniture</v>
      </c>
      <c r="T229">
        <v>3401.09</v>
      </c>
      <c r="U229" t="str">
        <v>Melissa Moreno</v>
      </c>
      <c r="V229">
        <v>25579</v>
      </c>
      <c r="W229">
        <v>44348</v>
      </c>
      <c r="X229">
        <v>29.35</v>
      </c>
      <c r="Y229">
        <v>998.21991500000013</v>
      </c>
      <c r="Z229">
        <v>2402.870085</v>
      </c>
      <c r="AC229" t="str">
        <v>Oil</v>
      </c>
      <c r="AD229">
        <v>1596.213123</v>
      </c>
      <c r="AF229">
        <v>1300</v>
      </c>
      <c r="AG229" t="str">
        <v>Wardrobe</v>
      </c>
      <c r="AH229">
        <v>2942.0708100000002</v>
      </c>
    </row>
    <row r="230" spans="1:34" x14ac:dyDescent="0.3">
      <c r="A230" s="1">
        <v>1228</v>
      </c>
      <c r="B230" s="2">
        <v>45107</v>
      </c>
      <c r="C230" s="1" t="s">
        <v>14</v>
      </c>
      <c r="D230" s="1" t="s">
        <v>44</v>
      </c>
      <c r="E230" s="1" t="s">
        <v>16</v>
      </c>
      <c r="F230" s="1">
        <v>2971.52</v>
      </c>
      <c r="G230" s="1" t="s">
        <v>209</v>
      </c>
      <c r="H230" s="2">
        <v>28522</v>
      </c>
      <c r="I230" s="2">
        <v>45119</v>
      </c>
      <c r="J230" s="1">
        <v>24.69</v>
      </c>
      <c r="K230" s="4">
        <f t="shared" si="6"/>
        <v>733.66828800000008</v>
      </c>
      <c r="L230" s="4">
        <f t="shared" si="7"/>
        <v>2237.8517119999997</v>
      </c>
      <c r="O230">
        <v>1303</v>
      </c>
      <c r="P230">
        <v>44677</v>
      </c>
      <c r="Q230" t="str">
        <v>East</v>
      </c>
      <c r="R230" t="str">
        <v>Laptop</v>
      </c>
      <c r="S230" t="str">
        <v>Electronics</v>
      </c>
      <c r="T230">
        <v>3673.8</v>
      </c>
      <c r="U230" t="str">
        <v>Melissa Douglas</v>
      </c>
      <c r="V230">
        <v>33386</v>
      </c>
      <c r="W230">
        <v>44688</v>
      </c>
      <c r="X230">
        <v>22.63</v>
      </c>
      <c r="Y230">
        <v>831.38094000000001</v>
      </c>
      <c r="Z230">
        <v>2842.4190600000002</v>
      </c>
      <c r="AC230" t="str">
        <v>Table</v>
      </c>
      <c r="AD230">
        <v>2402.870085</v>
      </c>
      <c r="AF230">
        <v>1301</v>
      </c>
      <c r="AG230" t="str">
        <v>Oil</v>
      </c>
      <c r="AH230">
        <v>1596.213123</v>
      </c>
    </row>
    <row r="231" spans="1:34" x14ac:dyDescent="0.3">
      <c r="A231" s="1">
        <v>1229</v>
      </c>
      <c r="B231" s="2">
        <v>44494</v>
      </c>
      <c r="C231" s="1" t="s">
        <v>35</v>
      </c>
      <c r="D231" s="1" t="s">
        <v>88</v>
      </c>
      <c r="E231" s="1" t="s">
        <v>16</v>
      </c>
      <c r="F231" s="1">
        <v>4761.95</v>
      </c>
      <c r="G231" s="1" t="s">
        <v>210</v>
      </c>
      <c r="H231" s="2">
        <v>27550</v>
      </c>
      <c r="I231" s="2">
        <v>44501</v>
      </c>
      <c r="J231" s="1">
        <v>43.51</v>
      </c>
      <c r="K231" s="4">
        <f t="shared" si="6"/>
        <v>2071.9244449999997</v>
      </c>
      <c r="L231" s="4">
        <f t="shared" si="7"/>
        <v>2690.0255550000002</v>
      </c>
      <c r="O231">
        <v>1304</v>
      </c>
      <c r="P231">
        <v>44833</v>
      </c>
      <c r="Q231" t="str">
        <v>South</v>
      </c>
      <c r="R231" t="str">
        <v>Laptop</v>
      </c>
      <c r="S231" t="str">
        <v>Electronics</v>
      </c>
      <c r="T231">
        <v>3544.31</v>
      </c>
      <c r="U231" t="str">
        <v>Kerry Hines</v>
      </c>
      <c r="V231">
        <v>34011</v>
      </c>
      <c r="W231">
        <v>44844</v>
      </c>
      <c r="X231">
        <v>26.92</v>
      </c>
      <c r="Y231">
        <v>954.12825199999997</v>
      </c>
      <c r="Z231">
        <v>2590.181748</v>
      </c>
      <c r="AC231" t="str">
        <v>Laptop</v>
      </c>
      <c r="AD231">
        <v>2842.4190600000002</v>
      </c>
      <c r="AF231">
        <v>1302</v>
      </c>
      <c r="AG231" t="str">
        <v>Table</v>
      </c>
      <c r="AH231">
        <v>2402.870085</v>
      </c>
    </row>
    <row r="232" spans="1:34" x14ac:dyDescent="0.3">
      <c r="A232" s="1">
        <v>1230</v>
      </c>
      <c r="B232" s="2">
        <v>44269</v>
      </c>
      <c r="C232" s="1" t="s">
        <v>26</v>
      </c>
      <c r="D232" s="1" t="s">
        <v>33</v>
      </c>
      <c r="E232" s="1" t="s">
        <v>16</v>
      </c>
      <c r="F232" s="1">
        <v>1146.72</v>
      </c>
      <c r="G232" s="1" t="s">
        <v>158</v>
      </c>
      <c r="H232" s="2">
        <v>34871</v>
      </c>
      <c r="I232" s="2">
        <v>44274</v>
      </c>
      <c r="J232" s="1">
        <v>32.44</v>
      </c>
      <c r="K232" s="4">
        <f t="shared" si="6"/>
        <v>371.99596799999995</v>
      </c>
      <c r="L232" s="4">
        <f t="shared" si="7"/>
        <v>774.72403200000008</v>
      </c>
      <c r="O232">
        <v>1305</v>
      </c>
      <c r="P232">
        <v>45432</v>
      </c>
      <c r="Q232" t="str">
        <v>Central</v>
      </c>
      <c r="R232" t="str">
        <v>Cap</v>
      </c>
      <c r="S232" t="str">
        <v>Clothing</v>
      </c>
      <c r="T232">
        <v>4720.71</v>
      </c>
      <c r="U232" t="str">
        <v>Laura Wood</v>
      </c>
      <c r="V232">
        <v>31419</v>
      </c>
      <c r="W232">
        <v>45440</v>
      </c>
      <c r="X232">
        <v>45.5</v>
      </c>
      <c r="Y232">
        <v>2147.9230499999999</v>
      </c>
      <c r="Z232">
        <v>2572.7869500000002</v>
      </c>
      <c r="AC232" t="str">
        <v>Laptop</v>
      </c>
      <c r="AD232">
        <v>2590.181748</v>
      </c>
      <c r="AF232">
        <v>1303</v>
      </c>
      <c r="AG232" t="str">
        <v>Laptop</v>
      </c>
      <c r="AH232">
        <v>2842.4190600000002</v>
      </c>
    </row>
    <row r="233" spans="1:34" x14ac:dyDescent="0.3">
      <c r="A233" s="1">
        <v>1231</v>
      </c>
      <c r="B233" s="2">
        <v>44857</v>
      </c>
      <c r="C233" s="1" t="s">
        <v>26</v>
      </c>
      <c r="D233" s="1" t="s">
        <v>47</v>
      </c>
      <c r="E233" s="1" t="s">
        <v>12</v>
      </c>
      <c r="F233" s="1">
        <v>2995.97</v>
      </c>
      <c r="G233" s="1" t="s">
        <v>153</v>
      </c>
      <c r="H233" s="2">
        <v>36216</v>
      </c>
      <c r="I233" s="2">
        <v>44868</v>
      </c>
      <c r="J233" s="1">
        <v>3.74</v>
      </c>
      <c r="K233" s="4">
        <f t="shared" si="6"/>
        <v>112.049278</v>
      </c>
      <c r="L233" s="4">
        <f t="shared" si="7"/>
        <v>2883.9207219999998</v>
      </c>
      <c r="O233">
        <v>1307</v>
      </c>
      <c r="P233">
        <v>45377</v>
      </c>
      <c r="Q233" t="str">
        <v>East</v>
      </c>
      <c r="R233" t="str">
        <v>Camera</v>
      </c>
      <c r="S233" t="str">
        <v>Electronics</v>
      </c>
      <c r="T233">
        <v>2670.72</v>
      </c>
      <c r="U233" t="str">
        <v>Kim Brown</v>
      </c>
      <c r="V233">
        <v>24368</v>
      </c>
      <c r="W233">
        <v>45379</v>
      </c>
      <c r="X233">
        <v>34.68</v>
      </c>
      <c r="Y233">
        <v>926.20569599999988</v>
      </c>
      <c r="Z233">
        <v>1744.5143039999998</v>
      </c>
      <c r="AC233" t="str">
        <v>Cap</v>
      </c>
      <c r="AD233">
        <v>2572.7869500000002</v>
      </c>
      <c r="AF233">
        <v>1304</v>
      </c>
      <c r="AG233" t="str">
        <v>Laptop</v>
      </c>
      <c r="AH233">
        <v>2590.181748</v>
      </c>
    </row>
    <row r="234" spans="1:34" x14ac:dyDescent="0.3">
      <c r="A234" s="1">
        <v>1232</v>
      </c>
      <c r="B234" s="2">
        <v>44732</v>
      </c>
      <c r="C234" s="1" t="s">
        <v>14</v>
      </c>
      <c r="D234" s="1" t="s">
        <v>73</v>
      </c>
      <c r="E234" s="1" t="s">
        <v>28</v>
      </c>
      <c r="F234" s="1">
        <v>1461.44</v>
      </c>
      <c r="G234" s="1" t="s">
        <v>211</v>
      </c>
      <c r="H234" s="2">
        <v>35702</v>
      </c>
      <c r="I234" s="2">
        <v>44741</v>
      </c>
      <c r="J234" s="1">
        <v>1.64</v>
      </c>
      <c r="K234" s="4">
        <f t="shared" si="6"/>
        <v>23.967616</v>
      </c>
      <c r="L234" s="4">
        <f t="shared" si="7"/>
        <v>1437.4723840000001</v>
      </c>
      <c r="O234">
        <v>1308</v>
      </c>
      <c r="P234">
        <v>45111</v>
      </c>
      <c r="Q234" t="str">
        <v>South</v>
      </c>
      <c r="R234" t="str">
        <v>Jeans</v>
      </c>
      <c r="S234" t="str">
        <v>Clothing</v>
      </c>
      <c r="T234">
        <v>4912.82</v>
      </c>
      <c r="U234" t="str">
        <v>Matthew Stone</v>
      </c>
      <c r="V234">
        <v>34871</v>
      </c>
      <c r="W234">
        <v>45123</v>
      </c>
      <c r="X234">
        <v>43.1</v>
      </c>
      <c r="Y234">
        <v>2117.42542</v>
      </c>
      <c r="Z234">
        <v>2795.3945799999997</v>
      </c>
      <c r="AC234" t="str">
        <v>Camera</v>
      </c>
      <c r="AD234">
        <v>1744.5143039999998</v>
      </c>
      <c r="AF234">
        <v>1305</v>
      </c>
      <c r="AG234" t="str">
        <v>Cap</v>
      </c>
      <c r="AH234">
        <v>2572.7869500000002</v>
      </c>
    </row>
    <row r="235" spans="1:34" x14ac:dyDescent="0.3">
      <c r="A235" s="1">
        <v>1233</v>
      </c>
      <c r="B235" s="2">
        <v>44730</v>
      </c>
      <c r="C235" s="1" t="s">
        <v>21</v>
      </c>
      <c r="D235" s="1" t="s">
        <v>69</v>
      </c>
      <c r="E235" s="1" t="s">
        <v>12</v>
      </c>
      <c r="F235" s="1">
        <v>325.3</v>
      </c>
      <c r="G235" s="1" t="s">
        <v>152</v>
      </c>
      <c r="H235" s="2">
        <v>24792</v>
      </c>
      <c r="I235" s="2">
        <v>44736</v>
      </c>
      <c r="J235" s="1">
        <v>9.27</v>
      </c>
      <c r="K235" s="4">
        <f t="shared" si="6"/>
        <v>30.155309999999997</v>
      </c>
      <c r="L235" s="4">
        <f t="shared" si="7"/>
        <v>295.14469000000003</v>
      </c>
      <c r="O235">
        <v>1309</v>
      </c>
      <c r="P235">
        <v>44701</v>
      </c>
      <c r="Q235" t="str">
        <v>West</v>
      </c>
      <c r="R235" t="str">
        <v>Laptop</v>
      </c>
      <c r="S235" t="str">
        <v>Electronics</v>
      </c>
      <c r="T235">
        <v>2214.5700000000002</v>
      </c>
      <c r="U235" t="str">
        <v>Martha Harris</v>
      </c>
      <c r="V235">
        <v>27455</v>
      </c>
      <c r="W235">
        <v>44713</v>
      </c>
      <c r="X235">
        <v>13.3</v>
      </c>
      <c r="Y235">
        <v>294.53781000000004</v>
      </c>
      <c r="Z235">
        <v>1920.0321900000001</v>
      </c>
      <c r="AC235" t="str">
        <v>Jeans</v>
      </c>
      <c r="AD235">
        <v>2795.3945799999997</v>
      </c>
      <c r="AF235">
        <v>1307</v>
      </c>
      <c r="AG235" t="str">
        <v>Camera</v>
      </c>
      <c r="AH235">
        <v>1744.5143039999998</v>
      </c>
    </row>
    <row r="236" spans="1:34" x14ac:dyDescent="0.3">
      <c r="A236" s="1">
        <v>1234</v>
      </c>
      <c r="B236" s="2">
        <v>44339</v>
      </c>
      <c r="C236" s="1" t="s">
        <v>21</v>
      </c>
      <c r="D236" s="1" t="s">
        <v>49</v>
      </c>
      <c r="E236" s="1" t="s">
        <v>12</v>
      </c>
      <c r="F236" s="1">
        <v>4453.8100000000004</v>
      </c>
      <c r="G236" s="1" t="s">
        <v>212</v>
      </c>
      <c r="H236" s="2">
        <v>23674</v>
      </c>
      <c r="I236" s="2">
        <v>44348</v>
      </c>
      <c r="J236" s="1">
        <v>42.29</v>
      </c>
      <c r="K236" s="4">
        <f t="shared" si="6"/>
        <v>1883.5162490000002</v>
      </c>
      <c r="L236" s="4">
        <f t="shared" si="7"/>
        <v>2570.2937510000002</v>
      </c>
      <c r="O236">
        <v>1310</v>
      </c>
      <c r="P236">
        <v>44991</v>
      </c>
      <c r="Q236" t="str">
        <v>South</v>
      </c>
      <c r="R236" t="str">
        <v>Eggs</v>
      </c>
      <c r="S236" t="str">
        <v>Groceries</v>
      </c>
      <c r="T236">
        <v>2682.47</v>
      </c>
      <c r="U236" t="str">
        <v>Douglas Williams</v>
      </c>
      <c r="V236">
        <v>38826</v>
      </c>
      <c r="W236">
        <v>45003</v>
      </c>
      <c r="X236">
        <v>26.43</v>
      </c>
      <c r="Y236">
        <v>708.97682099999986</v>
      </c>
      <c r="Z236">
        <v>1973.4931790000001</v>
      </c>
      <c r="AC236" t="str">
        <v>Laptop</v>
      </c>
      <c r="AD236">
        <v>1920.0321900000001</v>
      </c>
      <c r="AF236">
        <v>1308</v>
      </c>
      <c r="AG236" t="str">
        <v>Jeans</v>
      </c>
      <c r="AH236">
        <v>2795.3945799999997</v>
      </c>
    </row>
    <row r="237" spans="1:34" x14ac:dyDescent="0.3">
      <c r="A237" s="1">
        <v>1235</v>
      </c>
      <c r="B237" s="2">
        <v>44284</v>
      </c>
      <c r="C237" s="1" t="s">
        <v>35</v>
      </c>
      <c r="D237" s="1" t="s">
        <v>18</v>
      </c>
      <c r="E237" s="1" t="s">
        <v>19</v>
      </c>
      <c r="F237" s="1">
        <v>4999.79</v>
      </c>
      <c r="G237" s="1" t="s">
        <v>213</v>
      </c>
      <c r="H237" s="2">
        <v>34345</v>
      </c>
      <c r="I237" s="2">
        <v>44285</v>
      </c>
      <c r="J237" s="1">
        <v>42.92</v>
      </c>
      <c r="K237" s="4">
        <f t="shared" si="6"/>
        <v>2145.9098680000002</v>
      </c>
      <c r="L237" s="4">
        <f t="shared" si="7"/>
        <v>2853.8801319999998</v>
      </c>
      <c r="O237">
        <v>1315</v>
      </c>
      <c r="P237">
        <v>44342</v>
      </c>
      <c r="Q237" t="str">
        <v>Central</v>
      </c>
      <c r="R237" t="str">
        <v>Football</v>
      </c>
      <c r="S237" t="str">
        <v>Sports</v>
      </c>
      <c r="T237">
        <v>3736.44</v>
      </c>
      <c r="U237" t="str">
        <v>Jesse Hernandez</v>
      </c>
      <c r="V237">
        <v>27550</v>
      </c>
      <c r="W237">
        <v>44356</v>
      </c>
      <c r="X237">
        <v>46.46</v>
      </c>
      <c r="Y237">
        <v>1735.950024</v>
      </c>
      <c r="Z237">
        <v>2000.4899760000001</v>
      </c>
      <c r="AC237" t="str">
        <v>Eggs</v>
      </c>
      <c r="AD237">
        <v>1973.4931790000001</v>
      </c>
      <c r="AF237">
        <v>1309</v>
      </c>
      <c r="AG237" t="str">
        <v>Laptop</v>
      </c>
      <c r="AH237">
        <v>1920.0321900000001</v>
      </c>
    </row>
    <row r="238" spans="1:34" x14ac:dyDescent="0.3">
      <c r="A238" s="1">
        <v>1236</v>
      </c>
      <c r="B238" s="2">
        <v>45408</v>
      </c>
      <c r="C238" s="1" t="s">
        <v>10</v>
      </c>
      <c r="D238" s="1" t="s">
        <v>40</v>
      </c>
      <c r="E238" s="1" t="s">
        <v>16</v>
      </c>
      <c r="F238" s="1">
        <v>4464.05</v>
      </c>
      <c r="G238" s="1" t="s">
        <v>116</v>
      </c>
      <c r="H238" s="2">
        <v>39294</v>
      </c>
      <c r="I238" s="2">
        <v>45415</v>
      </c>
      <c r="J238" s="1">
        <v>27.44</v>
      </c>
      <c r="K238" s="4">
        <f t="shared" si="6"/>
        <v>1224.9353200000003</v>
      </c>
      <c r="L238" s="4">
        <f t="shared" si="7"/>
        <v>3239.1146799999997</v>
      </c>
      <c r="O238">
        <v>1317</v>
      </c>
      <c r="P238">
        <v>44407</v>
      </c>
      <c r="Q238" t="str">
        <v>East</v>
      </c>
      <c r="R238" t="str">
        <v>Milk</v>
      </c>
      <c r="S238" t="str">
        <v>Groceries</v>
      </c>
      <c r="T238">
        <v>4105.88</v>
      </c>
      <c r="U238" t="str">
        <v>Adam Martinez</v>
      </c>
      <c r="V238">
        <v>22599</v>
      </c>
      <c r="W238">
        <v>44414</v>
      </c>
      <c r="X238">
        <v>36.520000000000003</v>
      </c>
      <c r="Y238">
        <v>1499.4673760000001</v>
      </c>
      <c r="Z238">
        <v>2606.4126240000001</v>
      </c>
      <c r="AC238" t="str">
        <v>Football</v>
      </c>
      <c r="AD238">
        <v>2000.4899760000001</v>
      </c>
      <c r="AF238">
        <v>1310</v>
      </c>
      <c r="AG238" t="str">
        <v>Eggs</v>
      </c>
      <c r="AH238">
        <v>1973.4931790000001</v>
      </c>
    </row>
    <row r="239" spans="1:34" x14ac:dyDescent="0.3">
      <c r="A239" s="1">
        <v>1237</v>
      </c>
      <c r="B239" s="2">
        <v>44398</v>
      </c>
      <c r="C239" s="1" t="s">
        <v>21</v>
      </c>
      <c r="D239" s="1" t="s">
        <v>102</v>
      </c>
      <c r="E239" s="1" t="s">
        <v>12</v>
      </c>
      <c r="F239" s="1">
        <v>3581.56</v>
      </c>
      <c r="G239" s="1" t="s">
        <v>86</v>
      </c>
      <c r="H239" s="2">
        <v>37858</v>
      </c>
      <c r="I239" s="2">
        <v>44405</v>
      </c>
      <c r="J239" s="1">
        <v>41.87</v>
      </c>
      <c r="K239" s="4">
        <f t="shared" si="6"/>
        <v>1499.5991719999997</v>
      </c>
      <c r="L239" s="4">
        <f t="shared" si="7"/>
        <v>2081.9608280000002</v>
      </c>
      <c r="O239">
        <v>1319</v>
      </c>
      <c r="P239">
        <v>44922</v>
      </c>
      <c r="Q239" t="str">
        <v>East</v>
      </c>
      <c r="R239" t="str">
        <v>Camera</v>
      </c>
      <c r="S239" t="str">
        <v>Electronics</v>
      </c>
      <c r="T239">
        <v>3444.87</v>
      </c>
      <c r="U239" t="str">
        <v>Debbie Jensen</v>
      </c>
      <c r="V239">
        <v>29103</v>
      </c>
      <c r="W239">
        <v>44930</v>
      </c>
      <c r="X239">
        <v>19.559999999999999</v>
      </c>
      <c r="Y239">
        <v>673.81657199999995</v>
      </c>
      <c r="Z239">
        <v>2771.0534280000002</v>
      </c>
      <c r="AC239" t="str">
        <v>Milk</v>
      </c>
      <c r="AD239">
        <v>2606.4126240000001</v>
      </c>
      <c r="AF239">
        <v>1315</v>
      </c>
      <c r="AG239" t="str">
        <v>Football</v>
      </c>
      <c r="AH239">
        <v>2000.4899760000001</v>
      </c>
    </row>
    <row r="240" spans="1:34" x14ac:dyDescent="0.3">
      <c r="A240" s="1">
        <v>1238</v>
      </c>
      <c r="B240" s="2">
        <v>44940</v>
      </c>
      <c r="C240" s="1" t="s">
        <v>26</v>
      </c>
      <c r="D240" s="1" t="s">
        <v>71</v>
      </c>
      <c r="E240" s="1" t="s">
        <v>31</v>
      </c>
      <c r="F240" s="1">
        <v>1509.92</v>
      </c>
      <c r="G240" s="1" t="s">
        <v>214</v>
      </c>
      <c r="H240" s="2">
        <v>29540</v>
      </c>
      <c r="I240" s="2">
        <v>44943</v>
      </c>
      <c r="J240" s="1">
        <v>20.399999999999999</v>
      </c>
      <c r="K240" s="4">
        <f t="shared" si="6"/>
        <v>308.02368000000001</v>
      </c>
      <c r="L240" s="4">
        <f t="shared" si="7"/>
        <v>1201.8963200000001</v>
      </c>
      <c r="O240">
        <v>1320</v>
      </c>
      <c r="P240">
        <v>44290</v>
      </c>
      <c r="Q240" t="str">
        <v>South</v>
      </c>
      <c r="R240" t="str">
        <v>Tennis Racket</v>
      </c>
      <c r="S240" t="str">
        <v>Sports</v>
      </c>
      <c r="T240">
        <v>2972.21</v>
      </c>
      <c r="U240" t="str">
        <v>Darryl Cooper</v>
      </c>
      <c r="V240">
        <v>38378</v>
      </c>
      <c r="W240">
        <v>44304</v>
      </c>
      <c r="X240">
        <v>22.8</v>
      </c>
      <c r="Y240">
        <v>677.66388000000006</v>
      </c>
      <c r="Z240">
        <v>2294.54612</v>
      </c>
      <c r="AC240" t="str">
        <v>Camera</v>
      </c>
      <c r="AD240">
        <v>2771.0534280000002</v>
      </c>
      <c r="AF240">
        <v>1317</v>
      </c>
      <c r="AG240" t="str">
        <v>Milk</v>
      </c>
      <c r="AH240">
        <v>2606.4126240000001</v>
      </c>
    </row>
    <row r="241" spans="1:34" x14ac:dyDescent="0.3">
      <c r="A241" s="1">
        <v>1239</v>
      </c>
      <c r="B241" s="2">
        <v>45792</v>
      </c>
      <c r="C241" s="1" t="s">
        <v>35</v>
      </c>
      <c r="D241" s="1" t="s">
        <v>27</v>
      </c>
      <c r="E241" s="1" t="s">
        <v>28</v>
      </c>
      <c r="F241" s="1">
        <v>2305.0300000000002</v>
      </c>
      <c r="G241" s="1" t="s">
        <v>215</v>
      </c>
      <c r="H241" s="2">
        <v>31386</v>
      </c>
      <c r="I241" s="2">
        <v>45803</v>
      </c>
      <c r="J241" s="1">
        <v>39.799999999999997</v>
      </c>
      <c r="K241" s="4">
        <f t="shared" si="6"/>
        <v>917.40193999999997</v>
      </c>
      <c r="L241" s="4">
        <f t="shared" si="7"/>
        <v>1387.6280600000002</v>
      </c>
      <c r="O241">
        <v>1321</v>
      </c>
      <c r="P241">
        <v>44915</v>
      </c>
      <c r="Q241" t="str">
        <v>South</v>
      </c>
      <c r="R241" t="str">
        <v>Chair</v>
      </c>
      <c r="S241" t="str">
        <v>Furniture</v>
      </c>
      <c r="T241">
        <v>4855.2</v>
      </c>
      <c r="U241" t="str">
        <v>Derek Boyle</v>
      </c>
      <c r="V241">
        <v>27534</v>
      </c>
      <c r="W241">
        <v>44921</v>
      </c>
      <c r="X241">
        <v>48.03</v>
      </c>
      <c r="Y241">
        <v>2331.9525599999997</v>
      </c>
      <c r="Z241">
        <v>2523.2474400000001</v>
      </c>
      <c r="AC241" t="str">
        <v>Tennis Racket</v>
      </c>
      <c r="AD241">
        <v>2294.54612</v>
      </c>
      <c r="AF241">
        <v>1319</v>
      </c>
      <c r="AG241" t="str">
        <v>Camera</v>
      </c>
      <c r="AH241">
        <v>2771.0534280000002</v>
      </c>
    </row>
    <row r="242" spans="1:34" x14ac:dyDescent="0.3">
      <c r="A242" s="1">
        <v>1240</v>
      </c>
      <c r="B242" s="2">
        <v>45013</v>
      </c>
      <c r="C242" s="1" t="s">
        <v>35</v>
      </c>
      <c r="D242" s="1" t="s">
        <v>88</v>
      </c>
      <c r="E242" s="1" t="s">
        <v>16</v>
      </c>
      <c r="F242" s="1">
        <v>4272.7299999999996</v>
      </c>
      <c r="G242" s="1" t="s">
        <v>91</v>
      </c>
      <c r="H242" s="2">
        <v>34220</v>
      </c>
      <c r="I242" s="2">
        <v>45020</v>
      </c>
      <c r="J242" s="1">
        <v>37.74</v>
      </c>
      <c r="K242" s="4">
        <f t="shared" si="6"/>
        <v>1612.5283019999999</v>
      </c>
      <c r="L242" s="4">
        <f t="shared" si="7"/>
        <v>2660.2016979999999</v>
      </c>
      <c r="O242">
        <v>1322</v>
      </c>
      <c r="P242">
        <v>44138</v>
      </c>
      <c r="Q242" t="str">
        <v>Central</v>
      </c>
      <c r="R242" t="str">
        <v>Chair</v>
      </c>
      <c r="S242" t="str">
        <v>Furniture</v>
      </c>
      <c r="T242">
        <v>4450.13</v>
      </c>
      <c r="U242" t="str">
        <v>Cody Mason</v>
      </c>
      <c r="V242">
        <v>31598</v>
      </c>
      <c r="W242">
        <v>44151</v>
      </c>
      <c r="X242">
        <v>5.77</v>
      </c>
      <c r="Y242">
        <v>256.77250099999998</v>
      </c>
      <c r="Z242">
        <v>4193.3574989999997</v>
      </c>
      <c r="AC242" t="str">
        <v>Chair</v>
      </c>
      <c r="AD242">
        <v>2523.2474400000001</v>
      </c>
      <c r="AF242">
        <v>1320</v>
      </c>
      <c r="AG242" t="str">
        <v>Tennis Racket</v>
      </c>
      <c r="AH242">
        <v>2294.54612</v>
      </c>
    </row>
    <row r="243" spans="1:34" x14ac:dyDescent="0.3">
      <c r="A243" s="1">
        <v>1241</v>
      </c>
      <c r="B243" s="2">
        <v>45234</v>
      </c>
      <c r="C243" s="1" t="s">
        <v>21</v>
      </c>
      <c r="D243" s="1" t="s">
        <v>69</v>
      </c>
      <c r="E243" s="1" t="s">
        <v>31</v>
      </c>
      <c r="F243" s="1">
        <v>1756.15</v>
      </c>
      <c r="G243" s="1" t="s">
        <v>216</v>
      </c>
      <c r="H243" s="2">
        <v>31419</v>
      </c>
      <c r="I243" s="2">
        <v>45239</v>
      </c>
      <c r="J243" s="1">
        <v>33.44</v>
      </c>
      <c r="K243" s="4">
        <f t="shared" si="6"/>
        <v>587.25656000000004</v>
      </c>
      <c r="L243" s="4">
        <f t="shared" si="7"/>
        <v>1168.8934400000001</v>
      </c>
      <c r="O243">
        <v>1323</v>
      </c>
      <c r="P243">
        <v>45155</v>
      </c>
      <c r="Q243" t="str">
        <v>North</v>
      </c>
      <c r="R243" t="str">
        <v>Shoes</v>
      </c>
      <c r="S243" t="str">
        <v>Clothing</v>
      </c>
      <c r="T243">
        <v>4766.46</v>
      </c>
      <c r="U243" t="str">
        <v>Joseph Rivera</v>
      </c>
      <c r="V243">
        <v>27641</v>
      </c>
      <c r="W243">
        <v>45160</v>
      </c>
      <c r="X243">
        <v>45.05</v>
      </c>
      <c r="Y243">
        <v>2147.2902299999996</v>
      </c>
      <c r="Z243">
        <v>2619.1697700000004</v>
      </c>
      <c r="AC243" t="str">
        <v>Chair</v>
      </c>
      <c r="AD243">
        <v>4193.3574989999997</v>
      </c>
      <c r="AF243">
        <v>1321</v>
      </c>
      <c r="AG243" t="str">
        <v>Chair</v>
      </c>
      <c r="AH243">
        <v>2523.2474400000001</v>
      </c>
    </row>
    <row r="244" spans="1:34" x14ac:dyDescent="0.3">
      <c r="A244" s="1">
        <v>1242</v>
      </c>
      <c r="B244" s="2">
        <v>44800</v>
      </c>
      <c r="C244" s="1" t="s">
        <v>14</v>
      </c>
      <c r="D244" s="1" t="s">
        <v>40</v>
      </c>
      <c r="E244" s="1" t="s">
        <v>16</v>
      </c>
      <c r="F244" s="1">
        <v>2727.83</v>
      </c>
      <c r="G244" s="1" t="s">
        <v>103</v>
      </c>
      <c r="H244" s="2">
        <v>30923</v>
      </c>
      <c r="I244" s="2">
        <v>44805</v>
      </c>
      <c r="J244" s="1">
        <v>11.22</v>
      </c>
      <c r="K244" s="4">
        <f t="shared" si="6"/>
        <v>306.06252599999999</v>
      </c>
      <c r="L244" s="4">
        <f t="shared" si="7"/>
        <v>2421.7674739999998</v>
      </c>
      <c r="O244">
        <v>1324</v>
      </c>
      <c r="P244">
        <v>45150</v>
      </c>
      <c r="Q244" t="str">
        <v>South</v>
      </c>
      <c r="R244" t="str">
        <v>Sofa</v>
      </c>
      <c r="S244" t="str">
        <v>Furniture</v>
      </c>
      <c r="T244">
        <v>4884.1400000000003</v>
      </c>
      <c r="U244" t="str">
        <v>Darryl Cooper</v>
      </c>
      <c r="V244">
        <v>38378</v>
      </c>
      <c r="W244">
        <v>45152</v>
      </c>
      <c r="X244">
        <v>28.02</v>
      </c>
      <c r="Y244">
        <v>1368.5360280000002</v>
      </c>
      <c r="Z244">
        <v>3515.6039719999999</v>
      </c>
      <c r="AC244" t="str">
        <v>Shoes</v>
      </c>
      <c r="AD244">
        <v>2619.1697700000004</v>
      </c>
      <c r="AF244">
        <v>1322</v>
      </c>
      <c r="AG244" t="str">
        <v>Chair</v>
      </c>
      <c r="AH244">
        <v>4193.3574989999997</v>
      </c>
    </row>
    <row r="245" spans="1:34" x14ac:dyDescent="0.3">
      <c r="A245" s="1">
        <v>1243</v>
      </c>
      <c r="B245" s="2">
        <v>44438</v>
      </c>
      <c r="C245" s="1" t="s">
        <v>26</v>
      </c>
      <c r="D245" s="1" t="s">
        <v>53</v>
      </c>
      <c r="E245" s="1" t="s">
        <v>28</v>
      </c>
      <c r="F245" s="1">
        <v>993.29</v>
      </c>
      <c r="G245" s="1" t="s">
        <v>80</v>
      </c>
      <c r="H245" s="2">
        <v>31578</v>
      </c>
      <c r="I245" s="2">
        <v>44442</v>
      </c>
      <c r="J245" s="1">
        <v>9.93</v>
      </c>
      <c r="K245" s="4">
        <f t="shared" si="6"/>
        <v>98.633696999999998</v>
      </c>
      <c r="L245" s="4">
        <f t="shared" si="7"/>
        <v>894.65630299999998</v>
      </c>
      <c r="O245">
        <v>1325</v>
      </c>
      <c r="P245">
        <v>44396</v>
      </c>
      <c r="Q245" t="str">
        <v>West</v>
      </c>
      <c r="R245" t="str">
        <v>Chair</v>
      </c>
      <c r="S245" t="str">
        <v>Furniture</v>
      </c>
      <c r="T245">
        <v>3607.16</v>
      </c>
      <c r="U245" t="str">
        <v>Amanda West</v>
      </c>
      <c r="V245">
        <v>30356</v>
      </c>
      <c r="W245">
        <v>44405</v>
      </c>
      <c r="X245">
        <v>3.14</v>
      </c>
      <c r="Y245">
        <v>113.264824</v>
      </c>
      <c r="Z245">
        <v>3493.895176</v>
      </c>
      <c r="AC245" t="str">
        <v>Sofa</v>
      </c>
      <c r="AD245">
        <v>3515.6039719999999</v>
      </c>
      <c r="AF245">
        <v>1323</v>
      </c>
      <c r="AG245" t="str">
        <v>Shoes</v>
      </c>
      <c r="AH245">
        <v>2619.1697700000004</v>
      </c>
    </row>
    <row r="246" spans="1:34" x14ac:dyDescent="0.3">
      <c r="A246" s="1">
        <v>1244</v>
      </c>
      <c r="B246" s="2">
        <v>45408</v>
      </c>
      <c r="C246" s="1" t="s">
        <v>14</v>
      </c>
      <c r="D246" s="1" t="s">
        <v>47</v>
      </c>
      <c r="E246" s="1" t="s">
        <v>12</v>
      </c>
      <c r="F246" s="1">
        <v>1187.1099999999999</v>
      </c>
      <c r="G246" s="1" t="s">
        <v>170</v>
      </c>
      <c r="H246" s="2">
        <v>34205</v>
      </c>
      <c r="I246" s="2">
        <v>45420</v>
      </c>
      <c r="J246" s="1">
        <v>33.229999999999997</v>
      </c>
      <c r="K246" s="4">
        <f t="shared" si="6"/>
        <v>394.47665299999994</v>
      </c>
      <c r="L246" s="4">
        <f t="shared" si="7"/>
        <v>792.63334699999996</v>
      </c>
      <c r="O246">
        <v>1326</v>
      </c>
      <c r="P246">
        <v>45277</v>
      </c>
      <c r="Q246" t="str">
        <v>East</v>
      </c>
      <c r="R246" t="str">
        <v>Smartphone</v>
      </c>
      <c r="S246" t="str">
        <v>Electronics</v>
      </c>
      <c r="T246">
        <v>3914.34</v>
      </c>
      <c r="U246" t="str">
        <v>Beth Landry</v>
      </c>
      <c r="V246">
        <v>34954</v>
      </c>
      <c r="W246">
        <v>45289</v>
      </c>
      <c r="X246">
        <v>8.6999999999999993</v>
      </c>
      <c r="Y246">
        <v>340.54757999999998</v>
      </c>
      <c r="Z246">
        <v>3573.7924200000002</v>
      </c>
      <c r="AC246" t="str">
        <v>Chair</v>
      </c>
      <c r="AD246">
        <v>3493.895176</v>
      </c>
      <c r="AF246">
        <v>1324</v>
      </c>
      <c r="AG246" t="str">
        <v>Sofa</v>
      </c>
      <c r="AH246">
        <v>3515.6039719999999</v>
      </c>
    </row>
    <row r="247" spans="1:34" x14ac:dyDescent="0.3">
      <c r="A247" s="1">
        <v>1245</v>
      </c>
      <c r="B247" s="2">
        <v>44488</v>
      </c>
      <c r="C247" s="1" t="s">
        <v>21</v>
      </c>
      <c r="D247" s="1" t="s">
        <v>15</v>
      </c>
      <c r="E247" s="1" t="s">
        <v>16</v>
      </c>
      <c r="F247" s="1">
        <v>2517.8000000000002</v>
      </c>
      <c r="G247" s="1" t="s">
        <v>107</v>
      </c>
      <c r="H247" s="2">
        <v>26671</v>
      </c>
      <c r="I247" s="2">
        <v>44495</v>
      </c>
      <c r="J247" s="1">
        <v>38.24</v>
      </c>
      <c r="K247" s="4">
        <f t="shared" si="6"/>
        <v>962.80672000000015</v>
      </c>
      <c r="L247" s="4">
        <f t="shared" si="7"/>
        <v>1554.9932800000001</v>
      </c>
      <c r="O247">
        <v>1328</v>
      </c>
      <c r="P247">
        <v>44336</v>
      </c>
      <c r="Q247" t="str">
        <v>East</v>
      </c>
      <c r="R247" t="str">
        <v>Chair</v>
      </c>
      <c r="S247" t="str">
        <v>Furniture</v>
      </c>
      <c r="T247">
        <v>2855.49</v>
      </c>
      <c r="U247" t="str">
        <v>Gregory Cohen</v>
      </c>
      <c r="V247">
        <v>30154</v>
      </c>
      <c r="W247">
        <v>44344</v>
      </c>
      <c r="X247">
        <v>38.840000000000003</v>
      </c>
      <c r="Y247">
        <v>1109.072316</v>
      </c>
      <c r="Z247">
        <v>1746.4176839999998</v>
      </c>
      <c r="AC247" t="str">
        <v>Smartphone</v>
      </c>
      <c r="AD247">
        <v>3573.7924200000002</v>
      </c>
      <c r="AF247">
        <v>1325</v>
      </c>
      <c r="AG247" t="str">
        <v>Chair</v>
      </c>
      <c r="AH247">
        <v>3493.895176</v>
      </c>
    </row>
    <row r="248" spans="1:34" x14ac:dyDescent="0.3">
      <c r="A248" s="1">
        <v>1246</v>
      </c>
      <c r="B248" s="2">
        <v>44489</v>
      </c>
      <c r="C248" s="1" t="s">
        <v>10</v>
      </c>
      <c r="D248" s="1" t="s">
        <v>88</v>
      </c>
      <c r="E248" s="1" t="s">
        <v>16</v>
      </c>
      <c r="F248" s="1">
        <v>4390.6000000000004</v>
      </c>
      <c r="G248" s="1" t="s">
        <v>144</v>
      </c>
      <c r="H248" s="2">
        <v>34571</v>
      </c>
      <c r="I248" s="2">
        <v>44491</v>
      </c>
      <c r="J248" s="1">
        <v>15.44</v>
      </c>
      <c r="K248" s="4">
        <f t="shared" si="6"/>
        <v>677.90863999999999</v>
      </c>
      <c r="L248" s="4">
        <f t="shared" si="7"/>
        <v>3712.6913600000003</v>
      </c>
      <c r="O248">
        <v>1329</v>
      </c>
      <c r="P248">
        <v>44234</v>
      </c>
      <c r="Q248" t="str">
        <v>North</v>
      </c>
      <c r="R248" t="str">
        <v>Shoes</v>
      </c>
      <c r="S248" t="str">
        <v>Sports</v>
      </c>
      <c r="T248">
        <v>2244.02</v>
      </c>
      <c r="U248" t="str">
        <v>Savannah Smith</v>
      </c>
      <c r="V248">
        <v>35889</v>
      </c>
      <c r="W248">
        <v>44237</v>
      </c>
      <c r="X248">
        <v>47.16</v>
      </c>
      <c r="Y248">
        <v>1058.2798319999999</v>
      </c>
      <c r="Z248">
        <v>1185.740168</v>
      </c>
      <c r="AC248" t="str">
        <v>Chair</v>
      </c>
      <c r="AD248">
        <v>1746.4176839999998</v>
      </c>
      <c r="AF248">
        <v>1326</v>
      </c>
      <c r="AG248" t="str">
        <v>Smartphone</v>
      </c>
      <c r="AH248">
        <v>3573.7924200000002</v>
      </c>
    </row>
    <row r="249" spans="1:34" x14ac:dyDescent="0.3">
      <c r="A249" s="1">
        <v>1247</v>
      </c>
      <c r="B249" s="2">
        <v>44653</v>
      </c>
      <c r="C249" s="1" t="s">
        <v>35</v>
      </c>
      <c r="D249" s="1" t="s">
        <v>38</v>
      </c>
      <c r="E249" s="1" t="s">
        <v>28</v>
      </c>
      <c r="F249" s="1">
        <v>4464.93</v>
      </c>
      <c r="G249" s="1" t="s">
        <v>194</v>
      </c>
      <c r="H249" s="2">
        <v>22210</v>
      </c>
      <c r="I249" s="2">
        <v>44658</v>
      </c>
      <c r="J249" s="1">
        <v>42.78</v>
      </c>
      <c r="K249" s="4">
        <f t="shared" si="6"/>
        <v>1910.0970540000003</v>
      </c>
      <c r="L249" s="4">
        <f t="shared" si="7"/>
        <v>2554.832946</v>
      </c>
      <c r="O249">
        <v>1334</v>
      </c>
      <c r="P249">
        <v>45592</v>
      </c>
      <c r="Q249" t="str">
        <v>Central</v>
      </c>
      <c r="R249" t="str">
        <v>Tennis Racket</v>
      </c>
      <c r="S249" t="str">
        <v>Sports</v>
      </c>
      <c r="T249">
        <v>3700.28</v>
      </c>
      <c r="U249" t="str">
        <v>Lawrence Frazier</v>
      </c>
      <c r="V249">
        <v>25232</v>
      </c>
      <c r="W249">
        <v>45595</v>
      </c>
      <c r="X249">
        <v>26.68</v>
      </c>
      <c r="Y249">
        <v>987.23470399999997</v>
      </c>
      <c r="Z249">
        <v>2713.0452960000002</v>
      </c>
      <c r="AC249" t="str">
        <v>Shoes</v>
      </c>
      <c r="AD249">
        <v>1185.740168</v>
      </c>
      <c r="AF249">
        <v>1328</v>
      </c>
      <c r="AG249" t="str">
        <v>Chair</v>
      </c>
      <c r="AH249">
        <v>1746.4176839999998</v>
      </c>
    </row>
    <row r="250" spans="1:34" x14ac:dyDescent="0.3">
      <c r="A250" s="1">
        <v>1248</v>
      </c>
      <c r="B250" s="2">
        <v>45583</v>
      </c>
      <c r="C250" s="1" t="s">
        <v>10</v>
      </c>
      <c r="D250" s="1" t="s">
        <v>55</v>
      </c>
      <c r="E250" s="1" t="s">
        <v>31</v>
      </c>
      <c r="F250" s="1">
        <v>834.79</v>
      </c>
      <c r="G250" s="1" t="s">
        <v>62</v>
      </c>
      <c r="H250" s="2">
        <v>22870</v>
      </c>
      <c r="I250" s="2">
        <v>45587</v>
      </c>
      <c r="J250" s="1">
        <v>43.88</v>
      </c>
      <c r="K250" s="4">
        <f t="shared" si="6"/>
        <v>366.30585200000002</v>
      </c>
      <c r="L250" s="4">
        <f t="shared" si="7"/>
        <v>468.48414799999995</v>
      </c>
      <c r="O250">
        <v>1336</v>
      </c>
      <c r="P250">
        <v>44315</v>
      </c>
      <c r="Q250" t="str">
        <v>East</v>
      </c>
      <c r="R250" t="str">
        <v>Wardrobe</v>
      </c>
      <c r="S250" t="str">
        <v>Furniture</v>
      </c>
      <c r="T250">
        <v>1662.88</v>
      </c>
      <c r="U250" t="str">
        <v>Matthew Stuart</v>
      </c>
      <c r="V250">
        <v>28522</v>
      </c>
      <c r="W250">
        <v>44317</v>
      </c>
      <c r="X250">
        <v>21.09</v>
      </c>
      <c r="Y250">
        <v>350.70139200000006</v>
      </c>
      <c r="Z250">
        <v>1312.1786080000002</v>
      </c>
      <c r="AC250" t="str">
        <v>Tennis Racket</v>
      </c>
      <c r="AD250">
        <v>2713.0452960000002</v>
      </c>
      <c r="AF250">
        <v>1329</v>
      </c>
      <c r="AG250" t="str">
        <v>Shoes</v>
      </c>
      <c r="AH250">
        <v>1185.740168</v>
      </c>
    </row>
    <row r="251" spans="1:34" x14ac:dyDescent="0.3">
      <c r="A251" s="1">
        <v>1249</v>
      </c>
      <c r="B251" s="2">
        <v>45218</v>
      </c>
      <c r="C251" s="1" t="s">
        <v>14</v>
      </c>
      <c r="D251" s="1" t="s">
        <v>73</v>
      </c>
      <c r="E251" s="1" t="s">
        <v>28</v>
      </c>
      <c r="F251" s="1">
        <v>1780.78</v>
      </c>
      <c r="G251" s="1" t="s">
        <v>217</v>
      </c>
      <c r="H251" s="2">
        <v>36951</v>
      </c>
      <c r="I251" s="2">
        <v>45232</v>
      </c>
      <c r="J251" s="1">
        <v>43.61</v>
      </c>
      <c r="K251" s="4">
        <f t="shared" si="6"/>
        <v>776.59815800000001</v>
      </c>
      <c r="L251" s="4">
        <f t="shared" si="7"/>
        <v>1004.181842</v>
      </c>
      <c r="O251">
        <v>1338</v>
      </c>
      <c r="P251">
        <v>45729</v>
      </c>
      <c r="Q251" t="str">
        <v>West</v>
      </c>
      <c r="R251" t="str">
        <v>Headphones</v>
      </c>
      <c r="S251" t="str">
        <v>Electronics</v>
      </c>
      <c r="T251">
        <v>2900.29</v>
      </c>
      <c r="U251" t="str">
        <v>Kim Brown</v>
      </c>
      <c r="V251">
        <v>24368</v>
      </c>
      <c r="W251">
        <v>45739</v>
      </c>
      <c r="X251">
        <v>39.72</v>
      </c>
      <c r="Y251">
        <v>1151.9951879999999</v>
      </c>
      <c r="Z251">
        <v>1748.2948120000001</v>
      </c>
      <c r="AC251" t="str">
        <v>Wardrobe</v>
      </c>
      <c r="AD251">
        <v>1312.1786080000002</v>
      </c>
      <c r="AF251">
        <v>1334</v>
      </c>
      <c r="AG251" t="str">
        <v>Tennis Racket</v>
      </c>
      <c r="AH251">
        <v>2713.0452960000002</v>
      </c>
    </row>
    <row r="252" spans="1:34" x14ac:dyDescent="0.3">
      <c r="A252" s="1">
        <v>1250</v>
      </c>
      <c r="B252" s="2">
        <v>44458</v>
      </c>
      <c r="C252" s="1" t="s">
        <v>35</v>
      </c>
      <c r="D252" s="1" t="s">
        <v>49</v>
      </c>
      <c r="E252" s="1" t="s">
        <v>12</v>
      </c>
      <c r="F252" s="1">
        <v>2340.94</v>
      </c>
      <c r="G252" s="1" t="s">
        <v>218</v>
      </c>
      <c r="H252" s="2">
        <v>29792</v>
      </c>
      <c r="I252" s="2">
        <v>44460</v>
      </c>
      <c r="J252" s="1">
        <v>22.07</v>
      </c>
      <c r="K252" s="4">
        <f t="shared" si="6"/>
        <v>516.64545800000008</v>
      </c>
      <c r="L252" s="4">
        <f t="shared" si="7"/>
        <v>1824.2945420000001</v>
      </c>
      <c r="O252">
        <v>1339</v>
      </c>
      <c r="P252">
        <v>45567</v>
      </c>
      <c r="Q252" t="str">
        <v>West</v>
      </c>
      <c r="R252" t="str">
        <v>Table</v>
      </c>
      <c r="S252" t="str">
        <v>Furniture</v>
      </c>
      <c r="T252">
        <v>3000.01</v>
      </c>
      <c r="U252" t="str">
        <v>Amanda West</v>
      </c>
      <c r="V252">
        <v>30356</v>
      </c>
      <c r="W252">
        <v>45578</v>
      </c>
      <c r="X252">
        <v>41.02</v>
      </c>
      <c r="Y252">
        <v>1230.604102</v>
      </c>
      <c r="Z252">
        <v>1769.4058980000002</v>
      </c>
      <c r="AC252" t="str">
        <v>Headphones</v>
      </c>
      <c r="AD252">
        <v>1748.2948120000001</v>
      </c>
      <c r="AF252">
        <v>1336</v>
      </c>
      <c r="AG252" t="str">
        <v>Wardrobe</v>
      </c>
      <c r="AH252">
        <v>1312.1786080000002</v>
      </c>
    </row>
    <row r="253" spans="1:34" x14ac:dyDescent="0.3">
      <c r="A253" s="1">
        <v>1251</v>
      </c>
      <c r="B253" s="2">
        <v>45121</v>
      </c>
      <c r="C253" s="1" t="s">
        <v>21</v>
      </c>
      <c r="D253" s="1" t="s">
        <v>38</v>
      </c>
      <c r="E253" s="1" t="s">
        <v>28</v>
      </c>
      <c r="F253" s="1">
        <v>898.44</v>
      </c>
      <c r="G253" s="1" t="s">
        <v>152</v>
      </c>
      <c r="H253" s="2">
        <v>24792</v>
      </c>
      <c r="I253" s="2">
        <v>45128</v>
      </c>
      <c r="J253" s="1">
        <v>19.48</v>
      </c>
      <c r="K253" s="4">
        <f t="shared" si="6"/>
        <v>175.01611200000002</v>
      </c>
      <c r="L253" s="4">
        <f t="shared" si="7"/>
        <v>723.42388800000003</v>
      </c>
      <c r="O253">
        <v>1340</v>
      </c>
      <c r="P253">
        <v>44612</v>
      </c>
      <c r="Q253" t="str">
        <v>North</v>
      </c>
      <c r="R253" t="str">
        <v>Oil</v>
      </c>
      <c r="S253" t="str">
        <v>Groceries</v>
      </c>
      <c r="T253">
        <v>3840.17</v>
      </c>
      <c r="U253" t="str">
        <v>Robert Harris</v>
      </c>
      <c r="V253">
        <v>32205</v>
      </c>
      <c r="W253">
        <v>44622</v>
      </c>
      <c r="X253">
        <v>29.9</v>
      </c>
      <c r="Y253">
        <v>1148.21083</v>
      </c>
      <c r="Z253">
        <v>2691.9591700000001</v>
      </c>
      <c r="AC253" t="str">
        <v>Table</v>
      </c>
      <c r="AD253">
        <v>1769.4058980000002</v>
      </c>
      <c r="AF253">
        <v>1338</v>
      </c>
      <c r="AG253" t="str">
        <v>Headphones</v>
      </c>
      <c r="AH253">
        <v>1748.2948120000001</v>
      </c>
    </row>
    <row r="254" spans="1:34" x14ac:dyDescent="0.3">
      <c r="A254" s="1">
        <v>1252</v>
      </c>
      <c r="B254" s="2">
        <v>45116</v>
      </c>
      <c r="C254" s="1" t="s">
        <v>21</v>
      </c>
      <c r="D254" s="1" t="s">
        <v>38</v>
      </c>
      <c r="E254" s="1" t="s">
        <v>28</v>
      </c>
      <c r="F254" s="1">
        <v>2705.86</v>
      </c>
      <c r="G254" s="1" t="s">
        <v>219</v>
      </c>
      <c r="H254" s="2">
        <v>25321</v>
      </c>
      <c r="I254" s="2">
        <v>45121</v>
      </c>
      <c r="J254" s="1">
        <v>48.33</v>
      </c>
      <c r="K254" s="4">
        <f t="shared" si="6"/>
        <v>1307.7421380000001</v>
      </c>
      <c r="L254" s="4">
        <f t="shared" si="7"/>
        <v>1398.1178620000001</v>
      </c>
      <c r="O254">
        <v>1341</v>
      </c>
      <c r="P254">
        <v>45522</v>
      </c>
      <c r="Q254" t="str">
        <v>East</v>
      </c>
      <c r="R254" t="str">
        <v>Sofa</v>
      </c>
      <c r="S254" t="str">
        <v>Furniture</v>
      </c>
      <c r="T254">
        <v>1977.54</v>
      </c>
      <c r="U254" t="str">
        <v>Zachary Anthony</v>
      </c>
      <c r="V254">
        <v>34704</v>
      </c>
      <c r="W254">
        <v>45535</v>
      </c>
      <c r="X254">
        <v>36.68</v>
      </c>
      <c r="Y254">
        <v>725.361672</v>
      </c>
      <c r="Z254">
        <v>1252.178328</v>
      </c>
      <c r="AC254" t="str">
        <v>Oil</v>
      </c>
      <c r="AD254">
        <v>2691.9591700000001</v>
      </c>
      <c r="AF254">
        <v>1339</v>
      </c>
      <c r="AG254" t="str">
        <v>Table</v>
      </c>
      <c r="AH254">
        <v>1769.4058980000002</v>
      </c>
    </row>
    <row r="255" spans="1:34" x14ac:dyDescent="0.3">
      <c r="A255" s="1">
        <v>1253</v>
      </c>
      <c r="B255" s="2">
        <v>44995</v>
      </c>
      <c r="C255" s="1" t="s">
        <v>10</v>
      </c>
      <c r="D255" s="1" t="s">
        <v>24</v>
      </c>
      <c r="E255" s="1" t="s">
        <v>19</v>
      </c>
      <c r="F255" s="1">
        <v>4945.4399999999996</v>
      </c>
      <c r="G255" s="1" t="s">
        <v>118</v>
      </c>
      <c r="H255" s="2">
        <v>22599</v>
      </c>
      <c r="I255" s="2">
        <v>44999</v>
      </c>
      <c r="J255" s="1">
        <v>23.04</v>
      </c>
      <c r="K255" s="4">
        <f t="shared" si="6"/>
        <v>1139.4293759999998</v>
      </c>
      <c r="L255" s="4">
        <f t="shared" si="7"/>
        <v>3806.0106239999996</v>
      </c>
      <c r="O255">
        <v>1345</v>
      </c>
      <c r="P255">
        <v>44608</v>
      </c>
      <c r="Q255" t="str">
        <v>South</v>
      </c>
      <c r="R255" t="str">
        <v>Cricket Bat</v>
      </c>
      <c r="S255" t="str">
        <v>Sports</v>
      </c>
      <c r="T255">
        <v>3013.18</v>
      </c>
      <c r="U255" t="str">
        <v>Anthony Kim</v>
      </c>
      <c r="V255">
        <v>34205</v>
      </c>
      <c r="W255">
        <v>44616</v>
      </c>
      <c r="X255">
        <v>30.1</v>
      </c>
      <c r="Y255">
        <v>906.96717999999987</v>
      </c>
      <c r="Z255">
        <v>2106.2128199999997</v>
      </c>
      <c r="AC255" t="str">
        <v>Sofa</v>
      </c>
      <c r="AD255">
        <v>1252.178328</v>
      </c>
      <c r="AF255">
        <v>1340</v>
      </c>
      <c r="AG255" t="str">
        <v>Oil</v>
      </c>
      <c r="AH255">
        <v>2691.9591700000001</v>
      </c>
    </row>
    <row r="256" spans="1:34" x14ac:dyDescent="0.3">
      <c r="A256" s="1">
        <v>1254</v>
      </c>
      <c r="B256" s="2">
        <v>45777</v>
      </c>
      <c r="C256" s="1" t="s">
        <v>21</v>
      </c>
      <c r="D256" s="1" t="s">
        <v>58</v>
      </c>
      <c r="E256" s="1" t="s">
        <v>31</v>
      </c>
      <c r="F256" s="1">
        <v>1796.08</v>
      </c>
      <c r="G256" s="1" t="s">
        <v>176</v>
      </c>
      <c r="H256" s="2">
        <v>33282</v>
      </c>
      <c r="I256" s="2">
        <v>45788</v>
      </c>
      <c r="J256" s="1">
        <v>3.3</v>
      </c>
      <c r="K256" s="4">
        <f t="shared" si="6"/>
        <v>59.27064</v>
      </c>
      <c r="L256" s="4">
        <f t="shared" si="7"/>
        <v>1736.80936</v>
      </c>
      <c r="O256">
        <v>1346</v>
      </c>
      <c r="P256">
        <v>44107</v>
      </c>
      <c r="Q256" t="str">
        <v>East</v>
      </c>
      <c r="R256" t="str">
        <v>Tennis Racket</v>
      </c>
      <c r="S256" t="str">
        <v>Sports</v>
      </c>
      <c r="T256">
        <v>2617.19</v>
      </c>
      <c r="U256" t="str">
        <v>Angela Mooney</v>
      </c>
      <c r="V256">
        <v>25516</v>
      </c>
      <c r="W256">
        <v>44110</v>
      </c>
      <c r="X256">
        <v>16.489999999999998</v>
      </c>
      <c r="Y256">
        <v>431.57463100000001</v>
      </c>
      <c r="Z256">
        <v>2185.6153690000001</v>
      </c>
      <c r="AC256" t="str">
        <v>Cricket Bat</v>
      </c>
      <c r="AD256">
        <v>2106.2128199999997</v>
      </c>
      <c r="AF256">
        <v>1341</v>
      </c>
      <c r="AG256" t="str">
        <v>Sofa</v>
      </c>
      <c r="AH256">
        <v>1252.178328</v>
      </c>
    </row>
    <row r="257" spans="1:34" x14ac:dyDescent="0.3">
      <c r="A257" s="1">
        <v>1255</v>
      </c>
      <c r="B257" s="2">
        <v>44791</v>
      </c>
      <c r="C257" s="1" t="s">
        <v>35</v>
      </c>
      <c r="D257" s="1" t="s">
        <v>69</v>
      </c>
      <c r="E257" s="1" t="s">
        <v>31</v>
      </c>
      <c r="F257" s="1">
        <v>1032.53</v>
      </c>
      <c r="G257" s="1" t="s">
        <v>157</v>
      </c>
      <c r="H257" s="2">
        <v>37189</v>
      </c>
      <c r="I257" s="2">
        <v>44793</v>
      </c>
      <c r="J257" s="1">
        <v>47.26</v>
      </c>
      <c r="K257" s="4">
        <f t="shared" si="6"/>
        <v>487.97367799999995</v>
      </c>
      <c r="L257" s="4">
        <f t="shared" si="7"/>
        <v>544.55632200000002</v>
      </c>
      <c r="O257">
        <v>1347</v>
      </c>
      <c r="P257">
        <v>45525</v>
      </c>
      <c r="Q257" t="str">
        <v>East</v>
      </c>
      <c r="R257" t="str">
        <v>Camera</v>
      </c>
      <c r="S257" t="str">
        <v>Electronics</v>
      </c>
      <c r="T257">
        <v>4991.8599999999997</v>
      </c>
      <c r="U257" t="str">
        <v>Jessica Cruz</v>
      </c>
      <c r="V257">
        <v>36216</v>
      </c>
      <c r="W257">
        <v>45527</v>
      </c>
      <c r="X257">
        <v>21.77</v>
      </c>
      <c r="Y257">
        <v>1086.727922</v>
      </c>
      <c r="Z257">
        <v>3905.1320779999996</v>
      </c>
      <c r="AC257" t="str">
        <v>Tennis Racket</v>
      </c>
      <c r="AD257">
        <v>2185.6153690000001</v>
      </c>
      <c r="AF257">
        <v>1345</v>
      </c>
      <c r="AG257" t="str">
        <v>Cricket Bat</v>
      </c>
      <c r="AH257">
        <v>2106.2128199999997</v>
      </c>
    </row>
    <row r="258" spans="1:34" x14ac:dyDescent="0.3">
      <c r="A258" s="1">
        <v>1256</v>
      </c>
      <c r="B258" s="2">
        <v>44829</v>
      </c>
      <c r="C258" s="1" t="s">
        <v>10</v>
      </c>
      <c r="D258" s="1" t="s">
        <v>22</v>
      </c>
      <c r="E258" s="1" t="s">
        <v>19</v>
      </c>
      <c r="F258" s="1">
        <v>1161.73</v>
      </c>
      <c r="G258" s="1" t="s">
        <v>220</v>
      </c>
      <c r="H258" s="2">
        <v>30755</v>
      </c>
      <c r="I258" s="2">
        <v>44838</v>
      </c>
      <c r="J258" s="1">
        <v>8.2799999999999994</v>
      </c>
      <c r="K258" s="4">
        <f t="shared" si="6"/>
        <v>96.191243999999998</v>
      </c>
      <c r="L258" s="4">
        <f t="shared" si="7"/>
        <v>1065.5387559999999</v>
      </c>
      <c r="O258">
        <v>1348</v>
      </c>
      <c r="P258">
        <v>45264</v>
      </c>
      <c r="Q258" t="str">
        <v>West</v>
      </c>
      <c r="R258" t="str">
        <v>Jacket</v>
      </c>
      <c r="S258" t="str">
        <v>Clothing</v>
      </c>
      <c r="T258">
        <v>2795.27</v>
      </c>
      <c r="U258" t="str">
        <v>Timothy Castaneda</v>
      </c>
      <c r="V258">
        <v>31880</v>
      </c>
      <c r="W258">
        <v>45278</v>
      </c>
      <c r="X258">
        <v>43.19</v>
      </c>
      <c r="Y258">
        <v>1207.2771129999999</v>
      </c>
      <c r="Z258">
        <v>1587.9928870000001</v>
      </c>
      <c r="AC258" t="str">
        <v>Camera</v>
      </c>
      <c r="AD258">
        <v>3905.1320779999996</v>
      </c>
      <c r="AF258">
        <v>1346</v>
      </c>
      <c r="AG258" t="str">
        <v>Tennis Racket</v>
      </c>
      <c r="AH258">
        <v>2185.6153690000001</v>
      </c>
    </row>
    <row r="259" spans="1:34" x14ac:dyDescent="0.3">
      <c r="A259" s="1">
        <v>1257</v>
      </c>
      <c r="B259" s="2">
        <v>45205</v>
      </c>
      <c r="C259" s="1" t="s">
        <v>35</v>
      </c>
      <c r="D259" s="1" t="s">
        <v>24</v>
      </c>
      <c r="E259" s="1" t="s">
        <v>19</v>
      </c>
      <c r="F259" s="1">
        <v>544.44000000000005</v>
      </c>
      <c r="G259" s="1" t="s">
        <v>221</v>
      </c>
      <c r="H259" s="2">
        <v>35658</v>
      </c>
      <c r="I259" s="2">
        <v>45214</v>
      </c>
      <c r="J259" s="1">
        <v>38.49</v>
      </c>
      <c r="K259" s="4">
        <f t="shared" ref="K259:K322" si="8">F259*J259%</f>
        <v>209.55495600000003</v>
      </c>
      <c r="L259" s="4">
        <f t="shared" ref="L259:L322" si="9">F259-K259</f>
        <v>334.88504399999999</v>
      </c>
      <c r="O259">
        <v>1350</v>
      </c>
      <c r="P259">
        <v>45834</v>
      </c>
      <c r="Q259" t="str">
        <v>North</v>
      </c>
      <c r="R259" t="str">
        <v>Shoes</v>
      </c>
      <c r="S259" t="str">
        <v>Sports</v>
      </c>
      <c r="T259">
        <v>1668.13</v>
      </c>
      <c r="U259" t="str">
        <v>Kim Brown</v>
      </c>
      <c r="V259">
        <v>24368</v>
      </c>
      <c r="W259">
        <v>45845</v>
      </c>
      <c r="X259">
        <v>2.87</v>
      </c>
      <c r="Y259">
        <v>47.875331000000003</v>
      </c>
      <c r="Z259">
        <v>1620.2546690000001</v>
      </c>
      <c r="AC259" t="str">
        <v>Jacket</v>
      </c>
      <c r="AD259">
        <v>1587.9928870000001</v>
      </c>
      <c r="AF259">
        <v>1347</v>
      </c>
      <c r="AG259" t="str">
        <v>Camera</v>
      </c>
      <c r="AH259">
        <v>3905.1320779999996</v>
      </c>
    </row>
    <row r="260" spans="1:34" x14ac:dyDescent="0.3">
      <c r="A260" s="1">
        <v>1258</v>
      </c>
      <c r="B260" s="2">
        <v>44533</v>
      </c>
      <c r="C260" s="1" t="s">
        <v>26</v>
      </c>
      <c r="D260" s="1" t="s">
        <v>49</v>
      </c>
      <c r="E260" s="1" t="s">
        <v>12</v>
      </c>
      <c r="F260" s="1">
        <v>4156.28</v>
      </c>
      <c r="G260" s="1" t="s">
        <v>110</v>
      </c>
      <c r="H260" s="2">
        <v>32064</v>
      </c>
      <c r="I260" s="2">
        <v>44535</v>
      </c>
      <c r="J260" s="1">
        <v>11.58</v>
      </c>
      <c r="K260" s="4">
        <f t="shared" si="8"/>
        <v>481.29722399999997</v>
      </c>
      <c r="L260" s="4">
        <f t="shared" si="9"/>
        <v>3674.9827759999998</v>
      </c>
      <c r="O260">
        <v>1351</v>
      </c>
      <c r="P260">
        <v>45729</v>
      </c>
      <c r="Q260" t="str">
        <v>North</v>
      </c>
      <c r="R260" t="str">
        <v>Oil</v>
      </c>
      <c r="S260" t="str">
        <v>Groceries</v>
      </c>
      <c r="T260">
        <v>4136.7</v>
      </c>
      <c r="U260" t="str">
        <v>Brian Lee</v>
      </c>
      <c r="V260">
        <v>23735</v>
      </c>
      <c r="W260">
        <v>45732</v>
      </c>
      <c r="X260">
        <v>23.42</v>
      </c>
      <c r="Y260">
        <v>968.81514000000004</v>
      </c>
      <c r="Z260">
        <v>3167.8848599999997</v>
      </c>
      <c r="AC260" t="str">
        <v>Shoes</v>
      </c>
      <c r="AD260">
        <v>1620.2546690000001</v>
      </c>
      <c r="AF260">
        <v>1348</v>
      </c>
      <c r="AG260" t="str">
        <v>Jacket</v>
      </c>
      <c r="AH260">
        <v>1587.9928870000001</v>
      </c>
    </row>
    <row r="261" spans="1:34" x14ac:dyDescent="0.3">
      <c r="A261" s="1">
        <v>1259</v>
      </c>
      <c r="B261" s="2">
        <v>44840</v>
      </c>
      <c r="C261" s="1" t="s">
        <v>21</v>
      </c>
      <c r="D261" s="1" t="s">
        <v>11</v>
      </c>
      <c r="E261" s="1" t="s">
        <v>12</v>
      </c>
      <c r="F261" s="1">
        <v>1970.21</v>
      </c>
      <c r="G261" s="1" t="s">
        <v>222</v>
      </c>
      <c r="H261" s="2">
        <v>28619</v>
      </c>
      <c r="I261" s="2">
        <v>44850</v>
      </c>
      <c r="J261" s="1">
        <v>11.03</v>
      </c>
      <c r="K261" s="4">
        <f t="shared" si="8"/>
        <v>217.31416300000001</v>
      </c>
      <c r="L261" s="4">
        <f t="shared" si="9"/>
        <v>1752.895837</v>
      </c>
      <c r="O261">
        <v>1352</v>
      </c>
      <c r="P261">
        <v>45140</v>
      </c>
      <c r="Q261" t="str">
        <v>West</v>
      </c>
      <c r="R261" t="str">
        <v>Cap</v>
      </c>
      <c r="S261" t="str">
        <v>Clothing</v>
      </c>
      <c r="T261">
        <v>4005.07</v>
      </c>
      <c r="U261" t="str">
        <v>Jason Gomez</v>
      </c>
      <c r="V261">
        <v>32685</v>
      </c>
      <c r="W261">
        <v>45143</v>
      </c>
      <c r="X261">
        <v>41.83</v>
      </c>
      <c r="Y261">
        <v>1675.3207810000001</v>
      </c>
      <c r="Z261">
        <v>2329.7492190000003</v>
      </c>
      <c r="AC261" t="str">
        <v>Oil</v>
      </c>
      <c r="AD261">
        <v>3167.8848599999997</v>
      </c>
      <c r="AF261">
        <v>1350</v>
      </c>
      <c r="AG261" t="str">
        <v>Shoes</v>
      </c>
      <c r="AH261">
        <v>1620.2546690000001</v>
      </c>
    </row>
    <row r="262" spans="1:34" x14ac:dyDescent="0.3">
      <c r="A262" s="1">
        <v>1260</v>
      </c>
      <c r="B262" s="2">
        <v>44890</v>
      </c>
      <c r="C262" s="1" t="s">
        <v>35</v>
      </c>
      <c r="D262" s="1" t="s">
        <v>73</v>
      </c>
      <c r="E262" s="1" t="s">
        <v>28</v>
      </c>
      <c r="F262" s="1">
        <v>4251.99</v>
      </c>
      <c r="G262" s="1" t="s">
        <v>186</v>
      </c>
      <c r="H262" s="2">
        <v>39193</v>
      </c>
      <c r="I262" s="2">
        <v>44903</v>
      </c>
      <c r="J262" s="1">
        <v>34.770000000000003</v>
      </c>
      <c r="K262" s="4">
        <f t="shared" si="8"/>
        <v>1478.416923</v>
      </c>
      <c r="L262" s="4">
        <f t="shared" si="9"/>
        <v>2773.573077</v>
      </c>
      <c r="O262">
        <v>1354</v>
      </c>
      <c r="P262">
        <v>44391</v>
      </c>
      <c r="Q262" t="str">
        <v>North</v>
      </c>
      <c r="R262" t="str">
        <v>Jacket</v>
      </c>
      <c r="S262" t="str">
        <v>Clothing</v>
      </c>
      <c r="T262">
        <v>4025.33</v>
      </c>
      <c r="U262" t="str">
        <v>Joshua Joseph</v>
      </c>
      <c r="V262">
        <v>29386</v>
      </c>
      <c r="W262">
        <v>44403</v>
      </c>
      <c r="X262">
        <v>18.64</v>
      </c>
      <c r="Y262">
        <v>750.32151199999998</v>
      </c>
      <c r="Z262">
        <v>3275.0084879999999</v>
      </c>
      <c r="AC262" t="str">
        <v>Cap</v>
      </c>
      <c r="AD262">
        <v>2329.7492190000003</v>
      </c>
      <c r="AF262">
        <v>1351</v>
      </c>
      <c r="AG262" t="str">
        <v>Oil</v>
      </c>
      <c r="AH262">
        <v>3167.8848599999997</v>
      </c>
    </row>
    <row r="263" spans="1:34" x14ac:dyDescent="0.3">
      <c r="A263" s="1">
        <v>1261</v>
      </c>
      <c r="B263" s="2">
        <v>44437</v>
      </c>
      <c r="C263" s="1" t="s">
        <v>21</v>
      </c>
      <c r="D263" s="1" t="s">
        <v>61</v>
      </c>
      <c r="E263" s="1" t="s">
        <v>19</v>
      </c>
      <c r="F263" s="1">
        <v>2814.81</v>
      </c>
      <c r="G263" s="1" t="s">
        <v>119</v>
      </c>
      <c r="H263" s="2">
        <v>34954</v>
      </c>
      <c r="I263" s="2">
        <v>44444</v>
      </c>
      <c r="J263" s="1">
        <v>36.85</v>
      </c>
      <c r="K263" s="4">
        <f t="shared" si="8"/>
        <v>1037.2574849999999</v>
      </c>
      <c r="L263" s="4">
        <f t="shared" si="9"/>
        <v>1777.5525150000001</v>
      </c>
      <c r="O263">
        <v>1355</v>
      </c>
      <c r="P263">
        <v>44701</v>
      </c>
      <c r="Q263" t="str">
        <v>East</v>
      </c>
      <c r="R263" t="str">
        <v>Football</v>
      </c>
      <c r="S263" t="str">
        <v>Sports</v>
      </c>
      <c r="T263">
        <v>1665.27</v>
      </c>
      <c r="U263" t="str">
        <v>Colin Garcia</v>
      </c>
      <c r="V263">
        <v>37783</v>
      </c>
      <c r="W263">
        <v>44713</v>
      </c>
      <c r="X263">
        <v>34.700000000000003</v>
      </c>
      <c r="Y263">
        <v>577.84869000000003</v>
      </c>
      <c r="Z263">
        <v>1087.4213099999999</v>
      </c>
      <c r="AC263" t="str">
        <v>Jacket</v>
      </c>
      <c r="AD263">
        <v>3275.0084879999999</v>
      </c>
      <c r="AF263">
        <v>1352</v>
      </c>
      <c r="AG263" t="str">
        <v>Cap</v>
      </c>
      <c r="AH263">
        <v>2329.7492190000003</v>
      </c>
    </row>
    <row r="264" spans="1:34" x14ac:dyDescent="0.3">
      <c r="A264" s="1">
        <v>1262</v>
      </c>
      <c r="B264" s="2">
        <v>45103</v>
      </c>
      <c r="C264" s="1" t="s">
        <v>10</v>
      </c>
      <c r="D264" s="1" t="s">
        <v>73</v>
      </c>
      <c r="E264" s="1" t="s">
        <v>28</v>
      </c>
      <c r="F264" s="1">
        <v>2491.4899999999998</v>
      </c>
      <c r="G264" s="1" t="s">
        <v>221</v>
      </c>
      <c r="H264" s="2">
        <v>35658</v>
      </c>
      <c r="I264" s="2">
        <v>45113</v>
      </c>
      <c r="J264" s="1">
        <v>21.1</v>
      </c>
      <c r="K264" s="4">
        <f t="shared" si="8"/>
        <v>525.70438999999999</v>
      </c>
      <c r="L264" s="4">
        <f t="shared" si="9"/>
        <v>1965.7856099999999</v>
      </c>
      <c r="O264">
        <v>1356</v>
      </c>
      <c r="P264">
        <v>44231</v>
      </c>
      <c r="Q264" t="str">
        <v>North</v>
      </c>
      <c r="R264" t="str">
        <v>Milk</v>
      </c>
      <c r="S264" t="str">
        <v>Groceries</v>
      </c>
      <c r="T264">
        <v>3294.52</v>
      </c>
      <c r="U264" t="str">
        <v>Justin Martinez</v>
      </c>
      <c r="V264">
        <v>28555</v>
      </c>
      <c r="W264">
        <v>44243</v>
      </c>
      <c r="X264">
        <v>5.31</v>
      </c>
      <c r="Y264">
        <v>174.93901199999999</v>
      </c>
      <c r="Z264">
        <v>3119.5809880000002</v>
      </c>
      <c r="AC264" t="str">
        <v>Football</v>
      </c>
      <c r="AD264">
        <v>1087.4213099999999</v>
      </c>
      <c r="AF264">
        <v>1354</v>
      </c>
      <c r="AG264" t="str">
        <v>Jacket</v>
      </c>
      <c r="AH264">
        <v>3275.0084879999999</v>
      </c>
    </row>
    <row r="265" spans="1:34" x14ac:dyDescent="0.3">
      <c r="A265" s="1">
        <v>1263</v>
      </c>
      <c r="B265" s="2">
        <v>44413</v>
      </c>
      <c r="C265" s="1" t="s">
        <v>14</v>
      </c>
      <c r="D265" s="1" t="s">
        <v>18</v>
      </c>
      <c r="E265" s="1" t="s">
        <v>19</v>
      </c>
      <c r="F265" s="1">
        <v>3097.86</v>
      </c>
      <c r="G265" s="1" t="s">
        <v>145</v>
      </c>
      <c r="H265" s="2">
        <v>23470</v>
      </c>
      <c r="I265" s="2">
        <v>44419</v>
      </c>
      <c r="J265" s="1">
        <v>41.73</v>
      </c>
      <c r="K265" s="4">
        <f t="shared" si="8"/>
        <v>1292.7369779999999</v>
      </c>
      <c r="L265" s="4">
        <f t="shared" si="9"/>
        <v>1805.1230220000002</v>
      </c>
      <c r="O265">
        <v>1357</v>
      </c>
      <c r="P265">
        <v>44525</v>
      </c>
      <c r="Q265" t="str">
        <v>West</v>
      </c>
      <c r="R265" t="str">
        <v>Milk</v>
      </c>
      <c r="S265" t="str">
        <v>Groceries</v>
      </c>
      <c r="T265">
        <v>3300.32</v>
      </c>
      <c r="U265" t="str">
        <v>Nathaniel Gonzalez</v>
      </c>
      <c r="V265">
        <v>31082</v>
      </c>
      <c r="W265">
        <v>44534</v>
      </c>
      <c r="X265">
        <v>29.45</v>
      </c>
      <c r="Y265">
        <v>971.94424000000004</v>
      </c>
      <c r="Z265">
        <v>2328.3757599999999</v>
      </c>
      <c r="AC265" t="str">
        <v>Milk</v>
      </c>
      <c r="AD265">
        <v>3119.5809880000002</v>
      </c>
      <c r="AF265">
        <v>1355</v>
      </c>
      <c r="AG265" t="str">
        <v>Football</v>
      </c>
      <c r="AH265">
        <v>1087.4213099999999</v>
      </c>
    </row>
    <row r="266" spans="1:34" x14ac:dyDescent="0.3">
      <c r="A266" s="1">
        <v>1264</v>
      </c>
      <c r="B266" s="2">
        <v>45805</v>
      </c>
      <c r="C266" s="1" t="s">
        <v>10</v>
      </c>
      <c r="D266" s="1" t="s">
        <v>38</v>
      </c>
      <c r="E266" s="1" t="s">
        <v>28</v>
      </c>
      <c r="F266" s="1">
        <v>762.49</v>
      </c>
      <c r="G266" s="1" t="s">
        <v>32</v>
      </c>
      <c r="H266" s="2">
        <v>27166</v>
      </c>
      <c r="I266" s="2">
        <v>45807</v>
      </c>
      <c r="J266" s="1">
        <v>16.559999999999999</v>
      </c>
      <c r="K266" s="4">
        <f t="shared" si="8"/>
        <v>126.268344</v>
      </c>
      <c r="L266" s="4">
        <f t="shared" si="9"/>
        <v>636.22165600000005</v>
      </c>
      <c r="O266">
        <v>1359</v>
      </c>
      <c r="P266">
        <v>45276</v>
      </c>
      <c r="Q266" t="str">
        <v>Central</v>
      </c>
      <c r="R266" t="str">
        <v>Cap</v>
      </c>
      <c r="S266" t="str">
        <v>Clothing</v>
      </c>
      <c r="T266">
        <v>3637.29</v>
      </c>
      <c r="U266" t="str">
        <v>Karen Johnson</v>
      </c>
      <c r="V266">
        <v>33892</v>
      </c>
      <c r="W266">
        <v>45282</v>
      </c>
      <c r="X266">
        <v>41.8</v>
      </c>
      <c r="Y266">
        <v>1520.3872199999998</v>
      </c>
      <c r="Z266">
        <v>2116.9027800000003</v>
      </c>
      <c r="AC266" t="str">
        <v>Milk</v>
      </c>
      <c r="AD266">
        <v>2328.3757599999999</v>
      </c>
      <c r="AF266">
        <v>1356</v>
      </c>
      <c r="AG266" t="str">
        <v>Milk</v>
      </c>
      <c r="AH266">
        <v>3119.5809880000002</v>
      </c>
    </row>
    <row r="267" spans="1:34" x14ac:dyDescent="0.3">
      <c r="A267" s="1">
        <v>1265</v>
      </c>
      <c r="B267" s="2">
        <v>45103</v>
      </c>
      <c r="C267" s="1" t="s">
        <v>35</v>
      </c>
      <c r="D267" s="1" t="s">
        <v>61</v>
      </c>
      <c r="E267" s="1" t="s">
        <v>19</v>
      </c>
      <c r="F267" s="1">
        <v>3658.32</v>
      </c>
      <c r="G267" s="1" t="s">
        <v>63</v>
      </c>
      <c r="H267" s="2">
        <v>25430</v>
      </c>
      <c r="I267" s="2">
        <v>45116</v>
      </c>
      <c r="J267" s="1">
        <v>27.9</v>
      </c>
      <c r="K267" s="4">
        <f t="shared" si="8"/>
        <v>1020.6712799999999</v>
      </c>
      <c r="L267" s="4">
        <f t="shared" si="9"/>
        <v>2637.6487200000001</v>
      </c>
      <c r="O267">
        <v>1360</v>
      </c>
      <c r="P267">
        <v>44443</v>
      </c>
      <c r="Q267" t="str">
        <v>South</v>
      </c>
      <c r="R267" t="str">
        <v>Headphones</v>
      </c>
      <c r="S267" t="str">
        <v>Electronics</v>
      </c>
      <c r="T267">
        <v>3902.12</v>
      </c>
      <c r="U267" t="str">
        <v>Michelle Davis</v>
      </c>
      <c r="V267">
        <v>34367</v>
      </c>
      <c r="W267">
        <v>44455</v>
      </c>
      <c r="X267">
        <v>24.06</v>
      </c>
      <c r="Y267">
        <v>938.85007199999995</v>
      </c>
      <c r="Z267">
        <v>2963.2699279999997</v>
      </c>
      <c r="AC267" t="str">
        <v>Cap</v>
      </c>
      <c r="AD267">
        <v>2116.9027800000003</v>
      </c>
      <c r="AF267">
        <v>1357</v>
      </c>
      <c r="AG267" t="str">
        <v>Milk</v>
      </c>
      <c r="AH267">
        <v>2328.3757599999999</v>
      </c>
    </row>
    <row r="268" spans="1:34" x14ac:dyDescent="0.3">
      <c r="A268" s="1">
        <v>1266</v>
      </c>
      <c r="B268" s="2">
        <v>45878</v>
      </c>
      <c r="C268" s="1" t="s">
        <v>35</v>
      </c>
      <c r="D268" s="1" t="s">
        <v>33</v>
      </c>
      <c r="E268" s="1" t="s">
        <v>16</v>
      </c>
      <c r="F268" s="1">
        <v>4570.67</v>
      </c>
      <c r="G268" s="1" t="s">
        <v>223</v>
      </c>
      <c r="H268" s="2">
        <v>35407</v>
      </c>
      <c r="I268" s="2">
        <v>45880</v>
      </c>
      <c r="J268" s="1">
        <v>40.4</v>
      </c>
      <c r="K268" s="4">
        <f t="shared" si="8"/>
        <v>1846.5506799999998</v>
      </c>
      <c r="L268" s="4">
        <f t="shared" si="9"/>
        <v>2724.1193200000002</v>
      </c>
      <c r="O268">
        <v>1362</v>
      </c>
      <c r="P268">
        <v>44105</v>
      </c>
      <c r="Q268" t="str">
        <v>Central</v>
      </c>
      <c r="R268" t="str">
        <v>Smartphone</v>
      </c>
      <c r="S268" t="str">
        <v>Electronics</v>
      </c>
      <c r="T268">
        <v>3442.22</v>
      </c>
      <c r="U268" t="str">
        <v>Kerry Hines</v>
      </c>
      <c r="V268">
        <v>34011</v>
      </c>
      <c r="W268">
        <v>44107</v>
      </c>
      <c r="X268">
        <v>18.84</v>
      </c>
      <c r="Y268">
        <v>648.51424799999995</v>
      </c>
      <c r="Z268">
        <v>2793.7057519999998</v>
      </c>
      <c r="AC268" t="str">
        <v>Headphones</v>
      </c>
      <c r="AD268">
        <v>2963.2699279999997</v>
      </c>
      <c r="AF268">
        <v>1359</v>
      </c>
      <c r="AG268" t="str">
        <v>Cap</v>
      </c>
      <c r="AH268">
        <v>2116.9027800000003</v>
      </c>
    </row>
    <row r="269" spans="1:34" x14ac:dyDescent="0.3">
      <c r="A269" s="1">
        <v>1267</v>
      </c>
      <c r="B269" s="2">
        <v>44454</v>
      </c>
      <c r="C269" s="1" t="s">
        <v>26</v>
      </c>
      <c r="D269" s="1" t="s">
        <v>36</v>
      </c>
      <c r="E269" s="1" t="s">
        <v>28</v>
      </c>
      <c r="F269" s="1">
        <v>175.11</v>
      </c>
      <c r="G269" s="1" t="s">
        <v>224</v>
      </c>
      <c r="H269" s="2">
        <v>35405</v>
      </c>
      <c r="I269" s="2">
        <v>44461</v>
      </c>
      <c r="J269" s="1">
        <v>23.84</v>
      </c>
      <c r="K269" s="4">
        <f t="shared" si="8"/>
        <v>41.746224000000005</v>
      </c>
      <c r="L269" s="4">
        <f t="shared" si="9"/>
        <v>133.363776</v>
      </c>
      <c r="O269">
        <v>1365</v>
      </c>
      <c r="P269">
        <v>44557</v>
      </c>
      <c r="Q269" t="str">
        <v>North</v>
      </c>
      <c r="R269" t="str">
        <v>Jeans</v>
      </c>
      <c r="S269" t="str">
        <v>Clothing</v>
      </c>
      <c r="T269">
        <v>3989.42</v>
      </c>
      <c r="U269" t="str">
        <v>Harry Holmes</v>
      </c>
      <c r="V269">
        <v>25712</v>
      </c>
      <c r="W269">
        <v>44563</v>
      </c>
      <c r="X269">
        <v>4.76</v>
      </c>
      <c r="Y269">
        <v>189.89639199999999</v>
      </c>
      <c r="Z269">
        <v>3799.523608</v>
      </c>
      <c r="AC269" t="str">
        <v>Smartphone</v>
      </c>
      <c r="AD269">
        <v>2793.7057519999998</v>
      </c>
      <c r="AF269">
        <v>1360</v>
      </c>
      <c r="AG269" t="str">
        <v>Headphones</v>
      </c>
      <c r="AH269">
        <v>2963.2699279999997</v>
      </c>
    </row>
    <row r="270" spans="1:34" x14ac:dyDescent="0.3">
      <c r="A270" s="1">
        <v>1268</v>
      </c>
      <c r="B270" s="2">
        <v>44776</v>
      </c>
      <c r="C270" s="1" t="s">
        <v>10</v>
      </c>
      <c r="D270" s="1" t="s">
        <v>69</v>
      </c>
      <c r="E270" s="1" t="s">
        <v>12</v>
      </c>
      <c r="F270" s="1">
        <v>1206.06</v>
      </c>
      <c r="G270" s="1" t="s">
        <v>32</v>
      </c>
      <c r="H270" s="2">
        <v>27166</v>
      </c>
      <c r="I270" s="2">
        <v>44782</v>
      </c>
      <c r="J270" s="1">
        <v>10.39</v>
      </c>
      <c r="K270" s="4">
        <f t="shared" si="8"/>
        <v>125.309634</v>
      </c>
      <c r="L270" s="4">
        <f t="shared" si="9"/>
        <v>1080.750366</v>
      </c>
      <c r="O270">
        <v>1366</v>
      </c>
      <c r="P270">
        <v>44384</v>
      </c>
      <c r="Q270" t="str">
        <v>West</v>
      </c>
      <c r="R270" t="str">
        <v>Sofa</v>
      </c>
      <c r="S270" t="str">
        <v>Furniture</v>
      </c>
      <c r="T270">
        <v>3857.76</v>
      </c>
      <c r="U270" t="str">
        <v>Debbie Jensen</v>
      </c>
      <c r="V270">
        <v>29103</v>
      </c>
      <c r="W270">
        <v>44392</v>
      </c>
      <c r="X270">
        <v>14.13</v>
      </c>
      <c r="Y270">
        <v>545.10148800000002</v>
      </c>
      <c r="Z270">
        <v>3312.658512</v>
      </c>
      <c r="AC270" t="str">
        <v>Jeans</v>
      </c>
      <c r="AD270">
        <v>3799.523608</v>
      </c>
      <c r="AF270">
        <v>1362</v>
      </c>
      <c r="AG270" t="str">
        <v>Smartphone</v>
      </c>
      <c r="AH270">
        <v>2793.7057519999998</v>
      </c>
    </row>
    <row r="271" spans="1:34" x14ac:dyDescent="0.3">
      <c r="A271" s="1">
        <v>1269</v>
      </c>
      <c r="B271" s="2">
        <v>44135</v>
      </c>
      <c r="C271" s="1" t="s">
        <v>26</v>
      </c>
      <c r="D271" s="1" t="s">
        <v>65</v>
      </c>
      <c r="E271" s="1" t="s">
        <v>19</v>
      </c>
      <c r="F271" s="1">
        <v>800.68</v>
      </c>
      <c r="G271" s="1" t="s">
        <v>129</v>
      </c>
      <c r="H271" s="2">
        <v>26668</v>
      </c>
      <c r="I271" s="2">
        <v>44142</v>
      </c>
      <c r="J271" s="1">
        <v>13.26</v>
      </c>
      <c r="K271" s="4">
        <f t="shared" si="8"/>
        <v>106.17016799999999</v>
      </c>
      <c r="L271" s="4">
        <f t="shared" si="9"/>
        <v>694.50983199999996</v>
      </c>
      <c r="O271">
        <v>1369</v>
      </c>
      <c r="P271">
        <v>45674</v>
      </c>
      <c r="Q271" t="str">
        <v>West</v>
      </c>
      <c r="R271" t="str">
        <v>Chair</v>
      </c>
      <c r="S271" t="str">
        <v>Furniture</v>
      </c>
      <c r="T271">
        <v>3121.09</v>
      </c>
      <c r="U271" t="str">
        <v>Dorothy Thomas</v>
      </c>
      <c r="V271">
        <v>30364</v>
      </c>
      <c r="W271">
        <v>45687</v>
      </c>
      <c r="X271">
        <v>38.82</v>
      </c>
      <c r="Y271">
        <v>1211.6071380000001</v>
      </c>
      <c r="Z271">
        <v>1909.4828620000001</v>
      </c>
      <c r="AC271" t="str">
        <v>Sofa</v>
      </c>
      <c r="AD271">
        <v>3312.658512</v>
      </c>
      <c r="AF271">
        <v>1365</v>
      </c>
      <c r="AG271" t="str">
        <v>Jeans</v>
      </c>
      <c r="AH271">
        <v>3799.523608</v>
      </c>
    </row>
    <row r="272" spans="1:34" x14ac:dyDescent="0.3">
      <c r="A272" s="1">
        <v>1270</v>
      </c>
      <c r="B272" s="2">
        <v>44757</v>
      </c>
      <c r="C272" s="1" t="s">
        <v>35</v>
      </c>
      <c r="D272" s="1" t="s">
        <v>36</v>
      </c>
      <c r="E272" s="1" t="s">
        <v>28</v>
      </c>
      <c r="F272" s="1">
        <v>1878.78</v>
      </c>
      <c r="G272" s="1" t="s">
        <v>46</v>
      </c>
      <c r="H272" s="2">
        <v>24670</v>
      </c>
      <c r="I272" s="2">
        <v>44766</v>
      </c>
      <c r="J272" s="1">
        <v>1.81</v>
      </c>
      <c r="K272" s="4">
        <f t="shared" si="8"/>
        <v>34.005918000000001</v>
      </c>
      <c r="L272" s="4">
        <f t="shared" si="9"/>
        <v>1844.7740819999999</v>
      </c>
      <c r="O272">
        <v>1370</v>
      </c>
      <c r="P272">
        <v>45702</v>
      </c>
      <c r="Q272" t="str">
        <v>West</v>
      </c>
      <c r="R272" t="str">
        <v>Cricket Bat</v>
      </c>
      <c r="S272" t="str">
        <v>Sports</v>
      </c>
      <c r="T272">
        <v>2623.27</v>
      </c>
      <c r="U272" t="str">
        <v>Erik Garcia</v>
      </c>
      <c r="V272">
        <v>24802</v>
      </c>
      <c r="W272">
        <v>45707</v>
      </c>
      <c r="X272">
        <v>29.54</v>
      </c>
      <c r="Y272">
        <v>774.91395799999998</v>
      </c>
      <c r="Z272">
        <v>1848.3560419999999</v>
      </c>
      <c r="AC272" t="str">
        <v>Chair</v>
      </c>
      <c r="AD272">
        <v>1909.4828620000001</v>
      </c>
      <c r="AF272">
        <v>1366</v>
      </c>
      <c r="AG272" t="str">
        <v>Sofa</v>
      </c>
      <c r="AH272">
        <v>3312.658512</v>
      </c>
    </row>
    <row r="273" spans="1:34" x14ac:dyDescent="0.3">
      <c r="A273" s="1">
        <v>1271</v>
      </c>
      <c r="B273" s="2">
        <v>45831</v>
      </c>
      <c r="C273" s="1" t="s">
        <v>14</v>
      </c>
      <c r="D273" s="1" t="s">
        <v>30</v>
      </c>
      <c r="E273" s="1" t="s">
        <v>31</v>
      </c>
      <c r="F273" s="1">
        <v>854.3</v>
      </c>
      <c r="G273" s="1" t="s">
        <v>225</v>
      </c>
      <c r="H273" s="2">
        <v>27641</v>
      </c>
      <c r="I273" s="2">
        <v>45844</v>
      </c>
      <c r="J273" s="1">
        <v>34.979999999999997</v>
      </c>
      <c r="K273" s="4">
        <f t="shared" si="8"/>
        <v>298.83413999999993</v>
      </c>
      <c r="L273" s="4">
        <f t="shared" si="9"/>
        <v>555.46586000000002</v>
      </c>
      <c r="O273">
        <v>1371</v>
      </c>
      <c r="P273">
        <v>45028</v>
      </c>
      <c r="Q273" t="str">
        <v>East</v>
      </c>
      <c r="R273" t="str">
        <v>Jacket</v>
      </c>
      <c r="S273" t="str">
        <v>Clothing</v>
      </c>
      <c r="T273">
        <v>3304.37</v>
      </c>
      <c r="U273" t="str">
        <v>Steven Santiago</v>
      </c>
      <c r="V273">
        <v>38478</v>
      </c>
      <c r="W273">
        <v>45034</v>
      </c>
      <c r="X273">
        <v>47.9</v>
      </c>
      <c r="Y273">
        <v>1582.79323</v>
      </c>
      <c r="Z273">
        <v>1721.5767699999999</v>
      </c>
      <c r="AC273" t="str">
        <v>Cricket Bat</v>
      </c>
      <c r="AD273">
        <v>1848.3560419999999</v>
      </c>
      <c r="AF273">
        <v>1369</v>
      </c>
      <c r="AG273" t="str">
        <v>Chair</v>
      </c>
      <c r="AH273">
        <v>1909.4828620000001</v>
      </c>
    </row>
    <row r="274" spans="1:34" x14ac:dyDescent="0.3">
      <c r="A274" s="1">
        <v>1272</v>
      </c>
      <c r="B274" s="2">
        <v>45875</v>
      </c>
      <c r="C274" s="1" t="s">
        <v>14</v>
      </c>
      <c r="D274" s="1" t="s">
        <v>47</v>
      </c>
      <c r="E274" s="1" t="s">
        <v>12</v>
      </c>
      <c r="F274" s="1">
        <v>3347.21</v>
      </c>
      <c r="G274" s="1" t="s">
        <v>67</v>
      </c>
      <c r="H274" s="2">
        <v>34016</v>
      </c>
      <c r="I274" s="2">
        <v>45880</v>
      </c>
      <c r="J274" s="1">
        <v>41.7</v>
      </c>
      <c r="K274" s="4">
        <f t="shared" si="8"/>
        <v>1395.7865700000002</v>
      </c>
      <c r="L274" s="4">
        <f t="shared" si="9"/>
        <v>1951.4234299999998</v>
      </c>
      <c r="O274">
        <v>1372</v>
      </c>
      <c r="P274">
        <v>44691</v>
      </c>
      <c r="Q274" t="str">
        <v>East</v>
      </c>
      <c r="R274" t="str">
        <v>Oil</v>
      </c>
      <c r="S274" t="str">
        <v>Groceries</v>
      </c>
      <c r="T274">
        <v>4505.3599999999997</v>
      </c>
      <c r="U274" t="str">
        <v>William Key</v>
      </c>
      <c r="V274">
        <v>34209</v>
      </c>
      <c r="W274">
        <v>44700</v>
      </c>
      <c r="X274">
        <v>34.29</v>
      </c>
      <c r="Y274">
        <v>1544.8879439999998</v>
      </c>
      <c r="Z274">
        <v>2960.4720559999996</v>
      </c>
      <c r="AC274" t="str">
        <v>Jacket</v>
      </c>
      <c r="AD274">
        <v>1721.5767699999999</v>
      </c>
      <c r="AF274">
        <v>1370</v>
      </c>
      <c r="AG274" t="str">
        <v>Cricket Bat</v>
      </c>
      <c r="AH274">
        <v>1848.3560419999999</v>
      </c>
    </row>
    <row r="275" spans="1:34" x14ac:dyDescent="0.3">
      <c r="A275" s="1">
        <v>1273</v>
      </c>
      <c r="B275" s="2">
        <v>45857</v>
      </c>
      <c r="C275" s="1" t="s">
        <v>26</v>
      </c>
      <c r="D275" s="1" t="s">
        <v>53</v>
      </c>
      <c r="E275" s="1" t="s">
        <v>28</v>
      </c>
      <c r="F275" s="1">
        <v>2890.65</v>
      </c>
      <c r="G275" s="1" t="s">
        <v>226</v>
      </c>
      <c r="H275" s="2">
        <v>33332</v>
      </c>
      <c r="I275" s="2">
        <v>45868</v>
      </c>
      <c r="J275" s="1">
        <v>27.79</v>
      </c>
      <c r="K275" s="4">
        <f t="shared" si="8"/>
        <v>803.31163500000002</v>
      </c>
      <c r="L275" s="4">
        <f t="shared" si="9"/>
        <v>2087.3383650000001</v>
      </c>
      <c r="O275">
        <v>1373</v>
      </c>
      <c r="P275">
        <v>45007</v>
      </c>
      <c r="Q275" t="str">
        <v>East</v>
      </c>
      <c r="R275" t="str">
        <v>Laptop</v>
      </c>
      <c r="S275" t="str">
        <v>Electronics</v>
      </c>
      <c r="T275">
        <v>3528.12</v>
      </c>
      <c r="U275" t="str">
        <v>Kimberly Carey</v>
      </c>
      <c r="V275">
        <v>24961</v>
      </c>
      <c r="W275">
        <v>45008</v>
      </c>
      <c r="X275">
        <v>5.15</v>
      </c>
      <c r="Y275">
        <v>181.69818000000001</v>
      </c>
      <c r="Z275">
        <v>3346.42182</v>
      </c>
      <c r="AC275" t="str">
        <v>Oil</v>
      </c>
      <c r="AD275">
        <v>2960.4720559999996</v>
      </c>
      <c r="AF275">
        <v>1371</v>
      </c>
      <c r="AG275" t="str">
        <v>Jacket</v>
      </c>
      <c r="AH275">
        <v>1721.5767699999999</v>
      </c>
    </row>
    <row r="276" spans="1:34" x14ac:dyDescent="0.3">
      <c r="A276" s="1">
        <v>1274</v>
      </c>
      <c r="B276" s="2">
        <v>45696</v>
      </c>
      <c r="C276" s="1" t="s">
        <v>26</v>
      </c>
      <c r="D276" s="1" t="s">
        <v>49</v>
      </c>
      <c r="E276" s="1" t="s">
        <v>12</v>
      </c>
      <c r="F276" s="1">
        <v>3258.98</v>
      </c>
      <c r="G276" s="1" t="s">
        <v>227</v>
      </c>
      <c r="H276" s="2">
        <v>34932</v>
      </c>
      <c r="I276" s="2">
        <v>45701</v>
      </c>
      <c r="J276" s="1">
        <v>15.98</v>
      </c>
      <c r="K276" s="4">
        <f t="shared" si="8"/>
        <v>520.78500399999996</v>
      </c>
      <c r="L276" s="4">
        <f t="shared" si="9"/>
        <v>2738.1949960000002</v>
      </c>
      <c r="O276">
        <v>1374</v>
      </c>
      <c r="P276">
        <v>45791</v>
      </c>
      <c r="Q276" t="str">
        <v>Central</v>
      </c>
      <c r="R276" t="str">
        <v>Jacket</v>
      </c>
      <c r="S276" t="str">
        <v>Clothing</v>
      </c>
      <c r="T276">
        <v>3418.14</v>
      </c>
      <c r="U276" t="str">
        <v>Brian Tucker</v>
      </c>
      <c r="V276">
        <v>27131</v>
      </c>
      <c r="W276">
        <v>45795</v>
      </c>
      <c r="X276">
        <v>14.35</v>
      </c>
      <c r="Y276">
        <v>490.50308999999993</v>
      </c>
      <c r="Z276">
        <v>2927.6369100000002</v>
      </c>
      <c r="AC276" t="str">
        <v>Laptop</v>
      </c>
      <c r="AD276">
        <v>3346.42182</v>
      </c>
      <c r="AF276">
        <v>1372</v>
      </c>
      <c r="AG276" t="str">
        <v>Oil</v>
      </c>
      <c r="AH276">
        <v>2960.4720559999996</v>
      </c>
    </row>
    <row r="277" spans="1:34" x14ac:dyDescent="0.3">
      <c r="A277" s="1">
        <v>1275</v>
      </c>
      <c r="B277" s="2">
        <v>45724</v>
      </c>
      <c r="C277" s="1" t="s">
        <v>10</v>
      </c>
      <c r="D277" s="1" t="s">
        <v>49</v>
      </c>
      <c r="E277" s="1" t="s">
        <v>12</v>
      </c>
      <c r="F277" s="1">
        <v>2674.72</v>
      </c>
      <c r="G277" s="1" t="s">
        <v>90</v>
      </c>
      <c r="H277" s="2">
        <v>29348</v>
      </c>
      <c r="I277" s="2">
        <v>45730</v>
      </c>
      <c r="J277" s="1">
        <v>41</v>
      </c>
      <c r="K277" s="4">
        <f t="shared" si="8"/>
        <v>1096.6351999999999</v>
      </c>
      <c r="L277" s="4">
        <f t="shared" si="9"/>
        <v>1578.0847999999999</v>
      </c>
      <c r="O277">
        <v>1375</v>
      </c>
      <c r="P277">
        <v>44394</v>
      </c>
      <c r="Q277" t="str">
        <v>Central</v>
      </c>
      <c r="R277" t="str">
        <v>Wheat</v>
      </c>
      <c r="S277" t="str">
        <v>Groceries</v>
      </c>
      <c r="T277">
        <v>4990.92</v>
      </c>
      <c r="U277" t="str">
        <v>Pamela Randall</v>
      </c>
      <c r="V277">
        <v>30356</v>
      </c>
      <c r="W277">
        <v>44395</v>
      </c>
      <c r="X277">
        <v>38.31</v>
      </c>
      <c r="Y277">
        <v>1912.021452</v>
      </c>
      <c r="Z277">
        <v>3078.8985480000001</v>
      </c>
      <c r="AC277" t="str">
        <v>Jacket</v>
      </c>
      <c r="AD277">
        <v>2927.6369100000002</v>
      </c>
      <c r="AF277">
        <v>1373</v>
      </c>
      <c r="AG277" t="str">
        <v>Laptop</v>
      </c>
      <c r="AH277">
        <v>3346.42182</v>
      </c>
    </row>
    <row r="278" spans="1:34" x14ac:dyDescent="0.3">
      <c r="A278" s="1">
        <v>1276</v>
      </c>
      <c r="B278" s="2">
        <v>45664</v>
      </c>
      <c r="C278" s="1" t="s">
        <v>35</v>
      </c>
      <c r="D278" s="1" t="s">
        <v>47</v>
      </c>
      <c r="E278" s="1" t="s">
        <v>12</v>
      </c>
      <c r="F278" s="1">
        <v>2605.23</v>
      </c>
      <c r="G278" s="1" t="s">
        <v>228</v>
      </c>
      <c r="H278" s="2">
        <v>25811</v>
      </c>
      <c r="I278" s="2">
        <v>45671</v>
      </c>
      <c r="J278" s="1">
        <v>38.31</v>
      </c>
      <c r="K278" s="4">
        <f t="shared" si="8"/>
        <v>998.06361300000003</v>
      </c>
      <c r="L278" s="4">
        <f t="shared" si="9"/>
        <v>1607.166387</v>
      </c>
      <c r="O278">
        <v>1378</v>
      </c>
      <c r="P278">
        <v>44166</v>
      </c>
      <c r="Q278" t="str">
        <v>East</v>
      </c>
      <c r="R278" t="str">
        <v>Tennis Racket</v>
      </c>
      <c r="S278" t="str">
        <v>Sports</v>
      </c>
      <c r="T278">
        <v>2713.64</v>
      </c>
      <c r="U278" t="str">
        <v>Matthew Moore</v>
      </c>
      <c r="V278">
        <v>29366</v>
      </c>
      <c r="W278">
        <v>44179</v>
      </c>
      <c r="X278">
        <v>30.32</v>
      </c>
      <c r="Y278">
        <v>822.77564800000005</v>
      </c>
      <c r="Z278">
        <v>1890.8643519999998</v>
      </c>
      <c r="AC278" t="str">
        <v>Wheat</v>
      </c>
      <c r="AD278">
        <v>3078.8985480000001</v>
      </c>
      <c r="AF278">
        <v>1374</v>
      </c>
      <c r="AG278" t="str">
        <v>Jacket</v>
      </c>
      <c r="AH278">
        <v>2927.6369100000002</v>
      </c>
    </row>
    <row r="279" spans="1:34" x14ac:dyDescent="0.3">
      <c r="A279" s="1">
        <v>1277</v>
      </c>
      <c r="B279" s="2">
        <v>44414</v>
      </c>
      <c r="C279" s="1" t="s">
        <v>10</v>
      </c>
      <c r="D279" s="1" t="s">
        <v>38</v>
      </c>
      <c r="E279" s="1" t="s">
        <v>28</v>
      </c>
      <c r="F279" s="1">
        <v>1138.02</v>
      </c>
      <c r="G279" s="1" t="s">
        <v>212</v>
      </c>
      <c r="H279" s="2">
        <v>23674</v>
      </c>
      <c r="I279" s="2">
        <v>44426</v>
      </c>
      <c r="J279" s="1">
        <v>44.7</v>
      </c>
      <c r="K279" s="4">
        <f t="shared" si="8"/>
        <v>508.69493999999997</v>
      </c>
      <c r="L279" s="4">
        <f t="shared" si="9"/>
        <v>629.32506000000001</v>
      </c>
      <c r="O279">
        <v>1379</v>
      </c>
      <c r="P279">
        <v>44358</v>
      </c>
      <c r="Q279" t="str">
        <v>East</v>
      </c>
      <c r="R279" t="str">
        <v>Shoes</v>
      </c>
      <c r="S279" t="str">
        <v>Clothing</v>
      </c>
      <c r="T279">
        <v>3215.09</v>
      </c>
      <c r="U279" t="str">
        <v>Casey Williams</v>
      </c>
      <c r="V279">
        <v>22646</v>
      </c>
      <c r="W279">
        <v>44368</v>
      </c>
      <c r="X279">
        <v>1.58</v>
      </c>
      <c r="Y279">
        <v>50.798422000000009</v>
      </c>
      <c r="Z279">
        <v>3164.2915780000003</v>
      </c>
      <c r="AC279" t="str">
        <v>Tennis Racket</v>
      </c>
      <c r="AD279">
        <v>1890.8643519999998</v>
      </c>
      <c r="AF279">
        <v>1375</v>
      </c>
      <c r="AG279" t="str">
        <v>Wheat</v>
      </c>
      <c r="AH279">
        <v>3078.8985480000001</v>
      </c>
    </row>
    <row r="280" spans="1:34" x14ac:dyDescent="0.3">
      <c r="A280" s="1">
        <v>1278</v>
      </c>
      <c r="B280" s="2">
        <v>45112</v>
      </c>
      <c r="C280" s="1" t="s">
        <v>14</v>
      </c>
      <c r="D280" s="1" t="s">
        <v>15</v>
      </c>
      <c r="E280" s="1" t="s">
        <v>16</v>
      </c>
      <c r="F280" s="1">
        <v>1792.81</v>
      </c>
      <c r="G280" s="1" t="s">
        <v>229</v>
      </c>
      <c r="H280" s="2">
        <v>37783</v>
      </c>
      <c r="I280" s="2">
        <v>45114</v>
      </c>
      <c r="J280" s="1">
        <v>0.96</v>
      </c>
      <c r="K280" s="4">
        <f t="shared" si="8"/>
        <v>17.210975999999999</v>
      </c>
      <c r="L280" s="4">
        <f t="shared" si="9"/>
        <v>1775.5990239999999</v>
      </c>
      <c r="O280">
        <v>1380</v>
      </c>
      <c r="P280">
        <v>44767</v>
      </c>
      <c r="Q280" t="str">
        <v>East</v>
      </c>
      <c r="R280" t="str">
        <v>Smartphone</v>
      </c>
      <c r="S280" t="str">
        <v>Electronics</v>
      </c>
      <c r="T280">
        <v>2690.03</v>
      </c>
      <c r="U280" t="str">
        <v>Amber Shaw</v>
      </c>
      <c r="V280">
        <v>25341</v>
      </c>
      <c r="W280">
        <v>44776</v>
      </c>
      <c r="X280">
        <v>33.44</v>
      </c>
      <c r="Y280">
        <v>899.54603199999997</v>
      </c>
      <c r="Z280">
        <v>1790.4839680000002</v>
      </c>
      <c r="AC280" t="str">
        <v>Shoes</v>
      </c>
      <c r="AD280">
        <v>3164.2915780000003</v>
      </c>
      <c r="AF280">
        <v>1378</v>
      </c>
      <c r="AG280" t="str">
        <v>Tennis Racket</v>
      </c>
      <c r="AH280">
        <v>1890.8643519999998</v>
      </c>
    </row>
    <row r="281" spans="1:34" x14ac:dyDescent="0.3">
      <c r="A281" s="1">
        <v>1279</v>
      </c>
      <c r="B281" s="2">
        <v>45807</v>
      </c>
      <c r="C281" s="1" t="s">
        <v>35</v>
      </c>
      <c r="D281" s="1" t="s">
        <v>24</v>
      </c>
      <c r="E281" s="1" t="s">
        <v>19</v>
      </c>
      <c r="F281" s="1">
        <v>281.86</v>
      </c>
      <c r="G281" s="1" t="s">
        <v>100</v>
      </c>
      <c r="H281" s="2">
        <v>22100</v>
      </c>
      <c r="I281" s="2">
        <v>45815</v>
      </c>
      <c r="J281" s="1">
        <v>40.89</v>
      </c>
      <c r="K281" s="4">
        <f t="shared" si="8"/>
        <v>115.252554</v>
      </c>
      <c r="L281" s="4">
        <f t="shared" si="9"/>
        <v>166.60744600000001</v>
      </c>
      <c r="O281">
        <v>1386</v>
      </c>
      <c r="P281">
        <v>44786</v>
      </c>
      <c r="Q281" t="str">
        <v>South</v>
      </c>
      <c r="R281" t="str">
        <v>Laptop</v>
      </c>
      <c r="S281" t="str">
        <v>Electronics</v>
      </c>
      <c r="T281">
        <v>1559.47</v>
      </c>
      <c r="U281" t="str">
        <v>Wesley Olson</v>
      </c>
      <c r="V281">
        <v>27166</v>
      </c>
      <c r="W281">
        <v>44787</v>
      </c>
      <c r="X281">
        <v>21.2</v>
      </c>
      <c r="Y281">
        <v>330.60764</v>
      </c>
      <c r="Z281">
        <v>1228.8623600000001</v>
      </c>
      <c r="AC281" t="str">
        <v>Smartphone</v>
      </c>
      <c r="AD281">
        <v>1790.4839680000002</v>
      </c>
      <c r="AF281">
        <v>1379</v>
      </c>
      <c r="AG281" t="str">
        <v>Shoes</v>
      </c>
      <c r="AH281">
        <v>3164.2915780000003</v>
      </c>
    </row>
    <row r="282" spans="1:34" x14ac:dyDescent="0.3">
      <c r="A282" s="1">
        <v>1280</v>
      </c>
      <c r="B282" s="2">
        <v>44353</v>
      </c>
      <c r="C282" s="1" t="s">
        <v>21</v>
      </c>
      <c r="D282" s="1" t="s">
        <v>53</v>
      </c>
      <c r="E282" s="1" t="s">
        <v>28</v>
      </c>
      <c r="F282" s="1">
        <v>926.55</v>
      </c>
      <c r="G282" s="1" t="s">
        <v>192</v>
      </c>
      <c r="H282" s="2">
        <v>33626</v>
      </c>
      <c r="I282" s="2">
        <v>44359</v>
      </c>
      <c r="J282" s="1">
        <v>6.59</v>
      </c>
      <c r="K282" s="4">
        <f t="shared" si="8"/>
        <v>61.059644999999996</v>
      </c>
      <c r="L282" s="4">
        <f t="shared" si="9"/>
        <v>865.49035499999991</v>
      </c>
      <c r="O282">
        <v>1387</v>
      </c>
      <c r="P282">
        <v>45862</v>
      </c>
      <c r="Q282" t="str">
        <v>Central</v>
      </c>
      <c r="R282" t="str">
        <v>Headphones</v>
      </c>
      <c r="S282" t="str">
        <v>Electronics</v>
      </c>
      <c r="T282">
        <v>3501.39</v>
      </c>
      <c r="U282" t="str">
        <v>Samuel Humphrey</v>
      </c>
      <c r="V282">
        <v>30887</v>
      </c>
      <c r="W282">
        <v>45867</v>
      </c>
      <c r="X282">
        <v>45.42</v>
      </c>
      <c r="Y282">
        <v>1590.331338</v>
      </c>
      <c r="Z282">
        <v>1911.0586619999999</v>
      </c>
      <c r="AC282" t="str">
        <v>Laptop</v>
      </c>
      <c r="AD282">
        <v>1228.8623600000001</v>
      </c>
      <c r="AF282">
        <v>1380</v>
      </c>
      <c r="AG282" t="str">
        <v>Smartphone</v>
      </c>
      <c r="AH282">
        <v>1790.4839680000002</v>
      </c>
    </row>
    <row r="283" spans="1:34" x14ac:dyDescent="0.3">
      <c r="A283" s="1">
        <v>1281</v>
      </c>
      <c r="B283" s="2">
        <v>44602</v>
      </c>
      <c r="C283" s="1" t="s">
        <v>35</v>
      </c>
      <c r="D283" s="1" t="s">
        <v>18</v>
      </c>
      <c r="E283" s="1" t="s">
        <v>19</v>
      </c>
      <c r="F283" s="1">
        <v>1739.97</v>
      </c>
      <c r="G283" s="1" t="s">
        <v>132</v>
      </c>
      <c r="H283" s="2">
        <v>34364</v>
      </c>
      <c r="I283" s="2">
        <v>44608</v>
      </c>
      <c r="J283" s="1">
        <v>37.43</v>
      </c>
      <c r="K283" s="4">
        <f t="shared" si="8"/>
        <v>651.27077100000008</v>
      </c>
      <c r="L283" s="4">
        <f t="shared" si="9"/>
        <v>1088.6992289999998</v>
      </c>
      <c r="O283">
        <v>1388</v>
      </c>
      <c r="P283">
        <v>45395</v>
      </c>
      <c r="Q283" t="str">
        <v>South</v>
      </c>
      <c r="R283" t="str">
        <v>Bed</v>
      </c>
      <c r="S283" t="str">
        <v>Furniture</v>
      </c>
      <c r="T283">
        <v>3118.17</v>
      </c>
      <c r="U283" t="str">
        <v>Edward Gonzalez</v>
      </c>
      <c r="V283">
        <v>38750</v>
      </c>
      <c r="W283">
        <v>45404</v>
      </c>
      <c r="X283">
        <v>8.19</v>
      </c>
      <c r="Y283">
        <v>255.37812300000002</v>
      </c>
      <c r="Z283">
        <v>2862.7918770000001</v>
      </c>
      <c r="AC283" t="str">
        <v>Headphones</v>
      </c>
      <c r="AD283">
        <v>1911.0586619999999</v>
      </c>
      <c r="AF283">
        <v>1386</v>
      </c>
      <c r="AG283" t="str">
        <v>Laptop</v>
      </c>
      <c r="AH283">
        <v>1228.8623600000001</v>
      </c>
    </row>
    <row r="284" spans="1:34" x14ac:dyDescent="0.3">
      <c r="A284" s="1">
        <v>1282</v>
      </c>
      <c r="B284" s="2">
        <v>45045</v>
      </c>
      <c r="C284" s="1" t="s">
        <v>35</v>
      </c>
      <c r="D284" s="1" t="s">
        <v>65</v>
      </c>
      <c r="E284" s="1" t="s">
        <v>19</v>
      </c>
      <c r="F284" s="1">
        <v>1567.53</v>
      </c>
      <c r="G284" s="1" t="s">
        <v>148</v>
      </c>
      <c r="H284" s="2">
        <v>22007</v>
      </c>
      <c r="I284" s="2">
        <v>45049</v>
      </c>
      <c r="J284" s="1">
        <v>49</v>
      </c>
      <c r="K284" s="4">
        <f t="shared" si="8"/>
        <v>768.08969999999999</v>
      </c>
      <c r="L284" s="4">
        <f t="shared" si="9"/>
        <v>799.44029999999998</v>
      </c>
      <c r="O284">
        <v>1389</v>
      </c>
      <c r="P284">
        <v>45137</v>
      </c>
      <c r="Q284" t="str">
        <v>West</v>
      </c>
      <c r="R284" t="str">
        <v>Table</v>
      </c>
      <c r="S284" t="str">
        <v>Furniture</v>
      </c>
      <c r="T284">
        <v>2753.34</v>
      </c>
      <c r="U284" t="str">
        <v>Kim Brown</v>
      </c>
      <c r="V284">
        <v>24368</v>
      </c>
      <c r="W284">
        <v>45151</v>
      </c>
      <c r="X284">
        <v>11.08</v>
      </c>
      <c r="Y284">
        <v>305.07007199999998</v>
      </c>
      <c r="Z284">
        <v>2448.2699280000002</v>
      </c>
      <c r="AC284" t="str">
        <v>Bed</v>
      </c>
      <c r="AD284">
        <v>2862.7918770000001</v>
      </c>
      <c r="AF284">
        <v>1387</v>
      </c>
      <c r="AG284" t="str">
        <v>Headphones</v>
      </c>
      <c r="AH284">
        <v>1911.0586619999999</v>
      </c>
    </row>
    <row r="285" spans="1:34" x14ac:dyDescent="0.3">
      <c r="A285" s="1">
        <v>1283</v>
      </c>
      <c r="B285" s="2">
        <v>45017</v>
      </c>
      <c r="C285" s="1" t="s">
        <v>26</v>
      </c>
      <c r="D285" s="1" t="s">
        <v>33</v>
      </c>
      <c r="E285" s="1" t="s">
        <v>16</v>
      </c>
      <c r="F285" s="1">
        <v>1815.01</v>
      </c>
      <c r="G285" s="1" t="s">
        <v>142</v>
      </c>
      <c r="H285" s="2">
        <v>29541</v>
      </c>
      <c r="I285" s="2">
        <v>45031</v>
      </c>
      <c r="J285" s="1">
        <v>30.87</v>
      </c>
      <c r="K285" s="4">
        <f t="shared" si="8"/>
        <v>560.293587</v>
      </c>
      <c r="L285" s="4">
        <f t="shared" si="9"/>
        <v>1254.7164130000001</v>
      </c>
      <c r="O285">
        <v>1390</v>
      </c>
      <c r="P285">
        <v>44750</v>
      </c>
      <c r="Q285" t="str">
        <v>North</v>
      </c>
      <c r="R285" t="str">
        <v>Wheat</v>
      </c>
      <c r="S285" t="str">
        <v>Groceries</v>
      </c>
      <c r="T285">
        <v>3871.08</v>
      </c>
      <c r="U285" t="str">
        <v>Beth Landry</v>
      </c>
      <c r="V285">
        <v>34954</v>
      </c>
      <c r="W285">
        <v>44755</v>
      </c>
      <c r="X285">
        <v>24.54</v>
      </c>
      <c r="Y285">
        <v>949.96303199999988</v>
      </c>
      <c r="Z285">
        <v>2921.1169680000003</v>
      </c>
      <c r="AC285" t="str">
        <v>Table</v>
      </c>
      <c r="AD285">
        <v>2448.2699280000002</v>
      </c>
      <c r="AF285">
        <v>1388</v>
      </c>
      <c r="AG285" t="str">
        <v>Bed</v>
      </c>
      <c r="AH285">
        <v>2862.7918770000001</v>
      </c>
    </row>
    <row r="286" spans="1:34" x14ac:dyDescent="0.3">
      <c r="A286" s="1">
        <v>1284</v>
      </c>
      <c r="B286" s="2">
        <v>45082</v>
      </c>
      <c r="C286" s="1" t="s">
        <v>10</v>
      </c>
      <c r="D286" s="1" t="s">
        <v>102</v>
      </c>
      <c r="E286" s="1" t="s">
        <v>12</v>
      </c>
      <c r="F286" s="1">
        <v>3756.55</v>
      </c>
      <c r="G286" s="1" t="s">
        <v>120</v>
      </c>
      <c r="H286" s="2">
        <v>30820</v>
      </c>
      <c r="I286" s="2">
        <v>45088</v>
      </c>
      <c r="J286" s="1">
        <v>23.22</v>
      </c>
      <c r="K286" s="4">
        <f t="shared" si="8"/>
        <v>872.27090999999996</v>
      </c>
      <c r="L286" s="4">
        <f t="shared" si="9"/>
        <v>2884.27909</v>
      </c>
      <c r="O286">
        <v>1391</v>
      </c>
      <c r="P286">
        <v>45826</v>
      </c>
      <c r="Q286" t="str">
        <v>South</v>
      </c>
      <c r="R286" t="str">
        <v>Camera</v>
      </c>
      <c r="S286" t="str">
        <v>Electronics</v>
      </c>
      <c r="T286">
        <v>2487.0300000000002</v>
      </c>
      <c r="U286" t="str">
        <v>Sherry Henry</v>
      </c>
      <c r="V286">
        <v>38696</v>
      </c>
      <c r="W286">
        <v>45830</v>
      </c>
      <c r="X286">
        <v>16.79</v>
      </c>
      <c r="Y286">
        <v>417.572337</v>
      </c>
      <c r="Z286">
        <v>2069.4576630000001</v>
      </c>
      <c r="AC286" t="str">
        <v>Wheat</v>
      </c>
      <c r="AD286">
        <v>2921.1169680000003</v>
      </c>
      <c r="AF286">
        <v>1389</v>
      </c>
      <c r="AG286" t="str">
        <v>Table</v>
      </c>
      <c r="AH286">
        <v>2448.2699280000002</v>
      </c>
    </row>
    <row r="287" spans="1:34" x14ac:dyDescent="0.3">
      <c r="A287" s="1">
        <v>1285</v>
      </c>
      <c r="B287" s="2">
        <v>45807</v>
      </c>
      <c r="C287" s="1" t="s">
        <v>26</v>
      </c>
      <c r="D287" s="1" t="s">
        <v>22</v>
      </c>
      <c r="E287" s="1" t="s">
        <v>19</v>
      </c>
      <c r="F287" s="1">
        <v>1008.01</v>
      </c>
      <c r="G287" s="1" t="s">
        <v>230</v>
      </c>
      <c r="H287" s="2">
        <v>35642</v>
      </c>
      <c r="I287" s="2">
        <v>45812</v>
      </c>
      <c r="J287" s="1">
        <v>47.76</v>
      </c>
      <c r="K287" s="4">
        <f t="shared" si="8"/>
        <v>481.42557599999998</v>
      </c>
      <c r="L287" s="4">
        <f t="shared" si="9"/>
        <v>526.58442400000001</v>
      </c>
      <c r="O287">
        <v>1393</v>
      </c>
      <c r="P287">
        <v>45564</v>
      </c>
      <c r="Q287" t="str">
        <v>North</v>
      </c>
      <c r="R287" t="str">
        <v>Jeans</v>
      </c>
      <c r="S287" t="str">
        <v>Clothing</v>
      </c>
      <c r="T287">
        <v>4793.3599999999997</v>
      </c>
      <c r="U287" t="str">
        <v>Adrian Howe</v>
      </c>
      <c r="V287">
        <v>37236</v>
      </c>
      <c r="W287">
        <v>45573</v>
      </c>
      <c r="X287">
        <v>12.75</v>
      </c>
      <c r="Y287">
        <v>611.15339999999992</v>
      </c>
      <c r="Z287">
        <v>4182.2065999999995</v>
      </c>
      <c r="AC287" t="str">
        <v>Camera</v>
      </c>
      <c r="AD287">
        <v>2069.4576630000001</v>
      </c>
      <c r="AF287">
        <v>1390</v>
      </c>
      <c r="AG287" t="str">
        <v>Wheat</v>
      </c>
      <c r="AH287">
        <v>2921.1169680000003</v>
      </c>
    </row>
    <row r="288" spans="1:34" x14ac:dyDescent="0.3">
      <c r="A288" s="1">
        <v>1286</v>
      </c>
      <c r="B288" s="2">
        <v>45456</v>
      </c>
      <c r="C288" s="1" t="s">
        <v>35</v>
      </c>
      <c r="D288" s="1" t="s">
        <v>69</v>
      </c>
      <c r="E288" s="1" t="s">
        <v>31</v>
      </c>
      <c r="F288" s="1">
        <v>2518.66</v>
      </c>
      <c r="G288" s="1" t="s">
        <v>231</v>
      </c>
      <c r="H288" s="2">
        <v>32047</v>
      </c>
      <c r="I288" s="2">
        <v>45468</v>
      </c>
      <c r="J288" s="1">
        <v>37.5</v>
      </c>
      <c r="K288" s="4">
        <f t="shared" si="8"/>
        <v>944.49749999999995</v>
      </c>
      <c r="L288" s="4">
        <f t="shared" si="9"/>
        <v>1574.1624999999999</v>
      </c>
      <c r="O288">
        <v>1395</v>
      </c>
      <c r="P288">
        <v>45651</v>
      </c>
      <c r="Q288" t="str">
        <v>East</v>
      </c>
      <c r="R288" t="str">
        <v>Shoes</v>
      </c>
      <c r="S288" t="str">
        <v>Clothing</v>
      </c>
      <c r="T288">
        <v>2324.31</v>
      </c>
      <c r="U288" t="str">
        <v>Marcia Anderson</v>
      </c>
      <c r="V288">
        <v>34537</v>
      </c>
      <c r="W288">
        <v>45660</v>
      </c>
      <c r="X288">
        <v>49.72</v>
      </c>
      <c r="Y288">
        <v>1155.6469319999999</v>
      </c>
      <c r="Z288">
        <v>1168.6630680000001</v>
      </c>
      <c r="AC288" t="str">
        <v>Jeans</v>
      </c>
      <c r="AD288">
        <v>4182.2065999999995</v>
      </c>
      <c r="AF288">
        <v>1391</v>
      </c>
      <c r="AG288" t="str">
        <v>Camera</v>
      </c>
      <c r="AH288">
        <v>2069.4576630000001</v>
      </c>
    </row>
    <row r="289" spans="1:34" x14ac:dyDescent="0.3">
      <c r="A289" s="1">
        <v>1287</v>
      </c>
      <c r="B289" s="2">
        <v>44150</v>
      </c>
      <c r="C289" s="1" t="s">
        <v>35</v>
      </c>
      <c r="D289" s="1" t="s">
        <v>15</v>
      </c>
      <c r="E289" s="1" t="s">
        <v>16</v>
      </c>
      <c r="F289" s="1">
        <v>791.54</v>
      </c>
      <c r="G289" s="1" t="s">
        <v>232</v>
      </c>
      <c r="H289" s="2">
        <v>37913</v>
      </c>
      <c r="I289" s="2">
        <v>44160</v>
      </c>
      <c r="J289" s="1">
        <v>1.71</v>
      </c>
      <c r="K289" s="4">
        <f t="shared" si="8"/>
        <v>13.535334000000001</v>
      </c>
      <c r="L289" s="4">
        <f t="shared" si="9"/>
        <v>778.00466599999993</v>
      </c>
      <c r="O289">
        <v>1397</v>
      </c>
      <c r="P289">
        <v>45467</v>
      </c>
      <c r="Q289" t="str">
        <v>South</v>
      </c>
      <c r="R289" t="str">
        <v>Oil</v>
      </c>
      <c r="S289" t="str">
        <v>Groceries</v>
      </c>
      <c r="T289">
        <v>2922.55</v>
      </c>
      <c r="U289" t="str">
        <v>Anthony Kim</v>
      </c>
      <c r="V289">
        <v>34205</v>
      </c>
      <c r="W289">
        <v>45481</v>
      </c>
      <c r="X289">
        <v>25.17</v>
      </c>
      <c r="Y289">
        <v>735.60583500000018</v>
      </c>
      <c r="Z289">
        <v>2186.9441649999999</v>
      </c>
      <c r="AC289" t="str">
        <v>Shoes</v>
      </c>
      <c r="AD289">
        <v>1168.6630680000001</v>
      </c>
      <c r="AF289">
        <v>1393</v>
      </c>
      <c r="AG289" t="str">
        <v>Jeans</v>
      </c>
      <c r="AH289">
        <v>4182.2065999999995</v>
      </c>
    </row>
    <row r="290" spans="1:34" x14ac:dyDescent="0.3">
      <c r="A290" s="1">
        <v>1288</v>
      </c>
      <c r="B290" s="2">
        <v>44486</v>
      </c>
      <c r="C290" s="1" t="s">
        <v>10</v>
      </c>
      <c r="D290" s="1" t="s">
        <v>27</v>
      </c>
      <c r="E290" s="1" t="s">
        <v>28</v>
      </c>
      <c r="F290" s="1">
        <v>2583.3000000000002</v>
      </c>
      <c r="G290" s="1" t="s">
        <v>213</v>
      </c>
      <c r="H290" s="2">
        <v>34345</v>
      </c>
      <c r="I290" s="2">
        <v>44493</v>
      </c>
      <c r="J290" s="1">
        <v>25.43</v>
      </c>
      <c r="K290" s="4">
        <f t="shared" si="8"/>
        <v>656.93318999999997</v>
      </c>
      <c r="L290" s="4">
        <f t="shared" si="9"/>
        <v>1926.3668100000002</v>
      </c>
      <c r="O290">
        <v>1398</v>
      </c>
      <c r="P290">
        <v>44212</v>
      </c>
      <c r="Q290" t="str">
        <v>Central</v>
      </c>
      <c r="R290" t="str">
        <v>Eggs</v>
      </c>
      <c r="S290" t="str">
        <v>Groceries</v>
      </c>
      <c r="T290">
        <v>3671.09</v>
      </c>
      <c r="U290" t="str">
        <v>Frank Davis</v>
      </c>
      <c r="V290">
        <v>38171</v>
      </c>
      <c r="W290">
        <v>44225</v>
      </c>
      <c r="X290">
        <v>45.75</v>
      </c>
      <c r="Y290">
        <v>1679.5236750000001</v>
      </c>
      <c r="Z290">
        <v>1991.566325</v>
      </c>
      <c r="AC290" t="str">
        <v>Oil</v>
      </c>
      <c r="AD290">
        <v>2186.9441649999999</v>
      </c>
      <c r="AF290">
        <v>1395</v>
      </c>
      <c r="AG290" t="str">
        <v>Shoes</v>
      </c>
      <c r="AH290">
        <v>1168.6630680000001</v>
      </c>
    </row>
    <row r="291" spans="1:34" x14ac:dyDescent="0.3">
      <c r="A291" s="1">
        <v>1289</v>
      </c>
      <c r="B291" s="2">
        <v>44768</v>
      </c>
      <c r="C291" s="1" t="s">
        <v>21</v>
      </c>
      <c r="D291" s="1" t="s">
        <v>53</v>
      </c>
      <c r="E291" s="1" t="s">
        <v>28</v>
      </c>
      <c r="F291" s="1">
        <v>746.65</v>
      </c>
      <c r="G291" s="1" t="s">
        <v>129</v>
      </c>
      <c r="H291" s="2">
        <v>25933</v>
      </c>
      <c r="I291" s="2">
        <v>44773</v>
      </c>
      <c r="J291" s="1">
        <v>22.2</v>
      </c>
      <c r="K291" s="4">
        <f t="shared" si="8"/>
        <v>165.75630000000001</v>
      </c>
      <c r="L291" s="4">
        <f t="shared" si="9"/>
        <v>580.89369999999997</v>
      </c>
      <c r="O291">
        <v>1399</v>
      </c>
      <c r="P291">
        <v>44519</v>
      </c>
      <c r="Q291" t="str">
        <v>South</v>
      </c>
      <c r="R291" t="str">
        <v>Table</v>
      </c>
      <c r="S291" t="str">
        <v>Furniture</v>
      </c>
      <c r="T291">
        <v>2050.44</v>
      </c>
      <c r="U291" t="str">
        <v>Deanna Stephenson</v>
      </c>
      <c r="V291">
        <v>31685</v>
      </c>
      <c r="W291">
        <v>44524</v>
      </c>
      <c r="X291">
        <v>25.46</v>
      </c>
      <c r="Y291">
        <v>522.04202399999997</v>
      </c>
      <c r="Z291">
        <v>1528.3979760000002</v>
      </c>
      <c r="AC291" t="str">
        <v>Eggs</v>
      </c>
      <c r="AD291">
        <v>1991.566325</v>
      </c>
      <c r="AF291">
        <v>1397</v>
      </c>
      <c r="AG291" t="str">
        <v>Oil</v>
      </c>
      <c r="AH291">
        <v>2186.9441649999999</v>
      </c>
    </row>
    <row r="292" spans="1:34" x14ac:dyDescent="0.3">
      <c r="A292" s="1">
        <v>1290</v>
      </c>
      <c r="B292" s="2">
        <v>44419</v>
      </c>
      <c r="C292" s="1" t="s">
        <v>35</v>
      </c>
      <c r="D292" s="1" t="s">
        <v>58</v>
      </c>
      <c r="E292" s="1" t="s">
        <v>31</v>
      </c>
      <c r="F292" s="1">
        <v>3547.69</v>
      </c>
      <c r="G292" s="1" t="s">
        <v>90</v>
      </c>
      <c r="H292" s="2">
        <v>29348</v>
      </c>
      <c r="I292" s="2">
        <v>44423</v>
      </c>
      <c r="J292" s="1">
        <v>29.29</v>
      </c>
      <c r="K292" s="4">
        <f t="shared" si="8"/>
        <v>1039.1184009999999</v>
      </c>
      <c r="L292" s="4">
        <f t="shared" si="9"/>
        <v>2508.5715989999999</v>
      </c>
      <c r="O292">
        <v>1400</v>
      </c>
      <c r="P292">
        <v>44865</v>
      </c>
      <c r="Q292" t="str">
        <v>West</v>
      </c>
      <c r="R292" t="str">
        <v>Eggs</v>
      </c>
      <c r="S292" t="str">
        <v>Groceries</v>
      </c>
      <c r="T292">
        <v>3393.17</v>
      </c>
      <c r="U292" t="str">
        <v>Scott Tucker</v>
      </c>
      <c r="V292">
        <v>37946</v>
      </c>
      <c r="W292">
        <v>44873</v>
      </c>
      <c r="X292">
        <v>49.78</v>
      </c>
      <c r="Y292">
        <v>1689.1200260000001</v>
      </c>
      <c r="Z292">
        <v>1704.049974</v>
      </c>
      <c r="AC292" t="str">
        <v>Table</v>
      </c>
      <c r="AD292">
        <v>1528.3979760000002</v>
      </c>
      <c r="AF292">
        <v>1398</v>
      </c>
      <c r="AG292" t="str">
        <v>Eggs</v>
      </c>
      <c r="AH292">
        <v>1991.566325</v>
      </c>
    </row>
    <row r="293" spans="1:34" x14ac:dyDescent="0.3">
      <c r="A293" s="1">
        <v>1291</v>
      </c>
      <c r="B293" s="2">
        <v>44229</v>
      </c>
      <c r="C293" s="1" t="s">
        <v>14</v>
      </c>
      <c r="D293" s="1" t="s">
        <v>47</v>
      </c>
      <c r="E293" s="1" t="s">
        <v>12</v>
      </c>
      <c r="F293" s="1">
        <v>3240.37</v>
      </c>
      <c r="G293" s="1" t="s">
        <v>233</v>
      </c>
      <c r="H293" s="2">
        <v>38826</v>
      </c>
      <c r="I293" s="2">
        <v>44235</v>
      </c>
      <c r="J293" s="1">
        <v>27.44</v>
      </c>
      <c r="K293" s="4">
        <f t="shared" si="8"/>
        <v>889.15752800000007</v>
      </c>
      <c r="L293" s="4">
        <f t="shared" si="9"/>
        <v>2351.2124719999997</v>
      </c>
      <c r="O293">
        <v>1401</v>
      </c>
      <c r="P293">
        <v>44345</v>
      </c>
      <c r="Q293" t="str">
        <v>West</v>
      </c>
      <c r="R293" t="str">
        <v>Sofa</v>
      </c>
      <c r="S293" t="str">
        <v>Furniture</v>
      </c>
      <c r="T293">
        <v>3686.7</v>
      </c>
      <c r="U293" t="str">
        <v>Jennifer Martinez</v>
      </c>
      <c r="V293">
        <v>24579</v>
      </c>
      <c r="W293">
        <v>44355</v>
      </c>
      <c r="X293">
        <v>4.78</v>
      </c>
      <c r="Y293">
        <v>176.22425999999999</v>
      </c>
      <c r="Z293">
        <v>3510.4757399999999</v>
      </c>
      <c r="AC293" t="str">
        <v>Eggs</v>
      </c>
      <c r="AD293">
        <v>1704.049974</v>
      </c>
      <c r="AF293">
        <v>1399</v>
      </c>
      <c r="AG293" t="str">
        <v>Table</v>
      </c>
      <c r="AH293">
        <v>1528.3979760000002</v>
      </c>
    </row>
    <row r="294" spans="1:34" x14ac:dyDescent="0.3">
      <c r="A294" s="1">
        <v>1292</v>
      </c>
      <c r="B294" s="2">
        <v>45799</v>
      </c>
      <c r="C294" s="1" t="s">
        <v>10</v>
      </c>
      <c r="D294" s="1" t="s">
        <v>69</v>
      </c>
      <c r="E294" s="1" t="s">
        <v>12</v>
      </c>
      <c r="F294" s="1">
        <v>1365.32</v>
      </c>
      <c r="G294" s="1" t="s">
        <v>217</v>
      </c>
      <c r="H294" s="2">
        <v>36951</v>
      </c>
      <c r="I294" s="2">
        <v>45803</v>
      </c>
      <c r="J294" s="1">
        <v>19.55</v>
      </c>
      <c r="K294" s="4">
        <f t="shared" si="8"/>
        <v>266.92005999999998</v>
      </c>
      <c r="L294" s="4">
        <f t="shared" si="9"/>
        <v>1098.39994</v>
      </c>
      <c r="O294">
        <v>1402</v>
      </c>
      <c r="P294">
        <v>45145</v>
      </c>
      <c r="Q294" t="str">
        <v>West</v>
      </c>
      <c r="R294" t="str">
        <v>Cricket Bat</v>
      </c>
      <c r="S294" t="str">
        <v>Sports</v>
      </c>
      <c r="T294">
        <v>1537.76</v>
      </c>
      <c r="U294" t="str">
        <v>Harold Williams</v>
      </c>
      <c r="V294">
        <v>37894</v>
      </c>
      <c r="W294">
        <v>45147</v>
      </c>
      <c r="X294">
        <v>32.08</v>
      </c>
      <c r="Y294">
        <v>493.31340799999998</v>
      </c>
      <c r="Z294">
        <v>1044.446592</v>
      </c>
      <c r="AC294" t="str">
        <v>Sofa</v>
      </c>
      <c r="AD294">
        <v>3510.4757399999999</v>
      </c>
      <c r="AF294">
        <v>1400</v>
      </c>
      <c r="AG294" t="str">
        <v>Eggs</v>
      </c>
      <c r="AH294">
        <v>1704.049974</v>
      </c>
    </row>
    <row r="295" spans="1:34" x14ac:dyDescent="0.3">
      <c r="A295" s="1">
        <v>1293</v>
      </c>
      <c r="B295" s="2">
        <v>45221</v>
      </c>
      <c r="C295" s="1" t="s">
        <v>14</v>
      </c>
      <c r="D295" s="1" t="s">
        <v>49</v>
      </c>
      <c r="E295" s="1" t="s">
        <v>12</v>
      </c>
      <c r="F295" s="1">
        <v>1475.57</v>
      </c>
      <c r="G295" s="1" t="s">
        <v>178</v>
      </c>
      <c r="H295" s="2">
        <v>23890</v>
      </c>
      <c r="I295" s="2">
        <v>45229</v>
      </c>
      <c r="J295" s="1">
        <v>32.5</v>
      </c>
      <c r="K295" s="4">
        <f t="shared" si="8"/>
        <v>479.56025</v>
      </c>
      <c r="L295" s="4">
        <f t="shared" si="9"/>
        <v>996.00974999999994</v>
      </c>
      <c r="O295">
        <v>1403</v>
      </c>
      <c r="P295">
        <v>44270</v>
      </c>
      <c r="Q295" t="str">
        <v>East</v>
      </c>
      <c r="R295" t="str">
        <v>Wardrobe</v>
      </c>
      <c r="S295" t="str">
        <v>Furniture</v>
      </c>
      <c r="T295">
        <v>2977.52</v>
      </c>
      <c r="U295" t="str">
        <v>Justin Martinez</v>
      </c>
      <c r="V295">
        <v>28555</v>
      </c>
      <c r="W295">
        <v>44284</v>
      </c>
      <c r="X295">
        <v>44.42</v>
      </c>
      <c r="Y295">
        <v>1322.6143840000002</v>
      </c>
      <c r="Z295">
        <v>1654.9056159999998</v>
      </c>
      <c r="AC295" t="str">
        <v>Cricket Bat</v>
      </c>
      <c r="AD295">
        <v>1044.446592</v>
      </c>
      <c r="AF295">
        <v>1401</v>
      </c>
      <c r="AG295" t="str">
        <v>Sofa</v>
      </c>
      <c r="AH295">
        <v>3510.4757399999999</v>
      </c>
    </row>
    <row r="296" spans="1:34" x14ac:dyDescent="0.3">
      <c r="A296" s="1">
        <v>1294</v>
      </c>
      <c r="B296" s="2">
        <v>45335</v>
      </c>
      <c r="C296" s="1" t="s">
        <v>14</v>
      </c>
      <c r="D296" s="1" t="s">
        <v>30</v>
      </c>
      <c r="E296" s="1" t="s">
        <v>31</v>
      </c>
      <c r="F296" s="1">
        <v>714.22</v>
      </c>
      <c r="G296" s="1" t="s">
        <v>234</v>
      </c>
      <c r="H296" s="2">
        <v>24368</v>
      </c>
      <c r="I296" s="2">
        <v>45340</v>
      </c>
      <c r="J296" s="1">
        <v>40.56</v>
      </c>
      <c r="K296" s="4">
        <f t="shared" si="8"/>
        <v>289.68763200000001</v>
      </c>
      <c r="L296" s="4">
        <f t="shared" si="9"/>
        <v>424.53236800000002</v>
      </c>
      <c r="O296">
        <v>1404</v>
      </c>
      <c r="P296">
        <v>44971</v>
      </c>
      <c r="Q296" t="str">
        <v>West</v>
      </c>
      <c r="R296" t="str">
        <v>Basketball</v>
      </c>
      <c r="S296" t="str">
        <v>Sports</v>
      </c>
      <c r="T296">
        <v>4251.04</v>
      </c>
      <c r="U296" t="str">
        <v>Sierra Elliott</v>
      </c>
      <c r="V296">
        <v>29720</v>
      </c>
      <c r="W296">
        <v>44977</v>
      </c>
      <c r="X296">
        <v>32.68</v>
      </c>
      <c r="Y296">
        <v>1389.2398719999999</v>
      </c>
      <c r="Z296">
        <v>2861.8001279999999</v>
      </c>
      <c r="AC296" t="str">
        <v>Wardrobe</v>
      </c>
      <c r="AD296">
        <v>1654.9056159999998</v>
      </c>
      <c r="AF296">
        <v>1402</v>
      </c>
      <c r="AG296" t="str">
        <v>Cricket Bat</v>
      </c>
      <c r="AH296">
        <v>1044.446592</v>
      </c>
    </row>
    <row r="297" spans="1:34" x14ac:dyDescent="0.3">
      <c r="A297" s="1">
        <v>1295</v>
      </c>
      <c r="B297" s="2">
        <v>45791</v>
      </c>
      <c r="C297" s="1" t="s">
        <v>35</v>
      </c>
      <c r="D297" s="1" t="s">
        <v>11</v>
      </c>
      <c r="E297" s="1" t="s">
        <v>12</v>
      </c>
      <c r="F297" s="1">
        <v>2154.89</v>
      </c>
      <c r="G297" s="1" t="s">
        <v>50</v>
      </c>
      <c r="H297" s="2">
        <v>22594</v>
      </c>
      <c r="I297" s="2">
        <v>45792</v>
      </c>
      <c r="J297" s="1">
        <v>25</v>
      </c>
      <c r="K297" s="4">
        <f t="shared" si="8"/>
        <v>538.72249999999997</v>
      </c>
      <c r="L297" s="4">
        <f t="shared" si="9"/>
        <v>1616.1675</v>
      </c>
      <c r="O297">
        <v>1405</v>
      </c>
      <c r="P297">
        <v>45710</v>
      </c>
      <c r="Q297" t="str">
        <v>South</v>
      </c>
      <c r="R297" t="str">
        <v>Jacket</v>
      </c>
      <c r="S297" t="str">
        <v>Clothing</v>
      </c>
      <c r="T297">
        <v>2107.34</v>
      </c>
      <c r="U297" t="str">
        <v>Matthew Moore</v>
      </c>
      <c r="V297">
        <v>29366</v>
      </c>
      <c r="W297">
        <v>45720</v>
      </c>
      <c r="X297">
        <v>49.22</v>
      </c>
      <c r="Y297">
        <v>1037.2327479999999</v>
      </c>
      <c r="Z297">
        <v>1070.1072520000002</v>
      </c>
      <c r="AC297" t="str">
        <v>Basketball</v>
      </c>
      <c r="AD297">
        <v>2861.8001279999999</v>
      </c>
      <c r="AF297">
        <v>1403</v>
      </c>
      <c r="AG297" t="str">
        <v>Wardrobe</v>
      </c>
      <c r="AH297">
        <v>1654.9056159999998</v>
      </c>
    </row>
    <row r="298" spans="1:34" x14ac:dyDescent="0.3">
      <c r="A298" s="1">
        <v>1296</v>
      </c>
      <c r="B298" s="2">
        <v>45625</v>
      </c>
      <c r="C298" s="1" t="s">
        <v>21</v>
      </c>
      <c r="D298" s="1" t="s">
        <v>44</v>
      </c>
      <c r="E298" s="1" t="s">
        <v>16</v>
      </c>
      <c r="F298" s="1">
        <v>4002.12</v>
      </c>
      <c r="G298" s="1" t="s">
        <v>178</v>
      </c>
      <c r="H298" s="2">
        <v>23890</v>
      </c>
      <c r="I298" s="2">
        <v>45633</v>
      </c>
      <c r="J298" s="1">
        <v>46.69</v>
      </c>
      <c r="K298" s="4">
        <f t="shared" si="8"/>
        <v>1868.5898279999999</v>
      </c>
      <c r="L298" s="4">
        <f t="shared" si="9"/>
        <v>2133.5301719999998</v>
      </c>
      <c r="O298">
        <v>1407</v>
      </c>
      <c r="P298">
        <v>45775</v>
      </c>
      <c r="Q298" t="str">
        <v>West</v>
      </c>
      <c r="R298" t="str">
        <v>Wheat</v>
      </c>
      <c r="S298" t="str">
        <v>Groceries</v>
      </c>
      <c r="T298">
        <v>4875.7700000000004</v>
      </c>
      <c r="U298" t="str">
        <v>Melissa Douglas</v>
      </c>
      <c r="V298">
        <v>33386</v>
      </c>
      <c r="W298">
        <v>45786</v>
      </c>
      <c r="X298">
        <v>7.58</v>
      </c>
      <c r="Y298">
        <v>369.58336600000007</v>
      </c>
      <c r="Z298">
        <v>4506.1866340000006</v>
      </c>
      <c r="AC298" t="str">
        <v>Jacket</v>
      </c>
      <c r="AD298">
        <v>1070.1072520000002</v>
      </c>
      <c r="AF298">
        <v>1404</v>
      </c>
      <c r="AG298" t="str">
        <v>Basketball</v>
      </c>
      <c r="AH298">
        <v>2861.8001279999999</v>
      </c>
    </row>
    <row r="299" spans="1:34" x14ac:dyDescent="0.3">
      <c r="A299" s="1">
        <v>1297</v>
      </c>
      <c r="B299" s="2">
        <v>44703</v>
      </c>
      <c r="C299" s="1" t="s">
        <v>26</v>
      </c>
      <c r="D299" s="1" t="s">
        <v>22</v>
      </c>
      <c r="E299" s="1" t="s">
        <v>19</v>
      </c>
      <c r="F299" s="1">
        <v>3838.33</v>
      </c>
      <c r="G299" s="1" t="s">
        <v>210</v>
      </c>
      <c r="H299" s="2">
        <v>27550</v>
      </c>
      <c r="I299" s="2">
        <v>44713</v>
      </c>
      <c r="J299" s="1">
        <v>24.79</v>
      </c>
      <c r="K299" s="4">
        <f t="shared" si="8"/>
        <v>951.52200699999992</v>
      </c>
      <c r="L299" s="4">
        <f t="shared" si="9"/>
        <v>2886.8079929999999</v>
      </c>
      <c r="O299">
        <v>1409</v>
      </c>
      <c r="P299">
        <v>45235</v>
      </c>
      <c r="Q299" t="str">
        <v>South</v>
      </c>
      <c r="R299" t="str">
        <v>Laptop</v>
      </c>
      <c r="S299" t="str">
        <v>Electronics</v>
      </c>
      <c r="T299">
        <v>2000.28</v>
      </c>
      <c r="U299" t="str">
        <v>Marissa Johnson</v>
      </c>
      <c r="V299">
        <v>38628</v>
      </c>
      <c r="W299">
        <v>45237</v>
      </c>
      <c r="X299">
        <v>37.200000000000003</v>
      </c>
      <c r="Y299">
        <v>744.10416000000009</v>
      </c>
      <c r="Z299">
        <v>1256.1758399999999</v>
      </c>
      <c r="AC299" t="str">
        <v>Wheat</v>
      </c>
      <c r="AD299">
        <v>4506.1866340000006</v>
      </c>
      <c r="AF299">
        <v>1405</v>
      </c>
      <c r="AG299" t="str">
        <v>Jacket</v>
      </c>
      <c r="AH299">
        <v>1070.1072520000002</v>
      </c>
    </row>
    <row r="300" spans="1:34" x14ac:dyDescent="0.3">
      <c r="A300" s="1">
        <v>1298</v>
      </c>
      <c r="B300" s="2">
        <v>45461</v>
      </c>
      <c r="C300" s="1" t="s">
        <v>35</v>
      </c>
      <c r="D300" s="1" t="s">
        <v>33</v>
      </c>
      <c r="E300" s="1" t="s">
        <v>16</v>
      </c>
      <c r="F300" s="1">
        <v>828.96</v>
      </c>
      <c r="G300" s="1" t="s">
        <v>235</v>
      </c>
      <c r="H300" s="2">
        <v>36760</v>
      </c>
      <c r="I300" s="2">
        <v>45462</v>
      </c>
      <c r="J300" s="1">
        <v>40.68</v>
      </c>
      <c r="K300" s="4">
        <f t="shared" si="8"/>
        <v>337.22092800000001</v>
      </c>
      <c r="L300" s="4">
        <f t="shared" si="9"/>
        <v>491.73907200000002</v>
      </c>
      <c r="O300">
        <v>1410</v>
      </c>
      <c r="P300">
        <v>44170</v>
      </c>
      <c r="Q300" t="str">
        <v>East</v>
      </c>
      <c r="R300" t="str">
        <v>Cricket Bat</v>
      </c>
      <c r="S300" t="str">
        <v>Sports</v>
      </c>
      <c r="T300">
        <v>3107.81</v>
      </c>
      <c r="U300" t="str">
        <v>Lisa Bray MD</v>
      </c>
      <c r="V300">
        <v>33413</v>
      </c>
      <c r="W300">
        <v>44184</v>
      </c>
      <c r="X300">
        <v>27.37</v>
      </c>
      <c r="Y300">
        <v>850.60759699999994</v>
      </c>
      <c r="Z300">
        <v>2257.2024030000002</v>
      </c>
      <c r="AC300" t="str">
        <v>Laptop</v>
      </c>
      <c r="AD300">
        <v>1256.1758399999999</v>
      </c>
      <c r="AF300">
        <v>1407</v>
      </c>
      <c r="AG300" t="str">
        <v>Wheat</v>
      </c>
      <c r="AH300">
        <v>4506.1866340000006</v>
      </c>
    </row>
    <row r="301" spans="1:34" x14ac:dyDescent="0.3">
      <c r="A301" s="1">
        <v>1299</v>
      </c>
      <c r="B301" s="2">
        <v>44819</v>
      </c>
      <c r="C301" s="1" t="s">
        <v>10</v>
      </c>
      <c r="D301" s="1" t="s">
        <v>38</v>
      </c>
      <c r="E301" s="1" t="s">
        <v>28</v>
      </c>
      <c r="F301" s="1">
        <v>2757.73</v>
      </c>
      <c r="G301" s="1" t="s">
        <v>152</v>
      </c>
      <c r="H301" s="2">
        <v>24792</v>
      </c>
      <c r="I301" s="2">
        <v>44829</v>
      </c>
      <c r="J301" s="1">
        <v>21.95</v>
      </c>
      <c r="K301" s="4">
        <f t="shared" si="8"/>
        <v>605.32173499999999</v>
      </c>
      <c r="L301" s="4">
        <f t="shared" si="9"/>
        <v>2152.408265</v>
      </c>
      <c r="O301">
        <v>1411</v>
      </c>
      <c r="P301">
        <v>45077</v>
      </c>
      <c r="Q301" t="str">
        <v>South</v>
      </c>
      <c r="R301" t="str">
        <v>Shoes</v>
      </c>
      <c r="S301" t="str">
        <v>Sports</v>
      </c>
      <c r="T301">
        <v>3792.39</v>
      </c>
      <c r="U301" t="str">
        <v>Tyler Frye</v>
      </c>
      <c r="V301">
        <v>22210</v>
      </c>
      <c r="W301">
        <v>45080</v>
      </c>
      <c r="X301">
        <v>10.57</v>
      </c>
      <c r="Y301">
        <v>400.85562299999998</v>
      </c>
      <c r="Z301">
        <v>3391.5343769999999</v>
      </c>
      <c r="AC301" t="str">
        <v>Cricket Bat</v>
      </c>
      <c r="AD301">
        <v>2257.2024030000002</v>
      </c>
      <c r="AF301">
        <v>1409</v>
      </c>
      <c r="AG301" t="str">
        <v>Laptop</v>
      </c>
      <c r="AH301">
        <v>1256.1758399999999</v>
      </c>
    </row>
    <row r="302" spans="1:34" x14ac:dyDescent="0.3">
      <c r="A302" s="1">
        <v>1300</v>
      </c>
      <c r="B302" s="2">
        <v>45780</v>
      </c>
      <c r="C302" s="1" t="s">
        <v>35</v>
      </c>
      <c r="D302" s="1" t="s">
        <v>36</v>
      </c>
      <c r="E302" s="1" t="s">
        <v>28</v>
      </c>
      <c r="F302" s="1">
        <v>4519.3100000000004</v>
      </c>
      <c r="G302" s="1" t="s">
        <v>154</v>
      </c>
      <c r="H302" s="2">
        <v>32146</v>
      </c>
      <c r="I302" s="2">
        <v>45791</v>
      </c>
      <c r="J302" s="1">
        <v>34.9</v>
      </c>
      <c r="K302" s="4">
        <f t="shared" si="8"/>
        <v>1577.23919</v>
      </c>
      <c r="L302" s="4">
        <f t="shared" si="9"/>
        <v>2942.0708100000002</v>
      </c>
      <c r="O302">
        <v>1412</v>
      </c>
      <c r="P302">
        <v>45075</v>
      </c>
      <c r="Q302" t="str">
        <v>South</v>
      </c>
      <c r="R302" t="str">
        <v>Eggs</v>
      </c>
      <c r="S302" t="str">
        <v>Groceries</v>
      </c>
      <c r="T302">
        <v>4759.97</v>
      </c>
      <c r="U302" t="str">
        <v>Donald Harris</v>
      </c>
      <c r="V302">
        <v>23920</v>
      </c>
      <c r="W302">
        <v>45084</v>
      </c>
      <c r="X302">
        <v>15.69</v>
      </c>
      <c r="Y302">
        <v>746.839293</v>
      </c>
      <c r="Z302">
        <v>4013.1307070000003</v>
      </c>
      <c r="AC302" t="str">
        <v>Shoes</v>
      </c>
      <c r="AD302">
        <v>3391.5343769999999</v>
      </c>
      <c r="AF302">
        <v>1410</v>
      </c>
      <c r="AG302" t="str">
        <v>Cricket Bat</v>
      </c>
      <c r="AH302">
        <v>2257.2024030000002</v>
      </c>
    </row>
    <row r="303" spans="1:34" x14ac:dyDescent="0.3">
      <c r="A303" s="1">
        <v>1301</v>
      </c>
      <c r="B303" s="2">
        <v>45060</v>
      </c>
      <c r="C303" s="1" t="s">
        <v>14</v>
      </c>
      <c r="D303" s="1" t="s">
        <v>33</v>
      </c>
      <c r="E303" s="1" t="s">
        <v>16</v>
      </c>
      <c r="F303" s="1">
        <v>2137.69</v>
      </c>
      <c r="G303" s="1" t="s">
        <v>236</v>
      </c>
      <c r="H303" s="2">
        <v>36099</v>
      </c>
      <c r="I303" s="2">
        <v>45074</v>
      </c>
      <c r="J303" s="1">
        <v>25.33</v>
      </c>
      <c r="K303" s="4">
        <f t="shared" si="8"/>
        <v>541.47687699999994</v>
      </c>
      <c r="L303" s="4">
        <f t="shared" si="9"/>
        <v>1596.213123</v>
      </c>
      <c r="O303">
        <v>1414</v>
      </c>
      <c r="P303">
        <v>44253</v>
      </c>
      <c r="Q303" t="str">
        <v>North</v>
      </c>
      <c r="R303" t="str">
        <v>Bed</v>
      </c>
      <c r="S303" t="str">
        <v>Furniture</v>
      </c>
      <c r="T303">
        <v>2570.37</v>
      </c>
      <c r="U303" t="str">
        <v>Kevin Coleman</v>
      </c>
      <c r="V303">
        <v>36590</v>
      </c>
      <c r="W303">
        <v>44256</v>
      </c>
      <c r="X303">
        <v>12.84</v>
      </c>
      <c r="Y303">
        <v>330.03550799999994</v>
      </c>
      <c r="Z303">
        <v>2240.334492</v>
      </c>
      <c r="AC303" t="str">
        <v>Eggs</v>
      </c>
      <c r="AD303">
        <v>4013.1307070000003</v>
      </c>
      <c r="AF303">
        <v>1411</v>
      </c>
      <c r="AG303" t="str">
        <v>Shoes</v>
      </c>
      <c r="AH303">
        <v>3391.5343769999999</v>
      </c>
    </row>
    <row r="304" spans="1:34" x14ac:dyDescent="0.3">
      <c r="A304" s="1">
        <v>1302</v>
      </c>
      <c r="B304" s="2">
        <v>44344</v>
      </c>
      <c r="C304" s="1" t="s">
        <v>10</v>
      </c>
      <c r="D304" s="1" t="s">
        <v>73</v>
      </c>
      <c r="E304" s="1" t="s">
        <v>28</v>
      </c>
      <c r="F304" s="1">
        <v>3401.09</v>
      </c>
      <c r="G304" s="1" t="s">
        <v>113</v>
      </c>
      <c r="H304" s="2">
        <v>25579</v>
      </c>
      <c r="I304" s="2">
        <v>44348</v>
      </c>
      <c r="J304" s="1">
        <v>29.35</v>
      </c>
      <c r="K304" s="4">
        <f t="shared" si="8"/>
        <v>998.21991500000013</v>
      </c>
      <c r="L304" s="4">
        <f t="shared" si="9"/>
        <v>2402.870085</v>
      </c>
      <c r="O304">
        <v>1415</v>
      </c>
      <c r="P304">
        <v>44729</v>
      </c>
      <c r="Q304" t="str">
        <v>West</v>
      </c>
      <c r="R304" t="str">
        <v>Basketball</v>
      </c>
      <c r="S304" t="str">
        <v>Sports</v>
      </c>
      <c r="T304">
        <v>2414.83</v>
      </c>
      <c r="U304" t="str">
        <v>Kyle Thomas</v>
      </c>
      <c r="V304">
        <v>29541</v>
      </c>
      <c r="W304">
        <v>44736</v>
      </c>
      <c r="X304">
        <v>5</v>
      </c>
      <c r="Y304">
        <v>120.7415</v>
      </c>
      <c r="Z304">
        <v>2294.0884999999998</v>
      </c>
      <c r="AC304" t="str">
        <v>Bed</v>
      </c>
      <c r="AD304">
        <v>2240.334492</v>
      </c>
      <c r="AF304">
        <v>1412</v>
      </c>
      <c r="AG304" t="str">
        <v>Eggs</v>
      </c>
      <c r="AH304">
        <v>4013.1307070000003</v>
      </c>
    </row>
    <row r="305" spans="1:34" x14ac:dyDescent="0.3">
      <c r="A305" s="1">
        <v>1303</v>
      </c>
      <c r="B305" s="2">
        <v>44677</v>
      </c>
      <c r="C305" s="1" t="s">
        <v>26</v>
      </c>
      <c r="D305" s="1" t="s">
        <v>61</v>
      </c>
      <c r="E305" s="1" t="s">
        <v>19</v>
      </c>
      <c r="F305" s="1">
        <v>3673.8</v>
      </c>
      <c r="G305" s="1" t="s">
        <v>25</v>
      </c>
      <c r="H305" s="2">
        <v>33386</v>
      </c>
      <c r="I305" s="2">
        <v>44688</v>
      </c>
      <c r="J305" s="1">
        <v>22.63</v>
      </c>
      <c r="K305" s="4">
        <f t="shared" si="8"/>
        <v>831.38094000000001</v>
      </c>
      <c r="L305" s="4">
        <f t="shared" si="9"/>
        <v>2842.4190600000002</v>
      </c>
      <c r="O305">
        <v>1416</v>
      </c>
      <c r="P305">
        <v>44685</v>
      </c>
      <c r="Q305" t="str">
        <v>West</v>
      </c>
      <c r="R305" t="str">
        <v>Oil</v>
      </c>
      <c r="S305" t="str">
        <v>Groceries</v>
      </c>
      <c r="T305">
        <v>1422.31</v>
      </c>
      <c r="U305" t="str">
        <v>Billy Chavez</v>
      </c>
      <c r="V305">
        <v>31224</v>
      </c>
      <c r="W305">
        <v>44694</v>
      </c>
      <c r="X305">
        <v>24.91</v>
      </c>
      <c r="Y305">
        <v>354.29742099999999</v>
      </c>
      <c r="Z305">
        <v>1068.012579</v>
      </c>
      <c r="AC305" t="str">
        <v>Basketball</v>
      </c>
      <c r="AD305">
        <v>2294.0884999999998</v>
      </c>
      <c r="AF305">
        <v>1414</v>
      </c>
      <c r="AG305" t="str">
        <v>Bed</v>
      </c>
      <c r="AH305">
        <v>2240.334492</v>
      </c>
    </row>
    <row r="306" spans="1:34" x14ac:dyDescent="0.3">
      <c r="A306" s="1">
        <v>1304</v>
      </c>
      <c r="B306" s="2">
        <v>44833</v>
      </c>
      <c r="C306" s="1" t="s">
        <v>21</v>
      </c>
      <c r="D306" s="1" t="s">
        <v>61</v>
      </c>
      <c r="E306" s="1" t="s">
        <v>19</v>
      </c>
      <c r="F306" s="1">
        <v>3544.31</v>
      </c>
      <c r="G306" s="1" t="s">
        <v>206</v>
      </c>
      <c r="H306" s="2">
        <v>34011</v>
      </c>
      <c r="I306" s="2">
        <v>44844</v>
      </c>
      <c r="J306" s="1">
        <v>26.92</v>
      </c>
      <c r="K306" s="4">
        <f t="shared" si="8"/>
        <v>954.12825199999997</v>
      </c>
      <c r="L306" s="4">
        <f t="shared" si="9"/>
        <v>2590.181748</v>
      </c>
      <c r="O306">
        <v>1417</v>
      </c>
      <c r="P306">
        <v>45723</v>
      </c>
      <c r="Q306" t="str">
        <v>East</v>
      </c>
      <c r="R306" t="str">
        <v>T-Shirt</v>
      </c>
      <c r="S306" t="str">
        <v>Clothing</v>
      </c>
      <c r="T306">
        <v>4028.63</v>
      </c>
      <c r="U306" t="str">
        <v>Deanna Stephenson</v>
      </c>
      <c r="V306">
        <v>31685</v>
      </c>
      <c r="W306">
        <v>45728</v>
      </c>
      <c r="X306">
        <v>12.49</v>
      </c>
      <c r="Y306">
        <v>503.17588699999999</v>
      </c>
      <c r="Z306">
        <v>3525.4541130000002</v>
      </c>
      <c r="AC306" t="str">
        <v>Oil</v>
      </c>
      <c r="AD306">
        <v>1068.012579</v>
      </c>
      <c r="AF306">
        <v>1415</v>
      </c>
      <c r="AG306" t="str">
        <v>Basketball</v>
      </c>
      <c r="AH306">
        <v>2294.0884999999998</v>
      </c>
    </row>
    <row r="307" spans="1:34" x14ac:dyDescent="0.3">
      <c r="A307" s="1">
        <v>1305</v>
      </c>
      <c r="B307" s="2">
        <v>45432</v>
      </c>
      <c r="C307" s="1" t="s">
        <v>35</v>
      </c>
      <c r="D307" s="1" t="s">
        <v>58</v>
      </c>
      <c r="E307" s="1" t="s">
        <v>31</v>
      </c>
      <c r="F307" s="1">
        <v>4720.71</v>
      </c>
      <c r="G307" s="1" t="s">
        <v>216</v>
      </c>
      <c r="H307" s="2">
        <v>31419</v>
      </c>
      <c r="I307" s="2">
        <v>45440</v>
      </c>
      <c r="J307" s="1">
        <v>45.5</v>
      </c>
      <c r="K307" s="4">
        <f t="shared" si="8"/>
        <v>2147.9230499999999</v>
      </c>
      <c r="L307" s="4">
        <f t="shared" si="9"/>
        <v>2572.7869500000002</v>
      </c>
      <c r="O307">
        <v>1418</v>
      </c>
      <c r="P307">
        <v>44703</v>
      </c>
      <c r="Q307" t="str">
        <v>East</v>
      </c>
      <c r="R307" t="str">
        <v>Sofa</v>
      </c>
      <c r="S307" t="str">
        <v>Furniture</v>
      </c>
      <c r="T307">
        <v>2352.2399999999998</v>
      </c>
      <c r="U307" t="str">
        <v>Steven Hardin</v>
      </c>
      <c r="V307">
        <v>26155</v>
      </c>
      <c r="W307">
        <v>44712</v>
      </c>
      <c r="X307">
        <v>34.43</v>
      </c>
      <c r="Y307">
        <v>809.87623199999996</v>
      </c>
      <c r="Z307">
        <v>1542.3637679999997</v>
      </c>
      <c r="AC307" t="str">
        <v>T-Shirt</v>
      </c>
      <c r="AD307">
        <v>3525.4541130000002</v>
      </c>
      <c r="AF307">
        <v>1416</v>
      </c>
      <c r="AG307" t="str">
        <v>Oil</v>
      </c>
      <c r="AH307">
        <v>1068.012579</v>
      </c>
    </row>
    <row r="308" spans="1:34" x14ac:dyDescent="0.3">
      <c r="A308" s="1">
        <v>1306</v>
      </c>
      <c r="B308" s="2">
        <v>45432</v>
      </c>
      <c r="C308" s="1" t="s">
        <v>26</v>
      </c>
      <c r="D308" s="1" t="s">
        <v>44</v>
      </c>
      <c r="E308" s="1" t="s">
        <v>16</v>
      </c>
      <c r="F308" s="1">
        <v>680.18</v>
      </c>
      <c r="G308" s="1" t="s">
        <v>124</v>
      </c>
      <c r="H308" s="2">
        <v>30786</v>
      </c>
      <c r="I308" s="2">
        <v>45446</v>
      </c>
      <c r="J308" s="1">
        <v>22.04</v>
      </c>
      <c r="K308" s="4">
        <f t="shared" si="8"/>
        <v>149.91167199999998</v>
      </c>
      <c r="L308" s="4">
        <f t="shared" si="9"/>
        <v>530.268328</v>
      </c>
      <c r="O308">
        <v>1419</v>
      </c>
      <c r="P308">
        <v>44665</v>
      </c>
      <c r="Q308" t="str">
        <v>West</v>
      </c>
      <c r="R308" t="str">
        <v>Cricket Bat</v>
      </c>
      <c r="S308" t="str">
        <v>Sports</v>
      </c>
      <c r="T308">
        <v>3084.03</v>
      </c>
      <c r="U308" t="str">
        <v>Harry Holmes</v>
      </c>
      <c r="V308">
        <v>25712</v>
      </c>
      <c r="W308">
        <v>44678</v>
      </c>
      <c r="X308">
        <v>21.74</v>
      </c>
      <c r="Y308">
        <v>670.46812199999999</v>
      </c>
      <c r="Z308">
        <v>2413.5618780000004</v>
      </c>
      <c r="AC308" t="str">
        <v>Sofa</v>
      </c>
      <c r="AD308">
        <v>1542.3637679999997</v>
      </c>
      <c r="AF308">
        <v>1417</v>
      </c>
      <c r="AG308" t="str">
        <v>T-Shirt</v>
      </c>
      <c r="AH308">
        <v>3525.4541130000002</v>
      </c>
    </row>
    <row r="309" spans="1:34" x14ac:dyDescent="0.3">
      <c r="A309" s="1">
        <v>1307</v>
      </c>
      <c r="B309" s="2">
        <v>45377</v>
      </c>
      <c r="C309" s="1" t="s">
        <v>26</v>
      </c>
      <c r="D309" s="1" t="s">
        <v>24</v>
      </c>
      <c r="E309" s="1" t="s">
        <v>19</v>
      </c>
      <c r="F309" s="1">
        <v>2670.72</v>
      </c>
      <c r="G309" s="1" t="s">
        <v>234</v>
      </c>
      <c r="H309" s="2">
        <v>24368</v>
      </c>
      <c r="I309" s="2">
        <v>45379</v>
      </c>
      <c r="J309" s="1">
        <v>34.68</v>
      </c>
      <c r="K309" s="4">
        <f t="shared" si="8"/>
        <v>926.20569599999988</v>
      </c>
      <c r="L309" s="4">
        <f t="shared" si="9"/>
        <v>1744.5143039999998</v>
      </c>
      <c r="O309">
        <v>1420</v>
      </c>
      <c r="P309">
        <v>44202</v>
      </c>
      <c r="Q309" t="str">
        <v>East</v>
      </c>
      <c r="R309" t="str">
        <v>T-Shirt</v>
      </c>
      <c r="S309" t="str">
        <v>Clothing</v>
      </c>
      <c r="T309">
        <v>4802.88</v>
      </c>
      <c r="U309" t="str">
        <v>Justin Robinson</v>
      </c>
      <c r="V309">
        <v>35629</v>
      </c>
      <c r="W309">
        <v>44212</v>
      </c>
      <c r="X309">
        <v>16.18</v>
      </c>
      <c r="Y309">
        <v>777.10598400000003</v>
      </c>
      <c r="Z309">
        <v>4025.7740160000003</v>
      </c>
      <c r="AC309" t="str">
        <v>Cricket Bat</v>
      </c>
      <c r="AD309">
        <v>2413.5618780000004</v>
      </c>
      <c r="AF309">
        <v>1418</v>
      </c>
      <c r="AG309" t="str">
        <v>Sofa</v>
      </c>
      <c r="AH309">
        <v>1542.3637679999997</v>
      </c>
    </row>
    <row r="310" spans="1:34" x14ac:dyDescent="0.3">
      <c r="A310" s="1">
        <v>1308</v>
      </c>
      <c r="B310" s="2">
        <v>45111</v>
      </c>
      <c r="C310" s="1" t="s">
        <v>21</v>
      </c>
      <c r="D310" s="1" t="s">
        <v>30</v>
      </c>
      <c r="E310" s="1" t="s">
        <v>31</v>
      </c>
      <c r="F310" s="1">
        <v>4912.82</v>
      </c>
      <c r="G310" s="1" t="s">
        <v>158</v>
      </c>
      <c r="H310" s="2">
        <v>34871</v>
      </c>
      <c r="I310" s="2">
        <v>45123</v>
      </c>
      <c r="J310" s="1">
        <v>43.1</v>
      </c>
      <c r="K310" s="4">
        <f t="shared" si="8"/>
        <v>2117.42542</v>
      </c>
      <c r="L310" s="4">
        <f t="shared" si="9"/>
        <v>2795.3945799999997</v>
      </c>
      <c r="O310">
        <v>1422</v>
      </c>
      <c r="P310">
        <v>45535</v>
      </c>
      <c r="Q310" t="str">
        <v>Central</v>
      </c>
      <c r="R310" t="str">
        <v>Table</v>
      </c>
      <c r="S310" t="str">
        <v>Furniture</v>
      </c>
      <c r="T310">
        <v>3938.25</v>
      </c>
      <c r="U310" t="str">
        <v>Karla Garcia</v>
      </c>
      <c r="V310">
        <v>31331</v>
      </c>
      <c r="W310">
        <v>45542</v>
      </c>
      <c r="X310">
        <v>13.5</v>
      </c>
      <c r="Y310">
        <v>531.66375000000005</v>
      </c>
      <c r="Z310">
        <v>3406.5862499999998</v>
      </c>
      <c r="AC310" t="str">
        <v>T-Shirt</v>
      </c>
      <c r="AD310">
        <v>4025.7740160000003</v>
      </c>
      <c r="AF310">
        <v>1419</v>
      </c>
      <c r="AG310" t="str">
        <v>Cricket Bat</v>
      </c>
      <c r="AH310">
        <v>2413.5618780000004</v>
      </c>
    </row>
    <row r="311" spans="1:34" x14ac:dyDescent="0.3">
      <c r="A311" s="1">
        <v>1309</v>
      </c>
      <c r="B311" s="2">
        <v>44701</v>
      </c>
      <c r="C311" s="1" t="s">
        <v>10</v>
      </c>
      <c r="D311" s="1" t="s">
        <v>61</v>
      </c>
      <c r="E311" s="1" t="s">
        <v>19</v>
      </c>
      <c r="F311" s="1">
        <v>2214.5700000000002</v>
      </c>
      <c r="G311" s="1" t="s">
        <v>237</v>
      </c>
      <c r="H311" s="2">
        <v>27455</v>
      </c>
      <c r="I311" s="2">
        <v>44713</v>
      </c>
      <c r="J311" s="1">
        <v>13.3</v>
      </c>
      <c r="K311" s="4">
        <f t="shared" si="8"/>
        <v>294.53781000000004</v>
      </c>
      <c r="L311" s="4">
        <f t="shared" si="9"/>
        <v>1920.0321900000001</v>
      </c>
      <c r="O311">
        <v>1423</v>
      </c>
      <c r="P311">
        <v>44794</v>
      </c>
      <c r="Q311" t="str">
        <v>South</v>
      </c>
      <c r="R311" t="str">
        <v>Basketball</v>
      </c>
      <c r="S311" t="str">
        <v>Sports</v>
      </c>
      <c r="T311">
        <v>3839.42</v>
      </c>
      <c r="U311" t="str">
        <v>Brian Carson</v>
      </c>
      <c r="V311">
        <v>30232</v>
      </c>
      <c r="W311">
        <v>44795</v>
      </c>
      <c r="X311">
        <v>15.27</v>
      </c>
      <c r="Y311">
        <v>586.27943400000004</v>
      </c>
      <c r="Z311">
        <v>3253.140566</v>
      </c>
      <c r="AC311" t="str">
        <v>Table</v>
      </c>
      <c r="AD311">
        <v>3406.5862499999998</v>
      </c>
      <c r="AF311">
        <v>1420</v>
      </c>
      <c r="AG311" t="str">
        <v>T-Shirt</v>
      </c>
      <c r="AH311">
        <v>4025.7740160000003</v>
      </c>
    </row>
    <row r="312" spans="1:34" x14ac:dyDescent="0.3">
      <c r="A312" s="1">
        <v>1310</v>
      </c>
      <c r="B312" s="2">
        <v>44991</v>
      </c>
      <c r="C312" s="1" t="s">
        <v>21</v>
      </c>
      <c r="D312" s="1" t="s">
        <v>88</v>
      </c>
      <c r="E312" s="1" t="s">
        <v>16</v>
      </c>
      <c r="F312" s="1">
        <v>2682.47</v>
      </c>
      <c r="G312" s="1" t="s">
        <v>233</v>
      </c>
      <c r="H312" s="2">
        <v>38826</v>
      </c>
      <c r="I312" s="2">
        <v>45003</v>
      </c>
      <c r="J312" s="1">
        <v>26.43</v>
      </c>
      <c r="K312" s="4">
        <f t="shared" si="8"/>
        <v>708.97682099999986</v>
      </c>
      <c r="L312" s="4">
        <f t="shared" si="9"/>
        <v>1973.4931790000001</v>
      </c>
      <c r="O312">
        <v>1424</v>
      </c>
      <c r="P312">
        <v>45879</v>
      </c>
      <c r="Q312" t="str">
        <v>West</v>
      </c>
      <c r="R312" t="str">
        <v>Headphones</v>
      </c>
      <c r="S312" t="str">
        <v>Electronics</v>
      </c>
      <c r="T312">
        <v>1786.83</v>
      </c>
      <c r="U312" t="str">
        <v>Martha Harris</v>
      </c>
      <c r="V312">
        <v>27455</v>
      </c>
      <c r="W312">
        <v>45891</v>
      </c>
      <c r="X312">
        <v>9.4</v>
      </c>
      <c r="Y312">
        <v>167.96202</v>
      </c>
      <c r="Z312">
        <v>1618.86798</v>
      </c>
      <c r="AC312" t="str">
        <v>Basketball</v>
      </c>
      <c r="AD312">
        <v>3253.140566</v>
      </c>
      <c r="AF312">
        <v>1422</v>
      </c>
      <c r="AG312" t="str">
        <v>Table</v>
      </c>
      <c r="AH312">
        <v>3406.5862499999998</v>
      </c>
    </row>
    <row r="313" spans="1:34" x14ac:dyDescent="0.3">
      <c r="A313" s="1">
        <v>1311</v>
      </c>
      <c r="B313" s="2">
        <v>45832</v>
      </c>
      <c r="C313" s="1" t="s">
        <v>10</v>
      </c>
      <c r="D313" s="1" t="s">
        <v>36</v>
      </c>
      <c r="E313" s="1" t="s">
        <v>28</v>
      </c>
      <c r="F313" s="1">
        <v>1078.81</v>
      </c>
      <c r="G313" s="1" t="s">
        <v>238</v>
      </c>
      <c r="H313" s="2">
        <v>31880</v>
      </c>
      <c r="I313" s="2">
        <v>45840</v>
      </c>
      <c r="J313" s="1">
        <v>28.29</v>
      </c>
      <c r="K313" s="4">
        <f t="shared" si="8"/>
        <v>305.19534899999996</v>
      </c>
      <c r="L313" s="4">
        <f t="shared" si="9"/>
        <v>773.61465099999998</v>
      </c>
      <c r="O313">
        <v>1426</v>
      </c>
      <c r="P313">
        <v>45399</v>
      </c>
      <c r="Q313" t="str">
        <v>West</v>
      </c>
      <c r="R313" t="str">
        <v>Sofa</v>
      </c>
      <c r="S313" t="str">
        <v>Furniture</v>
      </c>
      <c r="T313">
        <v>4168.8999999999996</v>
      </c>
      <c r="U313" t="str">
        <v>Elizabeth Myers</v>
      </c>
      <c r="V313">
        <v>38899</v>
      </c>
      <c r="W313">
        <v>45402</v>
      </c>
      <c r="X313">
        <v>10.38</v>
      </c>
      <c r="Y313">
        <v>432.73181999999997</v>
      </c>
      <c r="Z313">
        <v>3736.1681799999997</v>
      </c>
      <c r="AC313" t="str">
        <v>Headphones</v>
      </c>
      <c r="AD313">
        <v>1618.86798</v>
      </c>
      <c r="AF313">
        <v>1423</v>
      </c>
      <c r="AG313" t="str">
        <v>Basketball</v>
      </c>
      <c r="AH313">
        <v>3253.140566</v>
      </c>
    </row>
    <row r="314" spans="1:34" x14ac:dyDescent="0.3">
      <c r="A314" s="1">
        <v>1312</v>
      </c>
      <c r="B314" s="2">
        <v>45641</v>
      </c>
      <c r="C314" s="1" t="s">
        <v>21</v>
      </c>
      <c r="D314" s="1" t="s">
        <v>61</v>
      </c>
      <c r="E314" s="1" t="s">
        <v>19</v>
      </c>
      <c r="F314" s="1">
        <v>764.47</v>
      </c>
      <c r="G314" s="1" t="s">
        <v>239</v>
      </c>
      <c r="H314" s="2">
        <v>38442</v>
      </c>
      <c r="I314" s="2">
        <v>45643</v>
      </c>
      <c r="J314" s="1">
        <v>30.02</v>
      </c>
      <c r="K314" s="4">
        <f t="shared" si="8"/>
        <v>229.49389400000001</v>
      </c>
      <c r="L314" s="4">
        <f t="shared" si="9"/>
        <v>534.97610600000007</v>
      </c>
      <c r="O314">
        <v>1427</v>
      </c>
      <c r="P314">
        <v>45010</v>
      </c>
      <c r="Q314" t="str">
        <v>South</v>
      </c>
      <c r="R314" t="str">
        <v>Milk</v>
      </c>
      <c r="S314" t="str">
        <v>Groceries</v>
      </c>
      <c r="T314">
        <v>4059.43</v>
      </c>
      <c r="U314" t="str">
        <v>Douglas Williams</v>
      </c>
      <c r="V314">
        <v>38826</v>
      </c>
      <c r="W314">
        <v>45014</v>
      </c>
      <c r="X314">
        <v>30.89</v>
      </c>
      <c r="Y314">
        <v>1253.9579269999999</v>
      </c>
      <c r="Z314">
        <v>2805.4720729999999</v>
      </c>
      <c r="AC314" t="str">
        <v>Sofa</v>
      </c>
      <c r="AD314">
        <v>3736.1681799999997</v>
      </c>
      <c r="AF314">
        <v>1424</v>
      </c>
      <c r="AG314" t="str">
        <v>Headphones</v>
      </c>
      <c r="AH314">
        <v>1618.86798</v>
      </c>
    </row>
    <row r="315" spans="1:34" x14ac:dyDescent="0.3">
      <c r="A315" s="1">
        <v>1313</v>
      </c>
      <c r="B315" s="2">
        <v>45745</v>
      </c>
      <c r="C315" s="1" t="s">
        <v>14</v>
      </c>
      <c r="D315" s="1" t="s">
        <v>15</v>
      </c>
      <c r="E315" s="1" t="s">
        <v>16</v>
      </c>
      <c r="F315" s="1">
        <v>725.6</v>
      </c>
      <c r="G315" s="1" t="s">
        <v>240</v>
      </c>
      <c r="H315" s="2">
        <v>38478</v>
      </c>
      <c r="I315" s="2">
        <v>45758</v>
      </c>
      <c r="J315" s="1">
        <v>6.26</v>
      </c>
      <c r="K315" s="4">
        <f t="shared" si="8"/>
        <v>45.422560000000004</v>
      </c>
      <c r="L315" s="4">
        <f t="shared" si="9"/>
        <v>680.17744000000005</v>
      </c>
      <c r="O315">
        <v>1429</v>
      </c>
      <c r="P315">
        <v>44536</v>
      </c>
      <c r="Q315" t="str">
        <v>West</v>
      </c>
      <c r="R315" t="str">
        <v>Camera</v>
      </c>
      <c r="S315" t="str">
        <v>Electronics</v>
      </c>
      <c r="T315">
        <v>4025.44</v>
      </c>
      <c r="U315" t="str">
        <v>Amber Collins</v>
      </c>
      <c r="V315">
        <v>32604</v>
      </c>
      <c r="W315">
        <v>44543</v>
      </c>
      <c r="X315">
        <v>4.45</v>
      </c>
      <c r="Y315">
        <v>179.13208000000003</v>
      </c>
      <c r="Z315">
        <v>3846.3079200000002</v>
      </c>
      <c r="AC315" t="str">
        <v>Milk</v>
      </c>
      <c r="AD315">
        <v>2805.4720729999999</v>
      </c>
      <c r="AF315">
        <v>1426</v>
      </c>
      <c r="AG315" t="str">
        <v>Sofa</v>
      </c>
      <c r="AH315">
        <v>3736.1681799999997</v>
      </c>
    </row>
    <row r="316" spans="1:34" x14ac:dyDescent="0.3">
      <c r="A316" s="1">
        <v>1314</v>
      </c>
      <c r="B316" s="2">
        <v>44171</v>
      </c>
      <c r="C316" s="1" t="s">
        <v>26</v>
      </c>
      <c r="D316" s="1" t="s">
        <v>30</v>
      </c>
      <c r="E316" s="1" t="s">
        <v>31</v>
      </c>
      <c r="F316" s="1">
        <v>333.41</v>
      </c>
      <c r="G316" s="1" t="s">
        <v>241</v>
      </c>
      <c r="H316" s="2">
        <v>31880</v>
      </c>
      <c r="I316" s="2">
        <v>44182</v>
      </c>
      <c r="J316" s="1">
        <v>46.12</v>
      </c>
      <c r="K316" s="4">
        <f t="shared" si="8"/>
        <v>153.76869200000002</v>
      </c>
      <c r="L316" s="4">
        <f t="shared" si="9"/>
        <v>179.64130800000001</v>
      </c>
      <c r="O316">
        <v>1430</v>
      </c>
      <c r="P316">
        <v>44099</v>
      </c>
      <c r="Q316" t="str">
        <v>East</v>
      </c>
      <c r="R316" t="str">
        <v>Jeans</v>
      </c>
      <c r="S316" t="str">
        <v>Clothing</v>
      </c>
      <c r="T316">
        <v>2610.56</v>
      </c>
      <c r="U316" t="str">
        <v>Frank Davis</v>
      </c>
      <c r="V316">
        <v>38171</v>
      </c>
      <c r="W316">
        <v>44113</v>
      </c>
      <c r="X316">
        <v>40.700000000000003</v>
      </c>
      <c r="Y316">
        <v>1062.49792</v>
      </c>
      <c r="Z316">
        <v>1548.0620799999999</v>
      </c>
      <c r="AC316" t="str">
        <v>Camera</v>
      </c>
      <c r="AD316">
        <v>3846.3079200000002</v>
      </c>
      <c r="AF316">
        <v>1427</v>
      </c>
      <c r="AG316" t="str">
        <v>Milk</v>
      </c>
      <c r="AH316">
        <v>2805.4720729999999</v>
      </c>
    </row>
    <row r="317" spans="1:34" x14ac:dyDescent="0.3">
      <c r="A317" s="1">
        <v>1315</v>
      </c>
      <c r="B317" s="2">
        <v>44342</v>
      </c>
      <c r="C317" s="1" t="s">
        <v>35</v>
      </c>
      <c r="D317" s="1" t="s">
        <v>49</v>
      </c>
      <c r="E317" s="1" t="s">
        <v>12</v>
      </c>
      <c r="F317" s="1">
        <v>3736.44</v>
      </c>
      <c r="G317" s="1" t="s">
        <v>210</v>
      </c>
      <c r="H317" s="2">
        <v>27550</v>
      </c>
      <c r="I317" s="2">
        <v>44356</v>
      </c>
      <c r="J317" s="1">
        <v>46.46</v>
      </c>
      <c r="K317" s="4">
        <f t="shared" si="8"/>
        <v>1735.950024</v>
      </c>
      <c r="L317" s="4">
        <f t="shared" si="9"/>
        <v>2000.4899760000001</v>
      </c>
      <c r="O317">
        <v>1431</v>
      </c>
      <c r="P317">
        <v>44784</v>
      </c>
      <c r="Q317" t="str">
        <v>West</v>
      </c>
      <c r="R317" t="str">
        <v>Oil</v>
      </c>
      <c r="S317" t="str">
        <v>Groceries</v>
      </c>
      <c r="T317">
        <v>1991.8</v>
      </c>
      <c r="U317" t="str">
        <v>Lisa Garcia</v>
      </c>
      <c r="V317">
        <v>31578</v>
      </c>
      <c r="W317">
        <v>44787</v>
      </c>
      <c r="X317">
        <v>41.42</v>
      </c>
      <c r="Y317">
        <v>825.00355999999999</v>
      </c>
      <c r="Z317">
        <v>1166.7964400000001</v>
      </c>
      <c r="AC317" t="str">
        <v>Jeans</v>
      </c>
      <c r="AD317">
        <v>1548.0620799999999</v>
      </c>
      <c r="AF317">
        <v>1429</v>
      </c>
      <c r="AG317" t="str">
        <v>Camera</v>
      </c>
      <c r="AH317">
        <v>3846.3079200000002</v>
      </c>
    </row>
    <row r="318" spans="1:34" x14ac:dyDescent="0.3">
      <c r="A318" s="1">
        <v>1316</v>
      </c>
      <c r="B318" s="2">
        <v>44804</v>
      </c>
      <c r="C318" s="1" t="s">
        <v>10</v>
      </c>
      <c r="D318" s="1" t="s">
        <v>88</v>
      </c>
      <c r="E318" s="1" t="s">
        <v>16</v>
      </c>
      <c r="F318" s="1">
        <v>130.38</v>
      </c>
      <c r="G318" s="1" t="s">
        <v>215</v>
      </c>
      <c r="H318" s="2">
        <v>31386</v>
      </c>
      <c r="I318" s="2">
        <v>44814</v>
      </c>
      <c r="J318" s="1">
        <v>23.3</v>
      </c>
      <c r="K318" s="4">
        <f t="shared" si="8"/>
        <v>30.378540000000001</v>
      </c>
      <c r="L318" s="4">
        <f t="shared" si="9"/>
        <v>100.00145999999999</v>
      </c>
      <c r="O318">
        <v>1432</v>
      </c>
      <c r="P318">
        <v>45165</v>
      </c>
      <c r="Q318" t="str">
        <v>South</v>
      </c>
      <c r="R318" t="str">
        <v>Wheat</v>
      </c>
      <c r="S318" t="str">
        <v>Groceries</v>
      </c>
      <c r="T318">
        <v>2141.4499999999998</v>
      </c>
      <c r="U318" t="str">
        <v>Jacqueline Chen</v>
      </c>
      <c r="V318">
        <v>25163</v>
      </c>
      <c r="W318">
        <v>45172</v>
      </c>
      <c r="X318">
        <v>24.38</v>
      </c>
      <c r="Y318">
        <v>522.08550999999989</v>
      </c>
      <c r="Z318">
        <v>1619.3644899999999</v>
      </c>
      <c r="AC318" t="str">
        <v>Oil</v>
      </c>
      <c r="AD318">
        <v>1166.7964400000001</v>
      </c>
      <c r="AF318">
        <v>1430</v>
      </c>
      <c r="AG318" t="str">
        <v>Jeans</v>
      </c>
      <c r="AH318">
        <v>1548.0620799999999</v>
      </c>
    </row>
    <row r="319" spans="1:34" x14ac:dyDescent="0.3">
      <c r="A319" s="1">
        <v>1317</v>
      </c>
      <c r="B319" s="2">
        <v>44407</v>
      </c>
      <c r="C319" s="1" t="s">
        <v>26</v>
      </c>
      <c r="D319" s="1" t="s">
        <v>15</v>
      </c>
      <c r="E319" s="1" t="s">
        <v>16</v>
      </c>
      <c r="F319" s="1">
        <v>4105.88</v>
      </c>
      <c r="G319" s="1" t="s">
        <v>118</v>
      </c>
      <c r="H319" s="2">
        <v>22599</v>
      </c>
      <c r="I319" s="2">
        <v>44414</v>
      </c>
      <c r="J319" s="1">
        <v>36.520000000000003</v>
      </c>
      <c r="K319" s="4">
        <f t="shared" si="8"/>
        <v>1499.4673760000001</v>
      </c>
      <c r="L319" s="4">
        <f t="shared" si="9"/>
        <v>2606.4126240000001</v>
      </c>
      <c r="O319">
        <v>1433</v>
      </c>
      <c r="P319">
        <v>45420</v>
      </c>
      <c r="Q319" t="str">
        <v>West</v>
      </c>
      <c r="R319" t="str">
        <v>Cricket Bat</v>
      </c>
      <c r="S319" t="str">
        <v>Sports</v>
      </c>
      <c r="T319">
        <v>4125.3100000000004</v>
      </c>
      <c r="U319" t="str">
        <v>Darryl Cooper</v>
      </c>
      <c r="V319">
        <v>38378</v>
      </c>
      <c r="W319">
        <v>45427</v>
      </c>
      <c r="X319">
        <v>30.7</v>
      </c>
      <c r="Y319">
        <v>1266.4701700000001</v>
      </c>
      <c r="Z319">
        <v>2858.8398300000003</v>
      </c>
      <c r="AC319" t="str">
        <v>Wheat</v>
      </c>
      <c r="AD319">
        <v>1619.3644899999999</v>
      </c>
      <c r="AF319">
        <v>1431</v>
      </c>
      <c r="AG319" t="str">
        <v>Oil</v>
      </c>
      <c r="AH319">
        <v>1166.7964400000001</v>
      </c>
    </row>
    <row r="320" spans="1:34" x14ac:dyDescent="0.3">
      <c r="A320" s="1">
        <v>1318</v>
      </c>
      <c r="B320" s="2">
        <v>44888</v>
      </c>
      <c r="C320" s="1" t="s">
        <v>10</v>
      </c>
      <c r="D320" s="1" t="s">
        <v>69</v>
      </c>
      <c r="E320" s="1" t="s">
        <v>12</v>
      </c>
      <c r="F320" s="1">
        <v>1085.3800000000001</v>
      </c>
      <c r="G320" s="1" t="s">
        <v>242</v>
      </c>
      <c r="H320" s="2">
        <v>21785</v>
      </c>
      <c r="I320" s="2">
        <v>44891</v>
      </c>
      <c r="J320" s="1">
        <v>47.43</v>
      </c>
      <c r="K320" s="4">
        <f t="shared" si="8"/>
        <v>514.79573400000004</v>
      </c>
      <c r="L320" s="4">
        <f t="shared" si="9"/>
        <v>570.58426600000007</v>
      </c>
      <c r="O320">
        <v>1434</v>
      </c>
      <c r="P320">
        <v>44065</v>
      </c>
      <c r="Q320" t="str">
        <v>North</v>
      </c>
      <c r="R320" t="str">
        <v>Tablet</v>
      </c>
      <c r="S320" t="str">
        <v>Electronics</v>
      </c>
      <c r="T320">
        <v>3630.47</v>
      </c>
      <c r="U320" t="str">
        <v>Colin Garcia</v>
      </c>
      <c r="V320">
        <v>37783</v>
      </c>
      <c r="W320">
        <v>44074</v>
      </c>
      <c r="X320">
        <v>46.55</v>
      </c>
      <c r="Y320">
        <v>1689.9837849999999</v>
      </c>
      <c r="Z320">
        <v>1940.4862149999999</v>
      </c>
      <c r="AC320" t="str">
        <v>Cricket Bat</v>
      </c>
      <c r="AD320">
        <v>2858.8398300000003</v>
      </c>
      <c r="AF320">
        <v>1432</v>
      </c>
      <c r="AG320" t="str">
        <v>Wheat</v>
      </c>
      <c r="AH320">
        <v>1619.3644899999999</v>
      </c>
    </row>
    <row r="321" spans="1:34" x14ac:dyDescent="0.3">
      <c r="A321" s="1">
        <v>1319</v>
      </c>
      <c r="B321" s="2">
        <v>44922</v>
      </c>
      <c r="C321" s="1" t="s">
        <v>26</v>
      </c>
      <c r="D321" s="1" t="s">
        <v>24</v>
      </c>
      <c r="E321" s="1" t="s">
        <v>19</v>
      </c>
      <c r="F321" s="1">
        <v>3444.87</v>
      </c>
      <c r="G321" s="1" t="s">
        <v>243</v>
      </c>
      <c r="H321" s="2">
        <v>29103</v>
      </c>
      <c r="I321" s="2">
        <v>44930</v>
      </c>
      <c r="J321" s="1">
        <v>19.559999999999999</v>
      </c>
      <c r="K321" s="4">
        <f t="shared" si="8"/>
        <v>673.81657199999995</v>
      </c>
      <c r="L321" s="4">
        <f t="shared" si="9"/>
        <v>2771.0534280000002</v>
      </c>
      <c r="O321">
        <v>1435</v>
      </c>
      <c r="P321">
        <v>45366</v>
      </c>
      <c r="Q321" t="str">
        <v>West</v>
      </c>
      <c r="R321" t="str">
        <v>Sofa</v>
      </c>
      <c r="S321" t="str">
        <v>Furniture</v>
      </c>
      <c r="T321">
        <v>3093.12</v>
      </c>
      <c r="U321" t="str">
        <v>Margaret Wilson</v>
      </c>
      <c r="V321">
        <v>37141</v>
      </c>
      <c r="W321">
        <v>45369</v>
      </c>
      <c r="X321">
        <v>20.13</v>
      </c>
      <c r="Y321">
        <v>622.64505599999995</v>
      </c>
      <c r="Z321">
        <v>2470.4749440000001</v>
      </c>
      <c r="AC321" t="str">
        <v>Tablet</v>
      </c>
      <c r="AD321">
        <v>1940.4862149999999</v>
      </c>
      <c r="AF321">
        <v>1433</v>
      </c>
      <c r="AG321" t="str">
        <v>Cricket Bat</v>
      </c>
      <c r="AH321">
        <v>2858.8398300000003</v>
      </c>
    </row>
    <row r="322" spans="1:34" x14ac:dyDescent="0.3">
      <c r="A322" s="1">
        <v>1320</v>
      </c>
      <c r="B322" s="2">
        <v>44290</v>
      </c>
      <c r="C322" s="1" t="s">
        <v>21</v>
      </c>
      <c r="D322" s="1" t="s">
        <v>47</v>
      </c>
      <c r="E322" s="1" t="s">
        <v>12</v>
      </c>
      <c r="F322" s="1">
        <v>2972.21</v>
      </c>
      <c r="G322" s="1" t="s">
        <v>23</v>
      </c>
      <c r="H322" s="2">
        <v>38378</v>
      </c>
      <c r="I322" s="2">
        <v>44304</v>
      </c>
      <c r="J322" s="1">
        <v>22.8</v>
      </c>
      <c r="K322" s="4">
        <f t="shared" si="8"/>
        <v>677.66388000000006</v>
      </c>
      <c r="L322" s="4">
        <f t="shared" si="9"/>
        <v>2294.54612</v>
      </c>
      <c r="O322">
        <v>1436</v>
      </c>
      <c r="P322">
        <v>45341</v>
      </c>
      <c r="Q322" t="str">
        <v>South</v>
      </c>
      <c r="R322" t="str">
        <v>Basketball</v>
      </c>
      <c r="S322" t="str">
        <v>Sports</v>
      </c>
      <c r="T322">
        <v>2804.68</v>
      </c>
      <c r="U322" t="str">
        <v>Robert Jones</v>
      </c>
      <c r="V322">
        <v>32047</v>
      </c>
      <c r="W322">
        <v>45353</v>
      </c>
      <c r="X322">
        <v>27.26</v>
      </c>
      <c r="Y322">
        <v>764.55576799999994</v>
      </c>
      <c r="Z322">
        <v>2040.1242319999999</v>
      </c>
      <c r="AC322" t="str">
        <v>Sofa</v>
      </c>
      <c r="AD322">
        <v>2470.4749440000001</v>
      </c>
      <c r="AF322">
        <v>1434</v>
      </c>
      <c r="AG322" t="str">
        <v>Tablet</v>
      </c>
      <c r="AH322">
        <v>1940.4862149999999</v>
      </c>
    </row>
    <row r="323" spans="1:34" x14ac:dyDescent="0.3">
      <c r="A323" s="1">
        <v>1321</v>
      </c>
      <c r="B323" s="2">
        <v>44915</v>
      </c>
      <c r="C323" s="1" t="s">
        <v>21</v>
      </c>
      <c r="D323" s="1" t="s">
        <v>53</v>
      </c>
      <c r="E323" s="1" t="s">
        <v>28</v>
      </c>
      <c r="F323" s="1">
        <v>4855.2</v>
      </c>
      <c r="G323" s="1" t="s">
        <v>37</v>
      </c>
      <c r="H323" s="2">
        <v>27534</v>
      </c>
      <c r="I323" s="2">
        <v>44921</v>
      </c>
      <c r="J323" s="1">
        <v>48.03</v>
      </c>
      <c r="K323" s="4">
        <f t="shared" ref="K323:K386" si="10">F323*J323%</f>
        <v>2331.9525599999997</v>
      </c>
      <c r="L323" s="4">
        <f t="shared" ref="L323:L386" si="11">F323-K323</f>
        <v>2523.2474400000001</v>
      </c>
      <c r="O323">
        <v>1437</v>
      </c>
      <c r="P323">
        <v>44115</v>
      </c>
      <c r="Q323" t="str">
        <v>West</v>
      </c>
      <c r="R323" t="str">
        <v>Rice</v>
      </c>
      <c r="S323" t="str">
        <v>Groceries</v>
      </c>
      <c r="T323">
        <v>2362.4699999999998</v>
      </c>
      <c r="U323" t="str">
        <v>Dustin Barnes</v>
      </c>
      <c r="V323">
        <v>36571</v>
      </c>
      <c r="W323">
        <v>44123</v>
      </c>
      <c r="X323">
        <v>47.44</v>
      </c>
      <c r="Y323">
        <v>1120.755768</v>
      </c>
      <c r="Z323">
        <v>1241.7142319999998</v>
      </c>
      <c r="AC323" t="str">
        <v>Basketball</v>
      </c>
      <c r="AD323">
        <v>2040.1242319999999</v>
      </c>
      <c r="AF323">
        <v>1435</v>
      </c>
      <c r="AG323" t="str">
        <v>Sofa</v>
      </c>
      <c r="AH323">
        <v>2470.4749440000001</v>
      </c>
    </row>
    <row r="324" spans="1:34" x14ac:dyDescent="0.3">
      <c r="A324" s="1">
        <v>1322</v>
      </c>
      <c r="B324" s="2">
        <v>44138</v>
      </c>
      <c r="C324" s="1" t="s">
        <v>35</v>
      </c>
      <c r="D324" s="1" t="s">
        <v>53</v>
      </c>
      <c r="E324" s="1" t="s">
        <v>28</v>
      </c>
      <c r="F324" s="1">
        <v>4450.13</v>
      </c>
      <c r="G324" s="1" t="s">
        <v>198</v>
      </c>
      <c r="H324" s="2">
        <v>31598</v>
      </c>
      <c r="I324" s="2">
        <v>44151</v>
      </c>
      <c r="J324" s="1">
        <v>5.77</v>
      </c>
      <c r="K324" s="4">
        <f t="shared" si="10"/>
        <v>256.77250099999998</v>
      </c>
      <c r="L324" s="4">
        <f t="shared" si="11"/>
        <v>4193.3574989999997</v>
      </c>
      <c r="O324">
        <v>1441</v>
      </c>
      <c r="P324">
        <v>45796</v>
      </c>
      <c r="Q324" t="str">
        <v>South</v>
      </c>
      <c r="R324" t="str">
        <v>Shoes</v>
      </c>
      <c r="S324" t="str">
        <v>Sports</v>
      </c>
      <c r="T324">
        <v>2525.13</v>
      </c>
      <c r="U324" t="str">
        <v>Patrick Woods</v>
      </c>
      <c r="V324">
        <v>34932</v>
      </c>
      <c r="W324">
        <v>45798</v>
      </c>
      <c r="X324">
        <v>35.049999999999997</v>
      </c>
      <c r="Y324">
        <v>885.05806499999994</v>
      </c>
      <c r="Z324">
        <v>1640.0719350000002</v>
      </c>
      <c r="AC324" t="str">
        <v>Rice</v>
      </c>
      <c r="AD324">
        <v>1241.7142319999998</v>
      </c>
      <c r="AF324">
        <v>1436</v>
      </c>
      <c r="AG324" t="str">
        <v>Basketball</v>
      </c>
      <c r="AH324">
        <v>2040.1242319999999</v>
      </c>
    </row>
    <row r="325" spans="1:34" x14ac:dyDescent="0.3">
      <c r="A325" s="1">
        <v>1323</v>
      </c>
      <c r="B325" s="2">
        <v>45155</v>
      </c>
      <c r="C325" s="1" t="s">
        <v>14</v>
      </c>
      <c r="D325" s="1" t="s">
        <v>69</v>
      </c>
      <c r="E325" s="1" t="s">
        <v>31</v>
      </c>
      <c r="F325" s="1">
        <v>4766.46</v>
      </c>
      <c r="G325" s="1" t="s">
        <v>225</v>
      </c>
      <c r="H325" s="2">
        <v>27641</v>
      </c>
      <c r="I325" s="2">
        <v>45160</v>
      </c>
      <c r="J325" s="1">
        <v>45.05</v>
      </c>
      <c r="K325" s="4">
        <f t="shared" si="10"/>
        <v>2147.2902299999996</v>
      </c>
      <c r="L325" s="4">
        <f t="shared" si="11"/>
        <v>2619.1697700000004</v>
      </c>
      <c r="O325">
        <v>1442</v>
      </c>
      <c r="P325">
        <v>45467</v>
      </c>
      <c r="Q325" t="str">
        <v>Central</v>
      </c>
      <c r="R325" t="str">
        <v>Tablet</v>
      </c>
      <c r="S325" t="str">
        <v>Electronics</v>
      </c>
      <c r="T325">
        <v>3350.42</v>
      </c>
      <c r="U325" t="str">
        <v>Sara Mayo</v>
      </c>
      <c r="V325">
        <v>38039</v>
      </c>
      <c r="W325">
        <v>45478</v>
      </c>
      <c r="X325">
        <v>31.35</v>
      </c>
      <c r="Y325">
        <v>1050.3566700000001</v>
      </c>
      <c r="Z325">
        <v>2300.06333</v>
      </c>
      <c r="AC325" t="str">
        <v>Shoes</v>
      </c>
      <c r="AD325">
        <v>1640.0719350000002</v>
      </c>
      <c r="AF325">
        <v>1437</v>
      </c>
      <c r="AG325" t="str">
        <v>Rice</v>
      </c>
      <c r="AH325">
        <v>1241.7142319999998</v>
      </c>
    </row>
    <row r="326" spans="1:34" x14ac:dyDescent="0.3">
      <c r="A326" s="1">
        <v>1324</v>
      </c>
      <c r="B326" s="2">
        <v>45150</v>
      </c>
      <c r="C326" s="1" t="s">
        <v>21</v>
      </c>
      <c r="D326" s="1" t="s">
        <v>38</v>
      </c>
      <c r="E326" s="1" t="s">
        <v>28</v>
      </c>
      <c r="F326" s="1">
        <v>4884.1400000000003</v>
      </c>
      <c r="G326" s="1" t="s">
        <v>23</v>
      </c>
      <c r="H326" s="2">
        <v>38378</v>
      </c>
      <c r="I326" s="2">
        <v>45152</v>
      </c>
      <c r="J326" s="1">
        <v>28.02</v>
      </c>
      <c r="K326" s="4">
        <f t="shared" si="10"/>
        <v>1368.5360280000002</v>
      </c>
      <c r="L326" s="4">
        <f t="shared" si="11"/>
        <v>3515.6039719999999</v>
      </c>
      <c r="O326">
        <v>1443</v>
      </c>
      <c r="P326">
        <v>44400</v>
      </c>
      <c r="Q326" t="str">
        <v>Central</v>
      </c>
      <c r="R326" t="str">
        <v>Basketball</v>
      </c>
      <c r="S326" t="str">
        <v>Sports</v>
      </c>
      <c r="T326">
        <v>3643.84</v>
      </c>
      <c r="U326" t="str">
        <v>Timothy Castaneda</v>
      </c>
      <c r="V326">
        <v>31880</v>
      </c>
      <c r="W326">
        <v>44401</v>
      </c>
      <c r="X326">
        <v>18.11</v>
      </c>
      <c r="Y326">
        <v>659.89942399999995</v>
      </c>
      <c r="Z326">
        <v>2983.940576</v>
      </c>
      <c r="AC326" t="str">
        <v>Tablet</v>
      </c>
      <c r="AD326">
        <v>2300.06333</v>
      </c>
      <c r="AF326">
        <v>1441</v>
      </c>
      <c r="AG326" t="str">
        <v>Shoes</v>
      </c>
      <c r="AH326">
        <v>1640.0719350000002</v>
      </c>
    </row>
    <row r="327" spans="1:34" x14ac:dyDescent="0.3">
      <c r="A327" s="1">
        <v>1325</v>
      </c>
      <c r="B327" s="2">
        <v>44396</v>
      </c>
      <c r="C327" s="1" t="s">
        <v>10</v>
      </c>
      <c r="D327" s="1" t="s">
        <v>53</v>
      </c>
      <c r="E327" s="1" t="s">
        <v>28</v>
      </c>
      <c r="F327" s="1">
        <v>3607.16</v>
      </c>
      <c r="G327" s="1" t="s">
        <v>244</v>
      </c>
      <c r="H327" s="2">
        <v>30356</v>
      </c>
      <c r="I327" s="2">
        <v>44405</v>
      </c>
      <c r="J327" s="1">
        <v>3.14</v>
      </c>
      <c r="K327" s="4">
        <f t="shared" si="10"/>
        <v>113.264824</v>
      </c>
      <c r="L327" s="4">
        <f t="shared" si="11"/>
        <v>3493.895176</v>
      </c>
      <c r="O327">
        <v>1444</v>
      </c>
      <c r="P327">
        <v>45724</v>
      </c>
      <c r="Q327" t="str">
        <v>West</v>
      </c>
      <c r="R327" t="str">
        <v>Sofa</v>
      </c>
      <c r="S327" t="str">
        <v>Furniture</v>
      </c>
      <c r="T327">
        <v>1247.1500000000001</v>
      </c>
      <c r="U327" t="str">
        <v>Brittany Ayala</v>
      </c>
      <c r="V327">
        <v>25103</v>
      </c>
      <c r="W327">
        <v>45727</v>
      </c>
      <c r="X327">
        <v>6.45</v>
      </c>
      <c r="Y327">
        <v>80.441175000000001</v>
      </c>
      <c r="Z327">
        <v>1166.7088250000002</v>
      </c>
      <c r="AC327" t="str">
        <v>Basketball</v>
      </c>
      <c r="AD327">
        <v>2983.940576</v>
      </c>
      <c r="AF327">
        <v>1442</v>
      </c>
      <c r="AG327" t="str">
        <v>Tablet</v>
      </c>
      <c r="AH327">
        <v>2300.06333</v>
      </c>
    </row>
    <row r="328" spans="1:34" x14ac:dyDescent="0.3">
      <c r="A328" s="1">
        <v>1326</v>
      </c>
      <c r="B328" s="2">
        <v>45277</v>
      </c>
      <c r="C328" s="1" t="s">
        <v>26</v>
      </c>
      <c r="D328" s="1" t="s">
        <v>65</v>
      </c>
      <c r="E328" s="1" t="s">
        <v>19</v>
      </c>
      <c r="F328" s="1">
        <v>3914.34</v>
      </c>
      <c r="G328" s="1" t="s">
        <v>119</v>
      </c>
      <c r="H328" s="2">
        <v>34954</v>
      </c>
      <c r="I328" s="2">
        <v>45289</v>
      </c>
      <c r="J328" s="1">
        <v>8.6999999999999993</v>
      </c>
      <c r="K328" s="4">
        <f t="shared" si="10"/>
        <v>340.54757999999998</v>
      </c>
      <c r="L328" s="4">
        <f t="shared" si="11"/>
        <v>3573.7924200000002</v>
      </c>
      <c r="O328">
        <v>1445</v>
      </c>
      <c r="P328">
        <v>45577</v>
      </c>
      <c r="Q328" t="str">
        <v>Central</v>
      </c>
      <c r="R328" t="str">
        <v>Wheat</v>
      </c>
      <c r="S328" t="str">
        <v>Groceries</v>
      </c>
      <c r="T328">
        <v>1813.32</v>
      </c>
      <c r="U328" t="str">
        <v>Karen Hernandez</v>
      </c>
      <c r="V328">
        <v>30976</v>
      </c>
      <c r="W328">
        <v>45585</v>
      </c>
      <c r="X328">
        <v>22.45</v>
      </c>
      <c r="Y328">
        <v>407.09033999999997</v>
      </c>
      <c r="Z328">
        <v>1406.22966</v>
      </c>
      <c r="AC328" t="str">
        <v>Sofa</v>
      </c>
      <c r="AD328">
        <v>1166.7088250000002</v>
      </c>
      <c r="AF328">
        <v>1443</v>
      </c>
      <c r="AG328" t="str">
        <v>Basketball</v>
      </c>
      <c r="AH328">
        <v>2983.940576</v>
      </c>
    </row>
    <row r="329" spans="1:34" x14ac:dyDescent="0.3">
      <c r="A329" s="1">
        <v>1327</v>
      </c>
      <c r="B329" s="2">
        <v>45274</v>
      </c>
      <c r="C329" s="1" t="s">
        <v>35</v>
      </c>
      <c r="D329" s="1" t="s">
        <v>38</v>
      </c>
      <c r="E329" s="1" t="s">
        <v>28</v>
      </c>
      <c r="F329" s="1">
        <v>407.98</v>
      </c>
      <c r="G329" s="1" t="s">
        <v>129</v>
      </c>
      <c r="H329" s="2">
        <v>25933</v>
      </c>
      <c r="I329" s="2">
        <v>45279</v>
      </c>
      <c r="J329" s="1">
        <v>31.88</v>
      </c>
      <c r="K329" s="4">
        <f t="shared" si="10"/>
        <v>130.06402399999999</v>
      </c>
      <c r="L329" s="4">
        <f t="shared" si="11"/>
        <v>277.915976</v>
      </c>
      <c r="O329">
        <v>1446</v>
      </c>
      <c r="P329">
        <v>45785</v>
      </c>
      <c r="Q329" t="str">
        <v>North</v>
      </c>
      <c r="R329" t="str">
        <v>Jeans</v>
      </c>
      <c r="S329" t="str">
        <v>Clothing</v>
      </c>
      <c r="T329">
        <v>3713.98</v>
      </c>
      <c r="U329" t="str">
        <v>Edward Gonzalez</v>
      </c>
      <c r="V329">
        <v>38750</v>
      </c>
      <c r="W329">
        <v>45798</v>
      </c>
      <c r="X329">
        <v>43.09</v>
      </c>
      <c r="Y329">
        <v>1600.3539820000003</v>
      </c>
      <c r="Z329">
        <v>2113.6260179999999</v>
      </c>
      <c r="AC329" t="str">
        <v>Wheat</v>
      </c>
      <c r="AD329">
        <v>1406.22966</v>
      </c>
      <c r="AF329">
        <v>1444</v>
      </c>
      <c r="AG329" t="str">
        <v>Sofa</v>
      </c>
      <c r="AH329">
        <v>1166.7088250000002</v>
      </c>
    </row>
    <row r="330" spans="1:34" x14ac:dyDescent="0.3">
      <c r="A330" s="1">
        <v>1328</v>
      </c>
      <c r="B330" s="2">
        <v>44336</v>
      </c>
      <c r="C330" s="1" t="s">
        <v>26</v>
      </c>
      <c r="D330" s="1" t="s">
        <v>53</v>
      </c>
      <c r="E330" s="1" t="s">
        <v>28</v>
      </c>
      <c r="F330" s="1">
        <v>2855.49</v>
      </c>
      <c r="G330" s="1" t="s">
        <v>52</v>
      </c>
      <c r="H330" s="2">
        <v>30154</v>
      </c>
      <c r="I330" s="2">
        <v>44344</v>
      </c>
      <c r="J330" s="1">
        <v>38.840000000000003</v>
      </c>
      <c r="K330" s="4">
        <f t="shared" si="10"/>
        <v>1109.072316</v>
      </c>
      <c r="L330" s="4">
        <f t="shared" si="11"/>
        <v>1746.4176839999998</v>
      </c>
      <c r="O330">
        <v>1448</v>
      </c>
      <c r="P330">
        <v>44839</v>
      </c>
      <c r="Q330" t="str">
        <v>South</v>
      </c>
      <c r="R330" t="str">
        <v>Chair</v>
      </c>
      <c r="S330" t="str">
        <v>Furniture</v>
      </c>
      <c r="T330">
        <v>1693.45</v>
      </c>
      <c r="U330" t="str">
        <v>Sara Keller</v>
      </c>
      <c r="V330">
        <v>27526</v>
      </c>
      <c r="W330">
        <v>44844</v>
      </c>
      <c r="X330">
        <v>23.61</v>
      </c>
      <c r="Y330">
        <v>399.82354500000002</v>
      </c>
      <c r="Z330">
        <v>1293.6264550000001</v>
      </c>
      <c r="AC330" t="str">
        <v>Jeans</v>
      </c>
      <c r="AD330">
        <v>2113.6260179999999</v>
      </c>
      <c r="AF330">
        <v>1445</v>
      </c>
      <c r="AG330" t="str">
        <v>Wheat</v>
      </c>
      <c r="AH330">
        <v>1406.22966</v>
      </c>
    </row>
    <row r="331" spans="1:34" x14ac:dyDescent="0.3">
      <c r="A331" s="1">
        <v>1329</v>
      </c>
      <c r="B331" s="2">
        <v>44234</v>
      </c>
      <c r="C331" s="1" t="s">
        <v>14</v>
      </c>
      <c r="D331" s="1" t="s">
        <v>69</v>
      </c>
      <c r="E331" s="1" t="s">
        <v>12</v>
      </c>
      <c r="F331" s="1">
        <v>2244.02</v>
      </c>
      <c r="G331" s="1" t="s">
        <v>105</v>
      </c>
      <c r="H331" s="2">
        <v>35889</v>
      </c>
      <c r="I331" s="2">
        <v>44237</v>
      </c>
      <c r="J331" s="1">
        <v>47.16</v>
      </c>
      <c r="K331" s="4">
        <f t="shared" si="10"/>
        <v>1058.2798319999999</v>
      </c>
      <c r="L331" s="4">
        <f t="shared" si="11"/>
        <v>1185.740168</v>
      </c>
      <c r="O331">
        <v>1449</v>
      </c>
      <c r="P331">
        <v>44700</v>
      </c>
      <c r="Q331" t="str">
        <v>South</v>
      </c>
      <c r="R331" t="str">
        <v>Milk</v>
      </c>
      <c r="S331" t="str">
        <v>Groceries</v>
      </c>
      <c r="T331">
        <v>1889.02</v>
      </c>
      <c r="U331" t="str">
        <v>Jackie Foster</v>
      </c>
      <c r="V331">
        <v>22796</v>
      </c>
      <c r="W331">
        <v>44709</v>
      </c>
      <c r="X331">
        <v>2.15</v>
      </c>
      <c r="Y331">
        <v>40.613929999999996</v>
      </c>
      <c r="Z331">
        <v>1848.40607</v>
      </c>
      <c r="AC331" t="str">
        <v>Chair</v>
      </c>
      <c r="AD331">
        <v>1293.6264550000001</v>
      </c>
      <c r="AF331">
        <v>1446</v>
      </c>
      <c r="AG331" t="str">
        <v>Jeans</v>
      </c>
      <c r="AH331">
        <v>2113.6260179999999</v>
      </c>
    </row>
    <row r="332" spans="1:34" x14ac:dyDescent="0.3">
      <c r="A332" s="1">
        <v>1330</v>
      </c>
      <c r="B332" s="2">
        <v>45550</v>
      </c>
      <c r="C332" s="1" t="s">
        <v>26</v>
      </c>
      <c r="D332" s="1" t="s">
        <v>49</v>
      </c>
      <c r="E332" s="1" t="s">
        <v>12</v>
      </c>
      <c r="F332" s="1">
        <v>729.8</v>
      </c>
      <c r="G332" s="1" t="s">
        <v>242</v>
      </c>
      <c r="H332" s="2">
        <v>21785</v>
      </c>
      <c r="I332" s="2">
        <v>45564</v>
      </c>
      <c r="J332" s="1">
        <v>29.73</v>
      </c>
      <c r="K332" s="4">
        <f t="shared" si="10"/>
        <v>216.96953999999999</v>
      </c>
      <c r="L332" s="4">
        <f t="shared" si="11"/>
        <v>512.8304599999999</v>
      </c>
      <c r="O332">
        <v>1450</v>
      </c>
      <c r="P332">
        <v>44831</v>
      </c>
      <c r="Q332" t="str">
        <v>South</v>
      </c>
      <c r="R332" t="str">
        <v>T-Shirt</v>
      </c>
      <c r="S332" t="str">
        <v>Clothing</v>
      </c>
      <c r="T332">
        <v>2427.5100000000002</v>
      </c>
      <c r="U332" t="str">
        <v>Karla Garcia</v>
      </c>
      <c r="V332">
        <v>31331</v>
      </c>
      <c r="W332">
        <v>44842</v>
      </c>
      <c r="X332">
        <v>21.39</v>
      </c>
      <c r="Y332">
        <v>519.24438900000007</v>
      </c>
      <c r="Z332">
        <v>1908.2656110000003</v>
      </c>
      <c r="AC332" t="str">
        <v>Milk</v>
      </c>
      <c r="AD332">
        <v>1848.40607</v>
      </c>
      <c r="AF332">
        <v>1448</v>
      </c>
      <c r="AG332" t="str">
        <v>Chair</v>
      </c>
      <c r="AH332">
        <v>1293.6264550000001</v>
      </c>
    </row>
    <row r="333" spans="1:34" x14ac:dyDescent="0.3">
      <c r="A333" s="1">
        <v>1331</v>
      </c>
      <c r="B333" s="2">
        <v>44685</v>
      </c>
      <c r="C333" s="1" t="s">
        <v>35</v>
      </c>
      <c r="D333" s="1" t="s">
        <v>73</v>
      </c>
      <c r="E333" s="1" t="s">
        <v>28</v>
      </c>
      <c r="F333" s="1">
        <v>942.65</v>
      </c>
      <c r="G333" s="1" t="s">
        <v>217</v>
      </c>
      <c r="H333" s="2">
        <v>36951</v>
      </c>
      <c r="I333" s="2">
        <v>44699</v>
      </c>
      <c r="J333" s="1">
        <v>6.77</v>
      </c>
      <c r="K333" s="4">
        <f t="shared" si="10"/>
        <v>63.817404999999994</v>
      </c>
      <c r="L333" s="4">
        <f t="shared" si="11"/>
        <v>878.83259499999997</v>
      </c>
      <c r="O333">
        <v>1451</v>
      </c>
      <c r="P333">
        <v>44962</v>
      </c>
      <c r="Q333" t="str">
        <v>East</v>
      </c>
      <c r="R333" t="str">
        <v>Tablet</v>
      </c>
      <c r="S333" t="str">
        <v>Electronics</v>
      </c>
      <c r="T333">
        <v>1645.22</v>
      </c>
      <c r="U333" t="str">
        <v>Laurie Johnson</v>
      </c>
      <c r="V333">
        <v>27832</v>
      </c>
      <c r="W333">
        <v>44972</v>
      </c>
      <c r="X333">
        <v>7.75</v>
      </c>
      <c r="Y333">
        <v>127.50454999999999</v>
      </c>
      <c r="Z333">
        <v>1517.7154500000001</v>
      </c>
      <c r="AC333" t="str">
        <v>T-Shirt</v>
      </c>
      <c r="AD333">
        <v>1908.2656110000003</v>
      </c>
      <c r="AF333">
        <v>1449</v>
      </c>
      <c r="AG333" t="str">
        <v>Milk</v>
      </c>
      <c r="AH333">
        <v>1848.40607</v>
      </c>
    </row>
    <row r="334" spans="1:34" x14ac:dyDescent="0.3">
      <c r="A334" s="1">
        <v>1332</v>
      </c>
      <c r="B334" s="2">
        <v>44895</v>
      </c>
      <c r="C334" s="1" t="s">
        <v>35</v>
      </c>
      <c r="D334" s="1" t="s">
        <v>44</v>
      </c>
      <c r="E334" s="1" t="s">
        <v>16</v>
      </c>
      <c r="F334" s="1">
        <v>424.02</v>
      </c>
      <c r="G334" s="1" t="s">
        <v>231</v>
      </c>
      <c r="H334" s="2">
        <v>32047</v>
      </c>
      <c r="I334" s="2">
        <v>44899</v>
      </c>
      <c r="J334" s="1">
        <v>9.5</v>
      </c>
      <c r="K334" s="4">
        <f t="shared" si="10"/>
        <v>40.2819</v>
      </c>
      <c r="L334" s="4">
        <f t="shared" si="11"/>
        <v>383.73809999999997</v>
      </c>
      <c r="O334">
        <v>1452</v>
      </c>
      <c r="P334">
        <v>45342</v>
      </c>
      <c r="Q334" t="str">
        <v>East</v>
      </c>
      <c r="R334" t="str">
        <v>Laptop</v>
      </c>
      <c r="S334" t="str">
        <v>Electronics</v>
      </c>
      <c r="T334">
        <v>2271.75</v>
      </c>
      <c r="U334" t="str">
        <v>Andrea Mendez</v>
      </c>
      <c r="V334">
        <v>36236</v>
      </c>
      <c r="W334">
        <v>45348</v>
      </c>
      <c r="X334">
        <v>15.35</v>
      </c>
      <c r="Y334">
        <v>348.71362499999998</v>
      </c>
      <c r="Z334">
        <v>1923.0363750000001</v>
      </c>
      <c r="AC334" t="str">
        <v>Tablet</v>
      </c>
      <c r="AD334">
        <v>1517.7154500000001</v>
      </c>
      <c r="AF334">
        <v>1450</v>
      </c>
      <c r="AG334" t="str">
        <v>T-Shirt</v>
      </c>
      <c r="AH334">
        <v>1908.2656110000003</v>
      </c>
    </row>
    <row r="335" spans="1:34" x14ac:dyDescent="0.3">
      <c r="A335" s="1">
        <v>1333</v>
      </c>
      <c r="B335" s="2">
        <v>44309</v>
      </c>
      <c r="C335" s="1" t="s">
        <v>10</v>
      </c>
      <c r="D335" s="1" t="s">
        <v>18</v>
      </c>
      <c r="E335" s="1" t="s">
        <v>19</v>
      </c>
      <c r="F335" s="1">
        <v>244.84</v>
      </c>
      <c r="G335" s="1" t="s">
        <v>220</v>
      </c>
      <c r="H335" s="2">
        <v>30755</v>
      </c>
      <c r="I335" s="2">
        <v>44316</v>
      </c>
      <c r="J335" s="1">
        <v>1.56</v>
      </c>
      <c r="K335" s="4">
        <f t="shared" si="10"/>
        <v>3.8195040000000002</v>
      </c>
      <c r="L335" s="4">
        <f t="shared" si="11"/>
        <v>241.02049600000001</v>
      </c>
      <c r="O335">
        <v>1453</v>
      </c>
      <c r="P335">
        <v>45834</v>
      </c>
      <c r="Q335" t="str">
        <v>Central</v>
      </c>
      <c r="R335" t="str">
        <v>Oil</v>
      </c>
      <c r="S335" t="str">
        <v>Groceries</v>
      </c>
      <c r="T335">
        <v>2430.6999999999998</v>
      </c>
      <c r="U335" t="str">
        <v>Nicole Campbell</v>
      </c>
      <c r="V335">
        <v>30822</v>
      </c>
      <c r="W335">
        <v>45840</v>
      </c>
      <c r="X335">
        <v>45.83</v>
      </c>
      <c r="Y335">
        <v>1113.9898099999998</v>
      </c>
      <c r="Z335">
        <v>1316.71019</v>
      </c>
      <c r="AC335" t="str">
        <v>Laptop</v>
      </c>
      <c r="AD335">
        <v>1923.0363750000001</v>
      </c>
      <c r="AF335">
        <v>1451</v>
      </c>
      <c r="AG335" t="str">
        <v>Tablet</v>
      </c>
      <c r="AH335">
        <v>1517.7154500000001</v>
      </c>
    </row>
    <row r="336" spans="1:34" x14ac:dyDescent="0.3">
      <c r="A336" s="1">
        <v>1334</v>
      </c>
      <c r="B336" s="2">
        <v>45592</v>
      </c>
      <c r="C336" s="1" t="s">
        <v>35</v>
      </c>
      <c r="D336" s="1" t="s">
        <v>47</v>
      </c>
      <c r="E336" s="1" t="s">
        <v>12</v>
      </c>
      <c r="F336" s="1">
        <v>3700.28</v>
      </c>
      <c r="G336" s="1" t="s">
        <v>34</v>
      </c>
      <c r="H336" s="2">
        <v>25232</v>
      </c>
      <c r="I336" s="2">
        <v>45595</v>
      </c>
      <c r="J336" s="1">
        <v>26.68</v>
      </c>
      <c r="K336" s="4">
        <f t="shared" si="10"/>
        <v>987.23470399999997</v>
      </c>
      <c r="L336" s="4">
        <f t="shared" si="11"/>
        <v>2713.0452960000002</v>
      </c>
      <c r="O336">
        <v>1454</v>
      </c>
      <c r="P336">
        <v>45380</v>
      </c>
      <c r="Q336" t="str">
        <v>Central</v>
      </c>
      <c r="R336" t="str">
        <v>Tablet</v>
      </c>
      <c r="S336" t="str">
        <v>Electronics</v>
      </c>
      <c r="T336">
        <v>4543.08</v>
      </c>
      <c r="U336" t="str">
        <v>Lisa Clark</v>
      </c>
      <c r="V336">
        <v>27879</v>
      </c>
      <c r="W336">
        <v>45381</v>
      </c>
      <c r="X336">
        <v>41.7</v>
      </c>
      <c r="Y336">
        <v>1894.4643600000002</v>
      </c>
      <c r="Z336">
        <v>2648.61564</v>
      </c>
      <c r="AC336" t="str">
        <v>Oil</v>
      </c>
      <c r="AD336">
        <v>1316.71019</v>
      </c>
      <c r="AF336">
        <v>1452</v>
      </c>
      <c r="AG336" t="str">
        <v>Laptop</v>
      </c>
      <c r="AH336">
        <v>1923.0363750000001</v>
      </c>
    </row>
    <row r="337" spans="1:34" x14ac:dyDescent="0.3">
      <c r="A337" s="1">
        <v>1335</v>
      </c>
      <c r="B337" s="2">
        <v>44847</v>
      </c>
      <c r="C337" s="1" t="s">
        <v>14</v>
      </c>
      <c r="D337" s="1" t="s">
        <v>38</v>
      </c>
      <c r="E337" s="1" t="s">
        <v>28</v>
      </c>
      <c r="F337" s="1">
        <v>1052.02</v>
      </c>
      <c r="G337" s="1" t="s">
        <v>138</v>
      </c>
      <c r="H337" s="2">
        <v>25948</v>
      </c>
      <c r="I337" s="2">
        <v>44853</v>
      </c>
      <c r="J337" s="1">
        <v>14.14</v>
      </c>
      <c r="K337" s="4">
        <f t="shared" si="10"/>
        <v>148.755628</v>
      </c>
      <c r="L337" s="4">
        <f t="shared" si="11"/>
        <v>903.26437199999998</v>
      </c>
      <c r="O337">
        <v>1455</v>
      </c>
      <c r="P337">
        <v>45583</v>
      </c>
      <c r="Q337" t="str">
        <v>Central</v>
      </c>
      <c r="R337" t="str">
        <v>Chair</v>
      </c>
      <c r="S337" t="str">
        <v>Furniture</v>
      </c>
      <c r="T337">
        <v>4094.7</v>
      </c>
      <c r="U337" t="str">
        <v>Alyssa Schroeder</v>
      </c>
      <c r="V337">
        <v>34557</v>
      </c>
      <c r="W337">
        <v>45595</v>
      </c>
      <c r="X337">
        <v>11.99</v>
      </c>
      <c r="Y337">
        <v>490.95452999999998</v>
      </c>
      <c r="Z337">
        <v>3603.7454699999998</v>
      </c>
      <c r="AC337" t="str">
        <v>Tablet</v>
      </c>
      <c r="AD337">
        <v>2648.61564</v>
      </c>
      <c r="AF337">
        <v>1453</v>
      </c>
      <c r="AG337" t="str">
        <v>Oil</v>
      </c>
      <c r="AH337">
        <v>1316.71019</v>
      </c>
    </row>
    <row r="338" spans="1:34" x14ac:dyDescent="0.3">
      <c r="A338" s="1">
        <v>1336</v>
      </c>
      <c r="B338" s="2">
        <v>44315</v>
      </c>
      <c r="C338" s="1" t="s">
        <v>26</v>
      </c>
      <c r="D338" s="1" t="s">
        <v>36</v>
      </c>
      <c r="E338" s="1" t="s">
        <v>28</v>
      </c>
      <c r="F338" s="1">
        <v>1662.88</v>
      </c>
      <c r="G338" s="1" t="s">
        <v>209</v>
      </c>
      <c r="H338" s="2">
        <v>28522</v>
      </c>
      <c r="I338" s="2">
        <v>44317</v>
      </c>
      <c r="J338" s="1">
        <v>21.09</v>
      </c>
      <c r="K338" s="4">
        <f t="shared" si="10"/>
        <v>350.70139200000006</v>
      </c>
      <c r="L338" s="4">
        <f t="shared" si="11"/>
        <v>1312.1786080000002</v>
      </c>
      <c r="O338">
        <v>1457</v>
      </c>
      <c r="P338">
        <v>44901</v>
      </c>
      <c r="Q338" t="str">
        <v>North</v>
      </c>
      <c r="R338" t="str">
        <v>Football</v>
      </c>
      <c r="S338" t="str">
        <v>Sports</v>
      </c>
      <c r="T338">
        <v>4913.41</v>
      </c>
      <c r="U338" t="str">
        <v>Samuel Humphrey</v>
      </c>
      <c r="V338">
        <v>30887</v>
      </c>
      <c r="W338">
        <v>44903</v>
      </c>
      <c r="X338">
        <v>20.73</v>
      </c>
      <c r="Y338">
        <v>1018.549893</v>
      </c>
      <c r="Z338">
        <v>3894.860107</v>
      </c>
      <c r="AC338" t="str">
        <v>Chair</v>
      </c>
      <c r="AD338">
        <v>3603.7454699999998</v>
      </c>
      <c r="AF338">
        <v>1454</v>
      </c>
      <c r="AG338" t="str">
        <v>Tablet</v>
      </c>
      <c r="AH338">
        <v>2648.61564</v>
      </c>
    </row>
    <row r="339" spans="1:34" x14ac:dyDescent="0.3">
      <c r="A339" s="1">
        <v>1337</v>
      </c>
      <c r="B339" s="2">
        <v>44275</v>
      </c>
      <c r="C339" s="1" t="s">
        <v>21</v>
      </c>
      <c r="D339" s="1" t="s">
        <v>49</v>
      </c>
      <c r="E339" s="1" t="s">
        <v>12</v>
      </c>
      <c r="F339" s="1">
        <v>1024.96</v>
      </c>
      <c r="G339" s="1" t="s">
        <v>105</v>
      </c>
      <c r="H339" s="2">
        <v>35889</v>
      </c>
      <c r="I339" s="2">
        <v>44288</v>
      </c>
      <c r="J339" s="1">
        <v>49.68</v>
      </c>
      <c r="K339" s="4">
        <f t="shared" si="10"/>
        <v>509.20012800000006</v>
      </c>
      <c r="L339" s="4">
        <f t="shared" si="11"/>
        <v>515.75987199999997</v>
      </c>
      <c r="O339">
        <v>1458</v>
      </c>
      <c r="P339">
        <v>45343</v>
      </c>
      <c r="Q339" t="str">
        <v>North</v>
      </c>
      <c r="R339" t="str">
        <v>Jacket</v>
      </c>
      <c r="S339" t="str">
        <v>Clothing</v>
      </c>
      <c r="T339">
        <v>4584.32</v>
      </c>
      <c r="U339" t="str">
        <v>Garrett Delgado</v>
      </c>
      <c r="V339">
        <v>38510</v>
      </c>
      <c r="W339">
        <v>45349</v>
      </c>
      <c r="X339">
        <v>4.4800000000000004</v>
      </c>
      <c r="Y339">
        <v>205.37753600000002</v>
      </c>
      <c r="Z339">
        <v>4378.9424639999997</v>
      </c>
      <c r="AC339" t="str">
        <v>Football</v>
      </c>
      <c r="AD339">
        <v>3894.860107</v>
      </c>
      <c r="AF339">
        <v>1455</v>
      </c>
      <c r="AG339" t="str">
        <v>Chair</v>
      </c>
      <c r="AH339">
        <v>3603.7454699999998</v>
      </c>
    </row>
    <row r="340" spans="1:34" x14ac:dyDescent="0.3">
      <c r="A340" s="1">
        <v>1338</v>
      </c>
      <c r="B340" s="2">
        <v>45729</v>
      </c>
      <c r="C340" s="1" t="s">
        <v>10</v>
      </c>
      <c r="D340" s="1" t="s">
        <v>22</v>
      </c>
      <c r="E340" s="1" t="s">
        <v>19</v>
      </c>
      <c r="F340" s="1">
        <v>2900.29</v>
      </c>
      <c r="G340" s="1" t="s">
        <v>234</v>
      </c>
      <c r="H340" s="2">
        <v>24368</v>
      </c>
      <c r="I340" s="2">
        <v>45739</v>
      </c>
      <c r="J340" s="1">
        <v>39.72</v>
      </c>
      <c r="K340" s="4">
        <f t="shared" si="10"/>
        <v>1151.9951879999999</v>
      </c>
      <c r="L340" s="4">
        <f t="shared" si="11"/>
        <v>1748.2948120000001</v>
      </c>
      <c r="O340">
        <v>1460</v>
      </c>
      <c r="P340">
        <v>45646</v>
      </c>
      <c r="Q340" t="str">
        <v>South</v>
      </c>
      <c r="R340" t="str">
        <v>Basketball</v>
      </c>
      <c r="S340" t="str">
        <v>Sports</v>
      </c>
      <c r="T340">
        <v>1781.6</v>
      </c>
      <c r="U340" t="str">
        <v>Timothy Mueller</v>
      </c>
      <c r="V340">
        <v>22315</v>
      </c>
      <c r="W340">
        <v>45652</v>
      </c>
      <c r="X340">
        <v>25.14</v>
      </c>
      <c r="Y340">
        <v>447.89424000000002</v>
      </c>
      <c r="Z340">
        <v>1333.7057599999998</v>
      </c>
      <c r="AC340" t="str">
        <v>Jacket</v>
      </c>
      <c r="AD340">
        <v>4378.9424639999997</v>
      </c>
      <c r="AF340">
        <v>1457</v>
      </c>
      <c r="AG340" t="str">
        <v>Football</v>
      </c>
      <c r="AH340">
        <v>3894.860107</v>
      </c>
    </row>
    <row r="341" spans="1:34" x14ac:dyDescent="0.3">
      <c r="A341" s="1">
        <v>1339</v>
      </c>
      <c r="B341" s="2">
        <v>45567</v>
      </c>
      <c r="C341" s="1" t="s">
        <v>10</v>
      </c>
      <c r="D341" s="1" t="s">
        <v>73</v>
      </c>
      <c r="E341" s="1" t="s">
        <v>28</v>
      </c>
      <c r="F341" s="1">
        <v>3000.01</v>
      </c>
      <c r="G341" s="1" t="s">
        <v>244</v>
      </c>
      <c r="H341" s="2">
        <v>30356</v>
      </c>
      <c r="I341" s="2">
        <v>45578</v>
      </c>
      <c r="J341" s="1">
        <v>41.02</v>
      </c>
      <c r="K341" s="4">
        <f t="shared" si="10"/>
        <v>1230.604102</v>
      </c>
      <c r="L341" s="4">
        <f t="shared" si="11"/>
        <v>1769.4058980000002</v>
      </c>
      <c r="O341">
        <v>1461</v>
      </c>
      <c r="P341">
        <v>44214</v>
      </c>
      <c r="Q341" t="str">
        <v>South</v>
      </c>
      <c r="R341" t="str">
        <v>Oil</v>
      </c>
      <c r="S341" t="str">
        <v>Groceries</v>
      </c>
      <c r="T341">
        <v>2176.2399999999998</v>
      </c>
      <c r="U341" t="str">
        <v>Melanie Shaffer</v>
      </c>
      <c r="V341">
        <v>37858</v>
      </c>
      <c r="W341">
        <v>44215</v>
      </c>
      <c r="X341">
        <v>21.69</v>
      </c>
      <c r="Y341">
        <v>472.026456</v>
      </c>
      <c r="Z341">
        <v>1704.2135439999997</v>
      </c>
      <c r="AC341" t="str">
        <v>Basketball</v>
      </c>
      <c r="AD341">
        <v>1333.7057599999998</v>
      </c>
      <c r="AF341">
        <v>1458</v>
      </c>
      <c r="AG341" t="str">
        <v>Jacket</v>
      </c>
      <c r="AH341">
        <v>4378.9424639999997</v>
      </c>
    </row>
    <row r="342" spans="1:34" x14ac:dyDescent="0.3">
      <c r="A342" s="1">
        <v>1340</v>
      </c>
      <c r="B342" s="2">
        <v>44612</v>
      </c>
      <c r="C342" s="1" t="s">
        <v>14</v>
      </c>
      <c r="D342" s="1" t="s">
        <v>33</v>
      </c>
      <c r="E342" s="1" t="s">
        <v>16</v>
      </c>
      <c r="F342" s="1">
        <v>3840.17</v>
      </c>
      <c r="G342" s="1" t="s">
        <v>245</v>
      </c>
      <c r="H342" s="2">
        <v>32205</v>
      </c>
      <c r="I342" s="2">
        <v>44622</v>
      </c>
      <c r="J342" s="1">
        <v>29.9</v>
      </c>
      <c r="K342" s="4">
        <f t="shared" si="10"/>
        <v>1148.21083</v>
      </c>
      <c r="L342" s="4">
        <f t="shared" si="11"/>
        <v>2691.9591700000001</v>
      </c>
      <c r="O342">
        <v>1462</v>
      </c>
      <c r="P342">
        <v>45270</v>
      </c>
      <c r="Q342" t="str">
        <v>South</v>
      </c>
      <c r="R342" t="str">
        <v>Rice</v>
      </c>
      <c r="S342" t="str">
        <v>Groceries</v>
      </c>
      <c r="T342">
        <v>2972.65</v>
      </c>
      <c r="U342" t="str">
        <v>Mrs. Rebecca Young</v>
      </c>
      <c r="V342">
        <v>30820</v>
      </c>
      <c r="W342">
        <v>45283</v>
      </c>
      <c r="X342">
        <v>44.56</v>
      </c>
      <c r="Y342">
        <v>1324.61284</v>
      </c>
      <c r="Z342">
        <v>1648.0371600000001</v>
      </c>
      <c r="AC342" t="str">
        <v>Oil</v>
      </c>
      <c r="AD342">
        <v>1704.2135439999997</v>
      </c>
      <c r="AF342">
        <v>1460</v>
      </c>
      <c r="AG342" t="str">
        <v>Basketball</v>
      </c>
      <c r="AH342">
        <v>1333.7057599999998</v>
      </c>
    </row>
    <row r="343" spans="1:34" x14ac:dyDescent="0.3">
      <c r="A343" s="1">
        <v>1341</v>
      </c>
      <c r="B343" s="2">
        <v>45522</v>
      </c>
      <c r="C343" s="1" t="s">
        <v>26</v>
      </c>
      <c r="D343" s="1" t="s">
        <v>38</v>
      </c>
      <c r="E343" s="1" t="s">
        <v>28</v>
      </c>
      <c r="F343" s="1">
        <v>1977.54</v>
      </c>
      <c r="G343" s="1" t="s">
        <v>111</v>
      </c>
      <c r="H343" s="2">
        <v>34704</v>
      </c>
      <c r="I343" s="2">
        <v>45535</v>
      </c>
      <c r="J343" s="1">
        <v>36.68</v>
      </c>
      <c r="K343" s="4">
        <f t="shared" si="10"/>
        <v>725.361672</v>
      </c>
      <c r="L343" s="4">
        <f t="shared" si="11"/>
        <v>1252.178328</v>
      </c>
      <c r="O343">
        <v>1463</v>
      </c>
      <c r="P343">
        <v>45786</v>
      </c>
      <c r="Q343" t="str">
        <v>Central</v>
      </c>
      <c r="R343" t="str">
        <v>Shoes</v>
      </c>
      <c r="S343" t="str">
        <v>Clothing</v>
      </c>
      <c r="T343">
        <v>4085.17</v>
      </c>
      <c r="U343" t="str">
        <v>Barbara Thomas</v>
      </c>
      <c r="V343">
        <v>35224</v>
      </c>
      <c r="W343">
        <v>45797</v>
      </c>
      <c r="X343">
        <v>9.56</v>
      </c>
      <c r="Y343">
        <v>390.54225200000002</v>
      </c>
      <c r="Z343">
        <v>3694.6277479999999</v>
      </c>
      <c r="AC343" t="str">
        <v>Rice</v>
      </c>
      <c r="AD343">
        <v>1648.0371600000001</v>
      </c>
      <c r="AF343">
        <v>1461</v>
      </c>
      <c r="AG343" t="str">
        <v>Oil</v>
      </c>
      <c r="AH343">
        <v>1704.2135439999997</v>
      </c>
    </row>
    <row r="344" spans="1:34" x14ac:dyDescent="0.3">
      <c r="A344" s="1">
        <v>1342</v>
      </c>
      <c r="B344" s="2">
        <v>45804</v>
      </c>
      <c r="C344" s="1" t="s">
        <v>35</v>
      </c>
      <c r="D344" s="1" t="s">
        <v>58</v>
      </c>
      <c r="E344" s="1" t="s">
        <v>31</v>
      </c>
      <c r="F344" s="1">
        <v>1543.72</v>
      </c>
      <c r="G344" s="1" t="s">
        <v>246</v>
      </c>
      <c r="H344" s="2">
        <v>25815</v>
      </c>
      <c r="I344" s="2">
        <v>45812</v>
      </c>
      <c r="J344" s="1">
        <v>38.58</v>
      </c>
      <c r="K344" s="4">
        <f t="shared" si="10"/>
        <v>595.56717600000002</v>
      </c>
      <c r="L344" s="4">
        <f t="shared" si="11"/>
        <v>948.15282400000001</v>
      </c>
      <c r="O344">
        <v>1465</v>
      </c>
      <c r="P344">
        <v>44609</v>
      </c>
      <c r="Q344" t="str">
        <v>South</v>
      </c>
      <c r="R344" t="str">
        <v>Cricket Bat</v>
      </c>
      <c r="S344" t="str">
        <v>Sports</v>
      </c>
      <c r="T344">
        <v>2924.35</v>
      </c>
      <c r="U344" t="str">
        <v>Randy Burke</v>
      </c>
      <c r="V344">
        <v>38693</v>
      </c>
      <c r="W344">
        <v>44610</v>
      </c>
      <c r="X344">
        <v>27.69</v>
      </c>
      <c r="Y344">
        <v>809.75251500000013</v>
      </c>
      <c r="Z344">
        <v>2114.5974849999998</v>
      </c>
      <c r="AC344" t="str">
        <v>Shoes</v>
      </c>
      <c r="AD344">
        <v>3694.6277479999999</v>
      </c>
      <c r="AF344">
        <v>1462</v>
      </c>
      <c r="AG344" t="str">
        <v>Rice</v>
      </c>
      <c r="AH344">
        <v>1648.0371600000001</v>
      </c>
    </row>
    <row r="345" spans="1:34" x14ac:dyDescent="0.3">
      <c r="A345" s="1">
        <v>1343</v>
      </c>
      <c r="B345" s="2">
        <v>44168</v>
      </c>
      <c r="C345" s="1" t="s">
        <v>14</v>
      </c>
      <c r="D345" s="1" t="s">
        <v>65</v>
      </c>
      <c r="E345" s="1" t="s">
        <v>19</v>
      </c>
      <c r="F345" s="1">
        <v>252.14</v>
      </c>
      <c r="G345" s="1" t="s">
        <v>199</v>
      </c>
      <c r="H345" s="2">
        <v>25341</v>
      </c>
      <c r="I345" s="2">
        <v>44173</v>
      </c>
      <c r="J345" s="1">
        <v>27.23</v>
      </c>
      <c r="K345" s="4">
        <f t="shared" si="10"/>
        <v>68.657721999999993</v>
      </c>
      <c r="L345" s="4">
        <f t="shared" si="11"/>
        <v>183.48227800000001</v>
      </c>
      <c r="O345">
        <v>1467</v>
      </c>
      <c r="P345">
        <v>44414</v>
      </c>
      <c r="Q345" t="str">
        <v>East</v>
      </c>
      <c r="R345" t="str">
        <v>Jacket</v>
      </c>
      <c r="S345" t="str">
        <v>Clothing</v>
      </c>
      <c r="T345">
        <v>3973.82</v>
      </c>
      <c r="U345" t="str">
        <v>Vincent Wiggins</v>
      </c>
      <c r="V345">
        <v>26671</v>
      </c>
      <c r="W345">
        <v>44423</v>
      </c>
      <c r="X345">
        <v>32.340000000000003</v>
      </c>
      <c r="Y345">
        <v>1285.1333880000002</v>
      </c>
      <c r="Z345">
        <v>2688.686612</v>
      </c>
      <c r="AC345" t="str">
        <v>Cricket Bat</v>
      </c>
      <c r="AD345">
        <v>2114.5974849999998</v>
      </c>
      <c r="AF345">
        <v>1463</v>
      </c>
      <c r="AG345" t="str">
        <v>Shoes</v>
      </c>
      <c r="AH345">
        <v>3694.6277479999999</v>
      </c>
    </row>
    <row r="346" spans="1:34" x14ac:dyDescent="0.3">
      <c r="A346" s="1">
        <v>1344</v>
      </c>
      <c r="B346" s="2">
        <v>44979</v>
      </c>
      <c r="C346" s="1" t="s">
        <v>26</v>
      </c>
      <c r="D346" s="1" t="s">
        <v>73</v>
      </c>
      <c r="E346" s="1" t="s">
        <v>28</v>
      </c>
      <c r="F346" s="1">
        <v>628.79</v>
      </c>
      <c r="G346" s="1" t="s">
        <v>75</v>
      </c>
      <c r="H346" s="2">
        <v>25853</v>
      </c>
      <c r="I346" s="2">
        <v>44985</v>
      </c>
      <c r="J346" s="1">
        <v>0.26</v>
      </c>
      <c r="K346" s="4">
        <f t="shared" si="10"/>
        <v>1.6348539999999998</v>
      </c>
      <c r="L346" s="4">
        <f t="shared" si="11"/>
        <v>627.15514599999995</v>
      </c>
      <c r="O346">
        <v>1468</v>
      </c>
      <c r="P346">
        <v>45292</v>
      </c>
      <c r="Q346" t="str">
        <v>West</v>
      </c>
      <c r="R346" t="str">
        <v>Smartphone</v>
      </c>
      <c r="S346" t="str">
        <v>Electronics</v>
      </c>
      <c r="T346">
        <v>3282.15</v>
      </c>
      <c r="U346" t="str">
        <v>Zachary Franklin</v>
      </c>
      <c r="V346">
        <v>25166</v>
      </c>
      <c r="W346">
        <v>45294</v>
      </c>
      <c r="X346">
        <v>46.01</v>
      </c>
      <c r="Y346">
        <v>1510.117215</v>
      </c>
      <c r="Z346">
        <v>1772.0327850000001</v>
      </c>
      <c r="AC346" t="str">
        <v>Jacket</v>
      </c>
      <c r="AD346">
        <v>2688.686612</v>
      </c>
      <c r="AF346">
        <v>1465</v>
      </c>
      <c r="AG346" t="str">
        <v>Cricket Bat</v>
      </c>
      <c r="AH346">
        <v>2114.5974849999998</v>
      </c>
    </row>
    <row r="347" spans="1:34" x14ac:dyDescent="0.3">
      <c r="A347" s="1">
        <v>1345</v>
      </c>
      <c r="B347" s="2">
        <v>44608</v>
      </c>
      <c r="C347" s="1" t="s">
        <v>21</v>
      </c>
      <c r="D347" s="1" t="s">
        <v>102</v>
      </c>
      <c r="E347" s="1" t="s">
        <v>12</v>
      </c>
      <c r="F347" s="1">
        <v>3013.18</v>
      </c>
      <c r="G347" s="1" t="s">
        <v>170</v>
      </c>
      <c r="H347" s="2">
        <v>34205</v>
      </c>
      <c r="I347" s="2">
        <v>44616</v>
      </c>
      <c r="J347" s="1">
        <v>30.1</v>
      </c>
      <c r="K347" s="4">
        <f t="shared" si="10"/>
        <v>906.96717999999987</v>
      </c>
      <c r="L347" s="4">
        <f t="shared" si="11"/>
        <v>2106.2128199999997</v>
      </c>
      <c r="O347">
        <v>1470</v>
      </c>
      <c r="P347">
        <v>45209</v>
      </c>
      <c r="Q347" t="str">
        <v>North</v>
      </c>
      <c r="R347" t="str">
        <v>Wardrobe</v>
      </c>
      <c r="S347" t="str">
        <v>Furniture</v>
      </c>
      <c r="T347">
        <v>1541</v>
      </c>
      <c r="U347" t="str">
        <v>Zachary Anthony</v>
      </c>
      <c r="V347">
        <v>34704</v>
      </c>
      <c r="W347">
        <v>45222</v>
      </c>
      <c r="X347">
        <v>33.85</v>
      </c>
      <c r="Y347">
        <v>521.62850000000003</v>
      </c>
      <c r="Z347">
        <v>1019.3715</v>
      </c>
      <c r="AC347" t="str">
        <v>Smartphone</v>
      </c>
      <c r="AD347">
        <v>1772.0327850000001</v>
      </c>
      <c r="AF347">
        <v>1467</v>
      </c>
      <c r="AG347" t="str">
        <v>Jacket</v>
      </c>
      <c r="AH347">
        <v>2688.686612</v>
      </c>
    </row>
    <row r="348" spans="1:34" x14ac:dyDescent="0.3">
      <c r="A348" s="1">
        <v>1346</v>
      </c>
      <c r="B348" s="2">
        <v>44107</v>
      </c>
      <c r="C348" s="1" t="s">
        <v>26</v>
      </c>
      <c r="D348" s="1" t="s">
        <v>47</v>
      </c>
      <c r="E348" s="1" t="s">
        <v>12</v>
      </c>
      <c r="F348" s="1">
        <v>2617.19</v>
      </c>
      <c r="G348" s="1" t="s">
        <v>94</v>
      </c>
      <c r="H348" s="2">
        <v>25516</v>
      </c>
      <c r="I348" s="2">
        <v>44110</v>
      </c>
      <c r="J348" s="1">
        <v>16.489999999999998</v>
      </c>
      <c r="K348" s="4">
        <f t="shared" si="10"/>
        <v>431.57463100000001</v>
      </c>
      <c r="L348" s="4">
        <f t="shared" si="11"/>
        <v>2185.6153690000001</v>
      </c>
      <c r="O348">
        <v>1471</v>
      </c>
      <c r="P348">
        <v>45744</v>
      </c>
      <c r="Q348" t="str">
        <v>West</v>
      </c>
      <c r="R348" t="str">
        <v>Headphones</v>
      </c>
      <c r="S348" t="str">
        <v>Electronics</v>
      </c>
      <c r="T348">
        <v>2582.08</v>
      </c>
      <c r="U348" t="str">
        <v>Melissa Hubbard</v>
      </c>
      <c r="V348">
        <v>31231</v>
      </c>
      <c r="W348">
        <v>45752</v>
      </c>
      <c r="X348">
        <v>38.43</v>
      </c>
      <c r="Y348">
        <v>992.29334399999993</v>
      </c>
      <c r="Z348">
        <v>1589.786656</v>
      </c>
      <c r="AC348" t="str">
        <v>Wardrobe</v>
      </c>
      <c r="AD348">
        <v>1019.3715</v>
      </c>
      <c r="AF348">
        <v>1468</v>
      </c>
      <c r="AG348" t="str">
        <v>Smartphone</v>
      </c>
      <c r="AH348">
        <v>1772.0327850000001</v>
      </c>
    </row>
    <row r="349" spans="1:34" x14ac:dyDescent="0.3">
      <c r="A349" s="1">
        <v>1347</v>
      </c>
      <c r="B349" s="2">
        <v>45525</v>
      </c>
      <c r="C349" s="1" t="s">
        <v>26</v>
      </c>
      <c r="D349" s="1" t="s">
        <v>24</v>
      </c>
      <c r="E349" s="1" t="s">
        <v>19</v>
      </c>
      <c r="F349" s="1">
        <v>4991.8599999999997</v>
      </c>
      <c r="G349" s="1" t="s">
        <v>153</v>
      </c>
      <c r="H349" s="2">
        <v>36216</v>
      </c>
      <c r="I349" s="2">
        <v>45527</v>
      </c>
      <c r="J349" s="1">
        <v>21.77</v>
      </c>
      <c r="K349" s="4">
        <f t="shared" si="10"/>
        <v>1086.727922</v>
      </c>
      <c r="L349" s="4">
        <f t="shared" si="11"/>
        <v>3905.1320779999996</v>
      </c>
      <c r="O349">
        <v>1472</v>
      </c>
      <c r="P349">
        <v>45397</v>
      </c>
      <c r="Q349" t="str">
        <v>Central</v>
      </c>
      <c r="R349" t="str">
        <v>Basketball</v>
      </c>
      <c r="S349" t="str">
        <v>Sports</v>
      </c>
      <c r="T349">
        <v>4856.3100000000004</v>
      </c>
      <c r="U349" t="str">
        <v>Holly Wolfe</v>
      </c>
      <c r="V349">
        <v>38934</v>
      </c>
      <c r="W349">
        <v>45405</v>
      </c>
      <c r="X349">
        <v>11.87</v>
      </c>
      <c r="Y349">
        <v>576.44399699999997</v>
      </c>
      <c r="Z349">
        <v>4279.8660030000001</v>
      </c>
      <c r="AC349" t="str">
        <v>Headphones</v>
      </c>
      <c r="AD349">
        <v>1589.786656</v>
      </c>
      <c r="AF349">
        <v>1470</v>
      </c>
      <c r="AG349" t="str">
        <v>Wardrobe</v>
      </c>
      <c r="AH349">
        <v>1019.3715</v>
      </c>
    </row>
    <row r="350" spans="1:34" x14ac:dyDescent="0.3">
      <c r="A350" s="1">
        <v>1348</v>
      </c>
      <c r="B350" s="2">
        <v>45264</v>
      </c>
      <c r="C350" s="1" t="s">
        <v>10</v>
      </c>
      <c r="D350" s="1" t="s">
        <v>55</v>
      </c>
      <c r="E350" s="1" t="s">
        <v>31</v>
      </c>
      <c r="F350" s="1">
        <v>2795.27</v>
      </c>
      <c r="G350" s="1" t="s">
        <v>238</v>
      </c>
      <c r="H350" s="2">
        <v>31880</v>
      </c>
      <c r="I350" s="2">
        <v>45278</v>
      </c>
      <c r="J350" s="1">
        <v>43.19</v>
      </c>
      <c r="K350" s="4">
        <f t="shared" si="10"/>
        <v>1207.2771129999999</v>
      </c>
      <c r="L350" s="4">
        <f t="shared" si="11"/>
        <v>1587.9928870000001</v>
      </c>
      <c r="O350">
        <v>1473</v>
      </c>
      <c r="P350">
        <v>44625</v>
      </c>
      <c r="Q350" t="str">
        <v>East</v>
      </c>
      <c r="R350" t="str">
        <v>Tennis Racket</v>
      </c>
      <c r="S350" t="str">
        <v>Sports</v>
      </c>
      <c r="T350">
        <v>3734</v>
      </c>
      <c r="U350" t="str">
        <v>Holly Wolfe</v>
      </c>
      <c r="V350">
        <v>38934</v>
      </c>
      <c r="W350">
        <v>44634</v>
      </c>
      <c r="X350">
        <v>37.909999999999997</v>
      </c>
      <c r="Y350">
        <v>1415.5593999999999</v>
      </c>
      <c r="Z350">
        <v>2318.4405999999999</v>
      </c>
      <c r="AC350" t="str">
        <v>Basketball</v>
      </c>
      <c r="AD350">
        <v>4279.8660030000001</v>
      </c>
      <c r="AF350">
        <v>1471</v>
      </c>
      <c r="AG350" t="str">
        <v>Headphones</v>
      </c>
      <c r="AH350">
        <v>1589.786656</v>
      </c>
    </row>
    <row r="351" spans="1:34" x14ac:dyDescent="0.3">
      <c r="A351" s="1">
        <v>1349</v>
      </c>
      <c r="B351" s="2">
        <v>44754</v>
      </c>
      <c r="C351" s="1" t="s">
        <v>21</v>
      </c>
      <c r="D351" s="1" t="s">
        <v>49</v>
      </c>
      <c r="E351" s="1" t="s">
        <v>12</v>
      </c>
      <c r="F351" s="1">
        <v>488.93</v>
      </c>
      <c r="G351" s="1" t="s">
        <v>56</v>
      </c>
      <c r="H351" s="2">
        <v>25712</v>
      </c>
      <c r="I351" s="2">
        <v>44764</v>
      </c>
      <c r="J351" s="1">
        <v>42.37</v>
      </c>
      <c r="K351" s="4">
        <f t="shared" si="10"/>
        <v>207.15964099999999</v>
      </c>
      <c r="L351" s="4">
        <f t="shared" si="11"/>
        <v>281.77035899999998</v>
      </c>
      <c r="O351">
        <v>1475</v>
      </c>
      <c r="P351">
        <v>45168</v>
      </c>
      <c r="Q351" t="str">
        <v>North</v>
      </c>
      <c r="R351" t="str">
        <v>Oil</v>
      </c>
      <c r="S351" t="str">
        <v>Groceries</v>
      </c>
      <c r="T351">
        <v>4233.49</v>
      </c>
      <c r="U351" t="str">
        <v>Benjamin Travis</v>
      </c>
      <c r="V351">
        <v>33354</v>
      </c>
      <c r="W351">
        <v>45172</v>
      </c>
      <c r="X351">
        <v>48.48</v>
      </c>
      <c r="Y351">
        <v>2052.3959519999999</v>
      </c>
      <c r="Z351">
        <v>2181.0940479999999</v>
      </c>
      <c r="AC351" t="str">
        <v>Tennis Racket</v>
      </c>
      <c r="AD351">
        <v>2318.4405999999999</v>
      </c>
      <c r="AF351">
        <v>1472</v>
      </c>
      <c r="AG351" t="str">
        <v>Basketball</v>
      </c>
      <c r="AH351">
        <v>4279.8660030000001</v>
      </c>
    </row>
    <row r="352" spans="1:34" x14ac:dyDescent="0.3">
      <c r="A352" s="1">
        <v>1350</v>
      </c>
      <c r="B352" s="2">
        <v>45834</v>
      </c>
      <c r="C352" s="1" t="s">
        <v>14</v>
      </c>
      <c r="D352" s="1" t="s">
        <v>69</v>
      </c>
      <c r="E352" s="1" t="s">
        <v>12</v>
      </c>
      <c r="F352" s="1">
        <v>1668.13</v>
      </c>
      <c r="G352" s="1" t="s">
        <v>234</v>
      </c>
      <c r="H352" s="2">
        <v>24368</v>
      </c>
      <c r="I352" s="2">
        <v>45845</v>
      </c>
      <c r="J352" s="1">
        <v>2.87</v>
      </c>
      <c r="K352" s="4">
        <f t="shared" si="10"/>
        <v>47.875331000000003</v>
      </c>
      <c r="L352" s="4">
        <f t="shared" si="11"/>
        <v>1620.2546690000001</v>
      </c>
      <c r="O352">
        <v>1477</v>
      </c>
      <c r="P352">
        <v>44919</v>
      </c>
      <c r="Q352" t="str">
        <v>Central</v>
      </c>
      <c r="R352" t="str">
        <v>Headphones</v>
      </c>
      <c r="S352" t="str">
        <v>Electronics</v>
      </c>
      <c r="T352">
        <v>4592.13</v>
      </c>
      <c r="U352" t="str">
        <v>Colin White</v>
      </c>
      <c r="V352">
        <v>34345</v>
      </c>
      <c r="W352">
        <v>44925</v>
      </c>
      <c r="X352">
        <v>11.9</v>
      </c>
      <c r="Y352">
        <v>546.46347000000003</v>
      </c>
      <c r="Z352">
        <v>4045.66653</v>
      </c>
      <c r="AC352" t="str">
        <v>Oil</v>
      </c>
      <c r="AD352">
        <v>2181.0940479999999</v>
      </c>
      <c r="AF352">
        <v>1473</v>
      </c>
      <c r="AG352" t="str">
        <v>Tennis Racket</v>
      </c>
      <c r="AH352">
        <v>2318.4405999999999</v>
      </c>
    </row>
    <row r="353" spans="1:34" x14ac:dyDescent="0.3">
      <c r="A353" s="1">
        <v>1351</v>
      </c>
      <c r="B353" s="2">
        <v>45729</v>
      </c>
      <c r="C353" s="1" t="s">
        <v>14</v>
      </c>
      <c r="D353" s="1" t="s">
        <v>33</v>
      </c>
      <c r="E353" s="1" t="s">
        <v>16</v>
      </c>
      <c r="F353" s="1">
        <v>4136.7</v>
      </c>
      <c r="G353" s="1" t="s">
        <v>247</v>
      </c>
      <c r="H353" s="2">
        <v>23735</v>
      </c>
      <c r="I353" s="2">
        <v>45732</v>
      </c>
      <c r="J353" s="1">
        <v>23.42</v>
      </c>
      <c r="K353" s="4">
        <f t="shared" si="10"/>
        <v>968.81514000000004</v>
      </c>
      <c r="L353" s="4">
        <f t="shared" si="11"/>
        <v>3167.8848599999997</v>
      </c>
      <c r="O353">
        <v>1478</v>
      </c>
      <c r="P353">
        <v>44951</v>
      </c>
      <c r="Q353" t="str">
        <v>Central</v>
      </c>
      <c r="R353" t="str">
        <v>Oil</v>
      </c>
      <c r="S353" t="str">
        <v>Groceries</v>
      </c>
      <c r="T353">
        <v>3161.42</v>
      </c>
      <c r="U353" t="str">
        <v>William Robles</v>
      </c>
      <c r="V353">
        <v>30786</v>
      </c>
      <c r="W353">
        <v>44952</v>
      </c>
      <c r="X353">
        <v>47.23</v>
      </c>
      <c r="Y353">
        <v>1493.1386659999998</v>
      </c>
      <c r="Z353">
        <v>1668.2813340000002</v>
      </c>
      <c r="AC353" t="str">
        <v>Headphones</v>
      </c>
      <c r="AD353">
        <v>4045.66653</v>
      </c>
      <c r="AF353">
        <v>1475</v>
      </c>
      <c r="AG353" t="str">
        <v>Oil</v>
      </c>
      <c r="AH353">
        <v>2181.0940479999999</v>
      </c>
    </row>
    <row r="354" spans="1:34" x14ac:dyDescent="0.3">
      <c r="A354" s="1">
        <v>1352</v>
      </c>
      <c r="B354" s="2">
        <v>45140</v>
      </c>
      <c r="C354" s="1" t="s">
        <v>10</v>
      </c>
      <c r="D354" s="1" t="s">
        <v>58</v>
      </c>
      <c r="E354" s="1" t="s">
        <v>31</v>
      </c>
      <c r="F354" s="1">
        <v>4005.07</v>
      </c>
      <c r="G354" s="1" t="s">
        <v>248</v>
      </c>
      <c r="H354" s="2">
        <v>32685</v>
      </c>
      <c r="I354" s="2">
        <v>45143</v>
      </c>
      <c r="J354" s="1">
        <v>41.83</v>
      </c>
      <c r="K354" s="4">
        <f t="shared" si="10"/>
        <v>1675.3207810000001</v>
      </c>
      <c r="L354" s="4">
        <f t="shared" si="11"/>
        <v>2329.7492190000003</v>
      </c>
      <c r="O354">
        <v>1480</v>
      </c>
      <c r="P354">
        <v>45117</v>
      </c>
      <c r="Q354" t="str">
        <v>North</v>
      </c>
      <c r="R354" t="str">
        <v>Cricket Bat</v>
      </c>
      <c r="S354" t="str">
        <v>Sports</v>
      </c>
      <c r="T354">
        <v>4459.7700000000004</v>
      </c>
      <c r="U354" t="str">
        <v>Cynthia Brown</v>
      </c>
      <c r="V354">
        <v>35407</v>
      </c>
      <c r="W354">
        <v>45127</v>
      </c>
      <c r="X354">
        <v>48.71</v>
      </c>
      <c r="Y354">
        <v>2172.3539670000005</v>
      </c>
      <c r="Z354">
        <v>2287.416033</v>
      </c>
      <c r="AC354" t="str">
        <v>Oil</v>
      </c>
      <c r="AD354">
        <v>1668.2813340000002</v>
      </c>
      <c r="AF354">
        <v>1477</v>
      </c>
      <c r="AG354" t="str">
        <v>Headphones</v>
      </c>
      <c r="AH354">
        <v>4045.66653</v>
      </c>
    </row>
    <row r="355" spans="1:34" x14ac:dyDescent="0.3">
      <c r="A355" s="1">
        <v>1353</v>
      </c>
      <c r="B355" s="2">
        <v>44589</v>
      </c>
      <c r="C355" s="1" t="s">
        <v>21</v>
      </c>
      <c r="D355" s="1" t="s">
        <v>30</v>
      </c>
      <c r="E355" s="1" t="s">
        <v>31</v>
      </c>
      <c r="F355" s="1">
        <v>350.39</v>
      </c>
      <c r="G355" s="1" t="s">
        <v>37</v>
      </c>
      <c r="H355" s="2">
        <v>27534</v>
      </c>
      <c r="I355" s="2">
        <v>44591</v>
      </c>
      <c r="J355" s="1">
        <v>33.08</v>
      </c>
      <c r="K355" s="4">
        <f t="shared" si="10"/>
        <v>115.90901199999999</v>
      </c>
      <c r="L355" s="4">
        <f t="shared" si="11"/>
        <v>234.480988</v>
      </c>
      <c r="O355">
        <v>1481</v>
      </c>
      <c r="P355">
        <v>45763</v>
      </c>
      <c r="Q355" t="str">
        <v>North</v>
      </c>
      <c r="R355" t="str">
        <v>Milk</v>
      </c>
      <c r="S355" t="str">
        <v>Groceries</v>
      </c>
      <c r="T355">
        <v>4811.79</v>
      </c>
      <c r="U355" t="str">
        <v>Angela Mooney</v>
      </c>
      <c r="V355">
        <v>25516</v>
      </c>
      <c r="W355">
        <v>45774</v>
      </c>
      <c r="X355">
        <v>37.81</v>
      </c>
      <c r="Y355">
        <v>1819.3377990000001</v>
      </c>
      <c r="Z355">
        <v>2992.4522010000001</v>
      </c>
      <c r="AC355" t="str">
        <v>Cricket Bat</v>
      </c>
      <c r="AD355">
        <v>2287.416033</v>
      </c>
      <c r="AF355">
        <v>1478</v>
      </c>
      <c r="AG355" t="str">
        <v>Oil</v>
      </c>
      <c r="AH355">
        <v>1668.2813340000002</v>
      </c>
    </row>
    <row r="356" spans="1:34" x14ac:dyDescent="0.3">
      <c r="A356" s="1">
        <v>1354</v>
      </c>
      <c r="B356" s="2">
        <v>44391</v>
      </c>
      <c r="C356" s="1" t="s">
        <v>14</v>
      </c>
      <c r="D356" s="1" t="s">
        <v>55</v>
      </c>
      <c r="E356" s="1" t="s">
        <v>31</v>
      </c>
      <c r="F356" s="1">
        <v>4025.33</v>
      </c>
      <c r="G356" s="1" t="s">
        <v>161</v>
      </c>
      <c r="H356" s="2">
        <v>29386</v>
      </c>
      <c r="I356" s="2">
        <v>44403</v>
      </c>
      <c r="J356" s="1">
        <v>18.64</v>
      </c>
      <c r="K356" s="4">
        <f t="shared" si="10"/>
        <v>750.32151199999998</v>
      </c>
      <c r="L356" s="4">
        <f t="shared" si="11"/>
        <v>3275.0084879999999</v>
      </c>
      <c r="O356">
        <v>1482</v>
      </c>
      <c r="P356">
        <v>44567</v>
      </c>
      <c r="Q356" t="str">
        <v>North</v>
      </c>
      <c r="R356" t="str">
        <v>Cap</v>
      </c>
      <c r="S356" t="str">
        <v>Clothing</v>
      </c>
      <c r="T356">
        <v>4964.8</v>
      </c>
      <c r="U356" t="str">
        <v>Laura Wood</v>
      </c>
      <c r="V356">
        <v>31419</v>
      </c>
      <c r="W356">
        <v>44577</v>
      </c>
      <c r="X356">
        <v>23.65</v>
      </c>
      <c r="Y356">
        <v>1174.1751999999999</v>
      </c>
      <c r="Z356">
        <v>3790.6248000000005</v>
      </c>
      <c r="AC356" t="str">
        <v>Milk</v>
      </c>
      <c r="AD356">
        <v>2992.4522010000001</v>
      </c>
      <c r="AF356">
        <v>1480</v>
      </c>
      <c r="AG356" t="str">
        <v>Cricket Bat</v>
      </c>
      <c r="AH356">
        <v>2287.416033</v>
      </c>
    </row>
    <row r="357" spans="1:34" x14ac:dyDescent="0.3">
      <c r="A357" s="1">
        <v>1355</v>
      </c>
      <c r="B357" s="2">
        <v>44701</v>
      </c>
      <c r="C357" s="1" t="s">
        <v>26</v>
      </c>
      <c r="D357" s="1" t="s">
        <v>49</v>
      </c>
      <c r="E357" s="1" t="s">
        <v>12</v>
      </c>
      <c r="F357" s="1">
        <v>1665.27</v>
      </c>
      <c r="G357" s="1" t="s">
        <v>229</v>
      </c>
      <c r="H357" s="2">
        <v>37783</v>
      </c>
      <c r="I357" s="2">
        <v>44713</v>
      </c>
      <c r="J357" s="1">
        <v>34.700000000000003</v>
      </c>
      <c r="K357" s="4">
        <f t="shared" si="10"/>
        <v>577.84869000000003</v>
      </c>
      <c r="L357" s="4">
        <f t="shared" si="11"/>
        <v>1087.4213099999999</v>
      </c>
      <c r="O357">
        <v>1483</v>
      </c>
      <c r="P357">
        <v>44525</v>
      </c>
      <c r="Q357" t="str">
        <v>South</v>
      </c>
      <c r="R357" t="str">
        <v>Table</v>
      </c>
      <c r="S357" t="str">
        <v>Furniture</v>
      </c>
      <c r="T357">
        <v>4165.84</v>
      </c>
      <c r="U357" t="str">
        <v>Taylor Richardson</v>
      </c>
      <c r="V357">
        <v>25853</v>
      </c>
      <c r="W357">
        <v>44538</v>
      </c>
      <c r="X357">
        <v>19.77</v>
      </c>
      <c r="Y357">
        <v>823.58656799999994</v>
      </c>
      <c r="Z357">
        <v>3342.2534320000004</v>
      </c>
      <c r="AC357" t="str">
        <v>Cap</v>
      </c>
      <c r="AD357">
        <v>3790.6248000000005</v>
      </c>
      <c r="AF357">
        <v>1481</v>
      </c>
      <c r="AG357" t="str">
        <v>Milk</v>
      </c>
      <c r="AH357">
        <v>2992.4522010000001</v>
      </c>
    </row>
    <row r="358" spans="1:34" x14ac:dyDescent="0.3">
      <c r="A358" s="1">
        <v>1356</v>
      </c>
      <c r="B358" s="2">
        <v>44231</v>
      </c>
      <c r="C358" s="1" t="s">
        <v>14</v>
      </c>
      <c r="D358" s="1" t="s">
        <v>15</v>
      </c>
      <c r="E358" s="1" t="s">
        <v>16</v>
      </c>
      <c r="F358" s="1">
        <v>3294.52</v>
      </c>
      <c r="G358" s="1" t="s">
        <v>249</v>
      </c>
      <c r="H358" s="2">
        <v>28555</v>
      </c>
      <c r="I358" s="2">
        <v>44243</v>
      </c>
      <c r="J358" s="1">
        <v>5.31</v>
      </c>
      <c r="K358" s="4">
        <f t="shared" si="10"/>
        <v>174.93901199999999</v>
      </c>
      <c r="L358" s="4">
        <f t="shared" si="11"/>
        <v>3119.5809880000002</v>
      </c>
      <c r="O358">
        <v>1484</v>
      </c>
      <c r="P358">
        <v>45568</v>
      </c>
      <c r="Q358" t="str">
        <v>Central</v>
      </c>
      <c r="R358" t="str">
        <v>Wheat</v>
      </c>
      <c r="S358" t="str">
        <v>Groceries</v>
      </c>
      <c r="T358">
        <v>1868.61</v>
      </c>
      <c r="U358" t="str">
        <v>Gary Wells</v>
      </c>
      <c r="V358">
        <v>29181</v>
      </c>
      <c r="W358">
        <v>45576</v>
      </c>
      <c r="X358">
        <v>41.34</v>
      </c>
      <c r="Y358">
        <v>772.48337400000003</v>
      </c>
      <c r="Z358">
        <v>1096.1266259999998</v>
      </c>
      <c r="AC358" t="str">
        <v>Table</v>
      </c>
      <c r="AD358">
        <v>3342.2534320000004</v>
      </c>
      <c r="AF358">
        <v>1482</v>
      </c>
      <c r="AG358" t="str">
        <v>Cap</v>
      </c>
      <c r="AH358">
        <v>3790.6248000000005</v>
      </c>
    </row>
    <row r="359" spans="1:34" x14ac:dyDescent="0.3">
      <c r="A359" s="1">
        <v>1357</v>
      </c>
      <c r="B359" s="2">
        <v>44525</v>
      </c>
      <c r="C359" s="1" t="s">
        <v>10</v>
      </c>
      <c r="D359" s="1" t="s">
        <v>15</v>
      </c>
      <c r="E359" s="1" t="s">
        <v>16</v>
      </c>
      <c r="F359" s="1">
        <v>3300.32</v>
      </c>
      <c r="G359" s="1" t="s">
        <v>54</v>
      </c>
      <c r="H359" s="2">
        <v>31082</v>
      </c>
      <c r="I359" s="2">
        <v>44534</v>
      </c>
      <c r="J359" s="1">
        <v>29.45</v>
      </c>
      <c r="K359" s="4">
        <f t="shared" si="10"/>
        <v>971.94424000000004</v>
      </c>
      <c r="L359" s="4">
        <f t="shared" si="11"/>
        <v>2328.3757599999999</v>
      </c>
      <c r="O359">
        <v>1486</v>
      </c>
      <c r="P359">
        <v>45010</v>
      </c>
      <c r="Q359" t="str">
        <v>East</v>
      </c>
      <c r="R359" t="str">
        <v>Wheat</v>
      </c>
      <c r="S359" t="str">
        <v>Groceries</v>
      </c>
      <c r="T359">
        <v>4628</v>
      </c>
      <c r="U359" t="str">
        <v>David Noble</v>
      </c>
      <c r="V359">
        <v>22594</v>
      </c>
      <c r="W359">
        <v>45014</v>
      </c>
      <c r="X359">
        <v>44.68</v>
      </c>
      <c r="Y359">
        <v>2067.7903999999999</v>
      </c>
      <c r="Z359">
        <v>2560.2096000000001</v>
      </c>
      <c r="AC359" t="str">
        <v>Wheat</v>
      </c>
      <c r="AD359">
        <v>1096.1266259999998</v>
      </c>
      <c r="AF359">
        <v>1483</v>
      </c>
      <c r="AG359" t="str">
        <v>Table</v>
      </c>
      <c r="AH359">
        <v>3342.2534320000004</v>
      </c>
    </row>
    <row r="360" spans="1:34" x14ac:dyDescent="0.3">
      <c r="A360" s="1">
        <v>1358</v>
      </c>
      <c r="B360" s="2">
        <v>44747</v>
      </c>
      <c r="C360" s="1" t="s">
        <v>21</v>
      </c>
      <c r="D360" s="1" t="s">
        <v>44</v>
      </c>
      <c r="E360" s="1" t="s">
        <v>16</v>
      </c>
      <c r="F360" s="1">
        <v>958.82</v>
      </c>
      <c r="G360" s="1" t="s">
        <v>92</v>
      </c>
      <c r="H360" s="2">
        <v>24544</v>
      </c>
      <c r="I360" s="2">
        <v>44754</v>
      </c>
      <c r="J360" s="1">
        <v>17.29</v>
      </c>
      <c r="K360" s="4">
        <f t="shared" si="10"/>
        <v>165.779978</v>
      </c>
      <c r="L360" s="4">
        <f t="shared" si="11"/>
        <v>793.04002200000002</v>
      </c>
      <c r="O360">
        <v>1487</v>
      </c>
      <c r="P360">
        <v>45153</v>
      </c>
      <c r="Q360" t="str">
        <v>Central</v>
      </c>
      <c r="R360" t="str">
        <v>Jeans</v>
      </c>
      <c r="S360" t="str">
        <v>Clothing</v>
      </c>
      <c r="T360">
        <v>4033.32</v>
      </c>
      <c r="U360" t="str">
        <v>James Stevens</v>
      </c>
      <c r="V360">
        <v>30778</v>
      </c>
      <c r="W360">
        <v>45162</v>
      </c>
      <c r="X360">
        <v>36.51</v>
      </c>
      <c r="Y360">
        <v>1472.5651319999999</v>
      </c>
      <c r="Z360">
        <v>2560.754868</v>
      </c>
      <c r="AC360" t="str">
        <v>Wheat</v>
      </c>
      <c r="AD360">
        <v>2560.2096000000001</v>
      </c>
      <c r="AF360">
        <v>1484</v>
      </c>
      <c r="AG360" t="str">
        <v>Wheat</v>
      </c>
      <c r="AH360">
        <v>1096.1266259999998</v>
      </c>
    </row>
    <row r="361" spans="1:34" x14ac:dyDescent="0.3">
      <c r="A361" s="1">
        <v>1359</v>
      </c>
      <c r="B361" s="2">
        <v>45276</v>
      </c>
      <c r="C361" s="1" t="s">
        <v>35</v>
      </c>
      <c r="D361" s="1" t="s">
        <v>58</v>
      </c>
      <c r="E361" s="1" t="s">
        <v>31</v>
      </c>
      <c r="F361" s="1">
        <v>3637.29</v>
      </c>
      <c r="G361" s="1" t="s">
        <v>250</v>
      </c>
      <c r="H361" s="2">
        <v>33892</v>
      </c>
      <c r="I361" s="2">
        <v>45282</v>
      </c>
      <c r="J361" s="1">
        <v>41.8</v>
      </c>
      <c r="K361" s="4">
        <f t="shared" si="10"/>
        <v>1520.3872199999998</v>
      </c>
      <c r="L361" s="4">
        <f t="shared" si="11"/>
        <v>2116.9027800000003</v>
      </c>
      <c r="O361">
        <v>1488</v>
      </c>
      <c r="P361">
        <v>45427</v>
      </c>
      <c r="Q361" t="str">
        <v>North</v>
      </c>
      <c r="R361" t="str">
        <v>Football</v>
      </c>
      <c r="S361" t="str">
        <v>Sports</v>
      </c>
      <c r="T361">
        <v>2543.13</v>
      </c>
      <c r="U361" t="str">
        <v>Kirsten Wilkins</v>
      </c>
      <c r="V361">
        <v>25430</v>
      </c>
      <c r="W361">
        <v>45441</v>
      </c>
      <c r="X361">
        <v>15.97</v>
      </c>
      <c r="Y361">
        <v>406.13786100000004</v>
      </c>
      <c r="Z361">
        <v>2136.992139</v>
      </c>
      <c r="AC361" t="str">
        <v>Jeans</v>
      </c>
      <c r="AD361">
        <v>2560.754868</v>
      </c>
      <c r="AF361">
        <v>1486</v>
      </c>
      <c r="AG361" t="str">
        <v>Wheat</v>
      </c>
      <c r="AH361">
        <v>2560.2096000000001</v>
      </c>
    </row>
    <row r="362" spans="1:34" x14ac:dyDescent="0.3">
      <c r="A362" s="1">
        <v>1360</v>
      </c>
      <c r="B362" s="2">
        <v>44443</v>
      </c>
      <c r="C362" s="1" t="s">
        <v>21</v>
      </c>
      <c r="D362" s="1" t="s">
        <v>22</v>
      </c>
      <c r="E362" s="1" t="s">
        <v>19</v>
      </c>
      <c r="F362" s="1">
        <v>3902.12</v>
      </c>
      <c r="G362" s="1" t="s">
        <v>45</v>
      </c>
      <c r="H362" s="2">
        <v>34367</v>
      </c>
      <c r="I362" s="2">
        <v>44455</v>
      </c>
      <c r="J362" s="1">
        <v>24.06</v>
      </c>
      <c r="K362" s="4">
        <f t="shared" si="10"/>
        <v>938.85007199999995</v>
      </c>
      <c r="L362" s="4">
        <f t="shared" si="11"/>
        <v>2963.2699279999997</v>
      </c>
      <c r="O362">
        <v>1490</v>
      </c>
      <c r="P362">
        <v>45262</v>
      </c>
      <c r="Q362" t="str">
        <v>Central</v>
      </c>
      <c r="R362" t="str">
        <v>Jacket</v>
      </c>
      <c r="S362" t="str">
        <v>Clothing</v>
      </c>
      <c r="T362">
        <v>3779.96</v>
      </c>
      <c r="U362" t="str">
        <v>Stephanie Taylor</v>
      </c>
      <c r="V362">
        <v>37927</v>
      </c>
      <c r="W362">
        <v>45266</v>
      </c>
      <c r="X362">
        <v>32.18</v>
      </c>
      <c r="Y362">
        <v>1216.391128</v>
      </c>
      <c r="Z362">
        <v>2563.5688719999998</v>
      </c>
      <c r="AC362" t="str">
        <v>Football</v>
      </c>
      <c r="AD362">
        <v>2136.992139</v>
      </c>
      <c r="AF362">
        <v>1487</v>
      </c>
      <c r="AG362" t="str">
        <v>Jeans</v>
      </c>
      <c r="AH362">
        <v>2560.754868</v>
      </c>
    </row>
    <row r="363" spans="1:34" x14ac:dyDescent="0.3">
      <c r="A363" s="1">
        <v>1361</v>
      </c>
      <c r="B363" s="2">
        <v>44141</v>
      </c>
      <c r="C363" s="1" t="s">
        <v>21</v>
      </c>
      <c r="D363" s="1" t="s">
        <v>30</v>
      </c>
      <c r="E363" s="1" t="s">
        <v>31</v>
      </c>
      <c r="F363" s="1">
        <v>140.26</v>
      </c>
      <c r="G363" s="1" t="s">
        <v>145</v>
      </c>
      <c r="H363" s="2">
        <v>23470</v>
      </c>
      <c r="I363" s="2">
        <v>44149</v>
      </c>
      <c r="J363" s="1">
        <v>41.53</v>
      </c>
      <c r="K363" s="4">
        <f t="shared" si="10"/>
        <v>58.249977999999999</v>
      </c>
      <c r="L363" s="4">
        <f t="shared" si="11"/>
        <v>82.010021999999992</v>
      </c>
      <c r="O363">
        <v>1491</v>
      </c>
      <c r="P363">
        <v>44682</v>
      </c>
      <c r="Q363" t="str">
        <v>South</v>
      </c>
      <c r="R363" t="str">
        <v>Camera</v>
      </c>
      <c r="S363" t="str">
        <v>Electronics</v>
      </c>
      <c r="T363">
        <v>2268.23</v>
      </c>
      <c r="U363" t="str">
        <v>Caitlin Crane</v>
      </c>
      <c r="V363">
        <v>33332</v>
      </c>
      <c r="W363">
        <v>44689</v>
      </c>
      <c r="X363">
        <v>40.47</v>
      </c>
      <c r="Y363">
        <v>917.95268099999998</v>
      </c>
      <c r="Z363">
        <v>1350.277319</v>
      </c>
      <c r="AC363" t="str">
        <v>Jacket</v>
      </c>
      <c r="AD363">
        <v>2563.5688719999998</v>
      </c>
      <c r="AF363">
        <v>1488</v>
      </c>
      <c r="AG363" t="str">
        <v>Football</v>
      </c>
      <c r="AH363">
        <v>2136.992139</v>
      </c>
    </row>
    <row r="364" spans="1:34" x14ac:dyDescent="0.3">
      <c r="A364" s="1">
        <v>1362</v>
      </c>
      <c r="B364" s="2">
        <v>44105</v>
      </c>
      <c r="C364" s="1" t="s">
        <v>35</v>
      </c>
      <c r="D364" s="1" t="s">
        <v>65</v>
      </c>
      <c r="E364" s="1" t="s">
        <v>19</v>
      </c>
      <c r="F364" s="1">
        <v>3442.22</v>
      </c>
      <c r="G364" s="1" t="s">
        <v>206</v>
      </c>
      <c r="H364" s="2">
        <v>34011</v>
      </c>
      <c r="I364" s="2">
        <v>44107</v>
      </c>
      <c r="J364" s="1">
        <v>18.84</v>
      </c>
      <c r="K364" s="4">
        <f t="shared" si="10"/>
        <v>648.51424799999995</v>
      </c>
      <c r="L364" s="4">
        <f t="shared" si="11"/>
        <v>2793.7057519999998</v>
      </c>
      <c r="O364">
        <v>1493</v>
      </c>
      <c r="P364">
        <v>44415</v>
      </c>
      <c r="Q364" t="str">
        <v>North</v>
      </c>
      <c r="R364" t="str">
        <v>Sofa</v>
      </c>
      <c r="S364" t="str">
        <v>Furniture</v>
      </c>
      <c r="T364">
        <v>4476.6400000000003</v>
      </c>
      <c r="U364" t="str">
        <v>Matthew Baird</v>
      </c>
      <c r="V364">
        <v>35658</v>
      </c>
      <c r="W364">
        <v>44417</v>
      </c>
      <c r="X364">
        <v>13.84</v>
      </c>
      <c r="Y364">
        <v>619.56697600000007</v>
      </c>
      <c r="Z364">
        <v>3857.0730240000003</v>
      </c>
      <c r="AC364" t="str">
        <v>Camera</v>
      </c>
      <c r="AD364">
        <v>1350.277319</v>
      </c>
      <c r="AF364">
        <v>1490</v>
      </c>
      <c r="AG364" t="str">
        <v>Jacket</v>
      </c>
      <c r="AH364">
        <v>2563.5688719999998</v>
      </c>
    </row>
    <row r="365" spans="1:34" x14ac:dyDescent="0.3">
      <c r="A365" s="1">
        <v>1363</v>
      </c>
      <c r="B365" s="2">
        <v>45148</v>
      </c>
      <c r="C365" s="1" t="s">
        <v>21</v>
      </c>
      <c r="D365" s="1" t="s">
        <v>102</v>
      </c>
      <c r="E365" s="1" t="s">
        <v>12</v>
      </c>
      <c r="F365" s="1">
        <v>688.58</v>
      </c>
      <c r="G365" s="1" t="s">
        <v>117</v>
      </c>
      <c r="H365" s="2">
        <v>23513</v>
      </c>
      <c r="I365" s="2">
        <v>45159</v>
      </c>
      <c r="J365" s="1">
        <v>24.61</v>
      </c>
      <c r="K365" s="4">
        <f t="shared" si="10"/>
        <v>169.45953800000001</v>
      </c>
      <c r="L365" s="4">
        <f t="shared" si="11"/>
        <v>519.12046200000009</v>
      </c>
      <c r="O365">
        <v>1494</v>
      </c>
      <c r="P365">
        <v>44484</v>
      </c>
      <c r="Q365" t="str">
        <v>West</v>
      </c>
      <c r="R365" t="str">
        <v>Eggs</v>
      </c>
      <c r="S365" t="str">
        <v>Groceries</v>
      </c>
      <c r="T365">
        <v>3755.32</v>
      </c>
      <c r="U365" t="str">
        <v>Benjamin Smith</v>
      </c>
      <c r="V365">
        <v>38073</v>
      </c>
      <c r="W365">
        <v>44489</v>
      </c>
      <c r="X365">
        <v>39.659999999999997</v>
      </c>
      <c r="Y365">
        <v>1489.3599119999999</v>
      </c>
      <c r="Z365">
        <v>2265.9600880000003</v>
      </c>
      <c r="AC365" t="str">
        <v>Sofa</v>
      </c>
      <c r="AD365">
        <v>3857.0730240000003</v>
      </c>
      <c r="AF365">
        <v>1491</v>
      </c>
      <c r="AG365" t="str">
        <v>Camera</v>
      </c>
      <c r="AH365">
        <v>1350.277319</v>
      </c>
    </row>
    <row r="366" spans="1:34" x14ac:dyDescent="0.3">
      <c r="A366" s="1">
        <v>1364</v>
      </c>
      <c r="B366" s="2">
        <v>45666</v>
      </c>
      <c r="C366" s="1" t="s">
        <v>26</v>
      </c>
      <c r="D366" s="1" t="s">
        <v>27</v>
      </c>
      <c r="E366" s="1" t="s">
        <v>28</v>
      </c>
      <c r="F366" s="1">
        <v>178.24</v>
      </c>
      <c r="G366" s="1" t="s">
        <v>32</v>
      </c>
      <c r="H366" s="2">
        <v>27166</v>
      </c>
      <c r="I366" s="2">
        <v>45676</v>
      </c>
      <c r="J366" s="1">
        <v>40.270000000000003</v>
      </c>
      <c r="K366" s="4">
        <f t="shared" si="10"/>
        <v>71.777248000000014</v>
      </c>
      <c r="L366" s="4">
        <f t="shared" si="11"/>
        <v>106.46275199999999</v>
      </c>
      <c r="O366">
        <v>1495</v>
      </c>
      <c r="P366">
        <v>45829</v>
      </c>
      <c r="Q366" t="str">
        <v>South</v>
      </c>
      <c r="R366" t="str">
        <v>Basketball</v>
      </c>
      <c r="S366" t="str">
        <v>Sports</v>
      </c>
      <c r="T366">
        <v>4164.7700000000004</v>
      </c>
      <c r="U366" t="str">
        <v>Brian Carson</v>
      </c>
      <c r="V366">
        <v>30232</v>
      </c>
      <c r="W366">
        <v>45832</v>
      </c>
      <c r="X366">
        <v>40.119999999999997</v>
      </c>
      <c r="Y366">
        <v>1670.9057240000002</v>
      </c>
      <c r="Z366">
        <v>2493.8642760000002</v>
      </c>
      <c r="AC366" t="str">
        <v>Eggs</v>
      </c>
      <c r="AD366">
        <v>2265.9600880000003</v>
      </c>
      <c r="AF366">
        <v>1493</v>
      </c>
      <c r="AG366" t="str">
        <v>Sofa</v>
      </c>
      <c r="AH366">
        <v>3857.0730240000003</v>
      </c>
    </row>
    <row r="367" spans="1:34" x14ac:dyDescent="0.3">
      <c r="A367" s="1">
        <v>1365</v>
      </c>
      <c r="B367" s="2">
        <v>44557</v>
      </c>
      <c r="C367" s="1" t="s">
        <v>14</v>
      </c>
      <c r="D367" s="1" t="s">
        <v>30</v>
      </c>
      <c r="E367" s="1" t="s">
        <v>31</v>
      </c>
      <c r="F367" s="1">
        <v>3989.42</v>
      </c>
      <c r="G367" s="1" t="s">
        <v>56</v>
      </c>
      <c r="H367" s="2">
        <v>25712</v>
      </c>
      <c r="I367" s="2">
        <v>44563</v>
      </c>
      <c r="J367" s="1">
        <v>4.76</v>
      </c>
      <c r="K367" s="4">
        <f t="shared" si="10"/>
        <v>189.89639199999999</v>
      </c>
      <c r="L367" s="4">
        <f t="shared" si="11"/>
        <v>3799.523608</v>
      </c>
      <c r="O367">
        <v>1497</v>
      </c>
      <c r="P367">
        <v>44840</v>
      </c>
      <c r="Q367" t="str">
        <v>Central</v>
      </c>
      <c r="R367" t="str">
        <v>Table</v>
      </c>
      <c r="S367" t="str">
        <v>Furniture</v>
      </c>
      <c r="T367">
        <v>4921.43</v>
      </c>
      <c r="U367" t="str">
        <v>Jason Davidson</v>
      </c>
      <c r="V367">
        <v>34016</v>
      </c>
      <c r="W367">
        <v>44843</v>
      </c>
      <c r="X367">
        <v>16.77</v>
      </c>
      <c r="Y367">
        <v>825.32381099999998</v>
      </c>
      <c r="Z367">
        <v>4096.1061890000001</v>
      </c>
      <c r="AC367" t="str">
        <v>Basketball</v>
      </c>
      <c r="AD367">
        <v>2493.8642760000002</v>
      </c>
      <c r="AF367">
        <v>1494</v>
      </c>
      <c r="AG367" t="str">
        <v>Eggs</v>
      </c>
      <c r="AH367">
        <v>2265.9600880000003</v>
      </c>
    </row>
    <row r="368" spans="1:34" x14ac:dyDescent="0.3">
      <c r="A368" s="1">
        <v>1366</v>
      </c>
      <c r="B368" s="2">
        <v>44384</v>
      </c>
      <c r="C368" s="1" t="s">
        <v>10</v>
      </c>
      <c r="D368" s="1" t="s">
        <v>38</v>
      </c>
      <c r="E368" s="1" t="s">
        <v>28</v>
      </c>
      <c r="F368" s="1">
        <v>3857.76</v>
      </c>
      <c r="G368" s="1" t="s">
        <v>243</v>
      </c>
      <c r="H368" s="2">
        <v>29103</v>
      </c>
      <c r="I368" s="2">
        <v>44392</v>
      </c>
      <c r="J368" s="1">
        <v>14.13</v>
      </c>
      <c r="K368" s="4">
        <f t="shared" si="10"/>
        <v>545.10148800000002</v>
      </c>
      <c r="L368" s="4">
        <f t="shared" si="11"/>
        <v>3312.658512</v>
      </c>
      <c r="O368">
        <v>1499</v>
      </c>
      <c r="P368">
        <v>44540</v>
      </c>
      <c r="Q368" t="str">
        <v>West</v>
      </c>
      <c r="R368" t="str">
        <v>Wheat</v>
      </c>
      <c r="S368" t="str">
        <v>Groceries</v>
      </c>
      <c r="T368">
        <v>2393.89</v>
      </c>
      <c r="U368" t="str">
        <v>Tracy Benton</v>
      </c>
      <c r="V368">
        <v>30117</v>
      </c>
      <c r="W368">
        <v>44551</v>
      </c>
      <c r="X368">
        <v>10.87</v>
      </c>
      <c r="Y368">
        <v>260.21584299999995</v>
      </c>
      <c r="Z368">
        <v>2133.6741569999999</v>
      </c>
      <c r="AC368" t="str">
        <v>Table</v>
      </c>
      <c r="AD368">
        <v>4096.1061890000001</v>
      </c>
      <c r="AF368">
        <v>1495</v>
      </c>
      <c r="AG368" t="str">
        <v>Basketball</v>
      </c>
      <c r="AH368">
        <v>2493.8642760000002</v>
      </c>
    </row>
    <row r="369" spans="1:34" x14ac:dyDescent="0.3">
      <c r="A369" s="1">
        <v>1367</v>
      </c>
      <c r="B369" s="2">
        <v>44141</v>
      </c>
      <c r="C369" s="1" t="s">
        <v>14</v>
      </c>
      <c r="D369" s="1" t="s">
        <v>24</v>
      </c>
      <c r="E369" s="1" t="s">
        <v>19</v>
      </c>
      <c r="F369" s="1">
        <v>1160.47</v>
      </c>
      <c r="G369" s="1" t="s">
        <v>82</v>
      </c>
      <c r="H369" s="2">
        <v>38879</v>
      </c>
      <c r="I369" s="2">
        <v>44142</v>
      </c>
      <c r="J369" s="1">
        <v>31.35</v>
      </c>
      <c r="K369" s="4">
        <f t="shared" si="10"/>
        <v>363.807345</v>
      </c>
      <c r="L369" s="4">
        <f t="shared" si="11"/>
        <v>796.66265500000009</v>
      </c>
      <c r="O369">
        <v>1500</v>
      </c>
      <c r="P369">
        <v>45298</v>
      </c>
      <c r="Q369" t="str">
        <v>Central</v>
      </c>
      <c r="R369" t="str">
        <v>Eggs</v>
      </c>
      <c r="S369" t="str">
        <v>Groceries</v>
      </c>
      <c r="T369">
        <v>3767.29</v>
      </c>
      <c r="U369" t="str">
        <v>Shannon Foster</v>
      </c>
      <c r="V369">
        <v>31386</v>
      </c>
      <c r="W369">
        <v>45310</v>
      </c>
      <c r="X369">
        <v>15.91</v>
      </c>
      <c r="Y369">
        <v>599.37583899999993</v>
      </c>
      <c r="Z369">
        <v>3167.9141610000001</v>
      </c>
      <c r="AC369" t="str">
        <v>Wheat</v>
      </c>
      <c r="AD369">
        <v>2133.6741569999999</v>
      </c>
      <c r="AF369">
        <v>1497</v>
      </c>
      <c r="AG369" t="str">
        <v>Table</v>
      </c>
      <c r="AH369">
        <v>4096.1061890000001</v>
      </c>
    </row>
    <row r="370" spans="1:34" x14ac:dyDescent="0.3">
      <c r="A370" s="1">
        <v>1368</v>
      </c>
      <c r="B370" s="2">
        <v>44920</v>
      </c>
      <c r="C370" s="1" t="s">
        <v>14</v>
      </c>
      <c r="D370" s="1" t="s">
        <v>18</v>
      </c>
      <c r="E370" s="1" t="s">
        <v>19</v>
      </c>
      <c r="F370" s="1">
        <v>631.92999999999995</v>
      </c>
      <c r="G370" s="1" t="s">
        <v>251</v>
      </c>
      <c r="H370" s="2">
        <v>25440</v>
      </c>
      <c r="I370" s="2">
        <v>44932</v>
      </c>
      <c r="J370" s="1">
        <v>11.71</v>
      </c>
      <c r="K370" s="4">
        <f t="shared" si="10"/>
        <v>73.999003000000002</v>
      </c>
      <c r="L370" s="4">
        <f t="shared" si="11"/>
        <v>557.93099699999993</v>
      </c>
      <c r="O370">
        <v>1501</v>
      </c>
      <c r="P370">
        <v>45230</v>
      </c>
      <c r="Q370" t="str">
        <v>South</v>
      </c>
      <c r="R370" t="str">
        <v>Jeans</v>
      </c>
      <c r="S370" t="str">
        <v>Clothing</v>
      </c>
      <c r="T370">
        <v>1246.26</v>
      </c>
      <c r="U370" t="str">
        <v>Stephanie Ray</v>
      </c>
      <c r="V370">
        <v>27688</v>
      </c>
      <c r="W370">
        <v>45232</v>
      </c>
      <c r="X370">
        <v>7.94</v>
      </c>
      <c r="Y370">
        <v>98.953043999999991</v>
      </c>
      <c r="Z370">
        <v>1147.3069559999999</v>
      </c>
      <c r="AC370" t="str">
        <v>Eggs</v>
      </c>
      <c r="AD370">
        <v>3167.9141610000001</v>
      </c>
      <c r="AF370">
        <v>1499</v>
      </c>
      <c r="AG370" t="str">
        <v>Wheat</v>
      </c>
      <c r="AH370">
        <v>2133.6741569999999</v>
      </c>
    </row>
    <row r="371" spans="1:34" x14ac:dyDescent="0.3">
      <c r="A371" s="1">
        <v>1369</v>
      </c>
      <c r="B371" s="2">
        <v>45674</v>
      </c>
      <c r="C371" s="1" t="s">
        <v>10</v>
      </c>
      <c r="D371" s="1" t="s">
        <v>53</v>
      </c>
      <c r="E371" s="1" t="s">
        <v>28</v>
      </c>
      <c r="F371" s="1">
        <v>3121.09</v>
      </c>
      <c r="G371" s="1" t="s">
        <v>163</v>
      </c>
      <c r="H371" s="2">
        <v>30364</v>
      </c>
      <c r="I371" s="2">
        <v>45687</v>
      </c>
      <c r="J371" s="1">
        <v>38.82</v>
      </c>
      <c r="K371" s="4">
        <f t="shared" si="10"/>
        <v>1211.6071380000001</v>
      </c>
      <c r="L371" s="4">
        <f t="shared" si="11"/>
        <v>1909.4828620000001</v>
      </c>
      <c r="O371">
        <v>1502</v>
      </c>
      <c r="P371">
        <v>44328</v>
      </c>
      <c r="Q371" t="str">
        <v>West</v>
      </c>
      <c r="R371" t="str">
        <v>Headphones</v>
      </c>
      <c r="S371" t="str">
        <v>Electronics</v>
      </c>
      <c r="T371">
        <v>1825.7</v>
      </c>
      <c r="U371" t="str">
        <v>Miguel Mason</v>
      </c>
      <c r="V371">
        <v>34338</v>
      </c>
      <c r="W371">
        <v>44340</v>
      </c>
      <c r="X371">
        <v>34.07</v>
      </c>
      <c r="Y371">
        <v>622.01598999999999</v>
      </c>
      <c r="Z371">
        <v>1203.6840099999999</v>
      </c>
      <c r="AC371" t="str">
        <v>Jeans</v>
      </c>
      <c r="AD371">
        <v>1147.3069559999999</v>
      </c>
      <c r="AF371">
        <v>1500</v>
      </c>
      <c r="AG371" t="str">
        <v>Eggs</v>
      </c>
      <c r="AH371">
        <v>3167.9141610000001</v>
      </c>
    </row>
    <row r="372" spans="1:34" x14ac:dyDescent="0.3">
      <c r="A372" s="1">
        <v>1370</v>
      </c>
      <c r="B372" s="2">
        <v>45702</v>
      </c>
      <c r="C372" s="1" t="s">
        <v>10</v>
      </c>
      <c r="D372" s="1" t="s">
        <v>102</v>
      </c>
      <c r="E372" s="1" t="s">
        <v>12</v>
      </c>
      <c r="F372" s="1">
        <v>2623.27</v>
      </c>
      <c r="G372" s="1" t="s">
        <v>202</v>
      </c>
      <c r="H372" s="2">
        <v>24802</v>
      </c>
      <c r="I372" s="2">
        <v>45707</v>
      </c>
      <c r="J372" s="1">
        <v>29.54</v>
      </c>
      <c r="K372" s="4">
        <f t="shared" si="10"/>
        <v>774.91395799999998</v>
      </c>
      <c r="L372" s="4">
        <f t="shared" si="11"/>
        <v>1848.3560419999999</v>
      </c>
      <c r="O372">
        <v>1503</v>
      </c>
      <c r="P372">
        <v>44961</v>
      </c>
      <c r="Q372" t="str">
        <v>East</v>
      </c>
      <c r="R372" t="str">
        <v>Sofa</v>
      </c>
      <c r="S372" t="str">
        <v>Furniture</v>
      </c>
      <c r="T372">
        <v>1119.8599999999999</v>
      </c>
      <c r="U372" t="str">
        <v>Lisa Clark</v>
      </c>
      <c r="V372">
        <v>27879</v>
      </c>
      <c r="W372">
        <v>44968</v>
      </c>
      <c r="X372">
        <v>7.51</v>
      </c>
      <c r="Y372">
        <v>84.101485999999994</v>
      </c>
      <c r="Z372">
        <v>1035.7585139999999</v>
      </c>
      <c r="AC372" t="str">
        <v>Headphones</v>
      </c>
      <c r="AD372">
        <v>1203.6840099999999</v>
      </c>
      <c r="AF372">
        <v>1501</v>
      </c>
      <c r="AG372" t="str">
        <v>Jeans</v>
      </c>
      <c r="AH372">
        <v>1147.3069559999999</v>
      </c>
    </row>
    <row r="373" spans="1:34" x14ac:dyDescent="0.3">
      <c r="A373" s="1">
        <v>1371</v>
      </c>
      <c r="B373" s="2">
        <v>45028</v>
      </c>
      <c r="C373" s="1" t="s">
        <v>26</v>
      </c>
      <c r="D373" s="1" t="s">
        <v>55</v>
      </c>
      <c r="E373" s="1" t="s">
        <v>31</v>
      </c>
      <c r="F373" s="1">
        <v>3304.37</v>
      </c>
      <c r="G373" s="1" t="s">
        <v>240</v>
      </c>
      <c r="H373" s="2">
        <v>38478</v>
      </c>
      <c r="I373" s="2">
        <v>45034</v>
      </c>
      <c r="J373" s="1">
        <v>47.9</v>
      </c>
      <c r="K373" s="4">
        <f t="shared" si="10"/>
        <v>1582.79323</v>
      </c>
      <c r="L373" s="4">
        <f t="shared" si="11"/>
        <v>1721.5767699999999</v>
      </c>
      <c r="O373">
        <v>1506</v>
      </c>
      <c r="P373">
        <v>44372</v>
      </c>
      <c r="Q373" t="str">
        <v>West</v>
      </c>
      <c r="R373" t="str">
        <v>Tablet</v>
      </c>
      <c r="S373" t="str">
        <v>Electronics</v>
      </c>
      <c r="T373">
        <v>4408.54</v>
      </c>
      <c r="U373" t="str">
        <v>Taylor Knox</v>
      </c>
      <c r="V373">
        <v>32188</v>
      </c>
      <c r="W373">
        <v>44382</v>
      </c>
      <c r="X373">
        <v>12.47</v>
      </c>
      <c r="Y373">
        <v>549.74493800000005</v>
      </c>
      <c r="Z373">
        <v>3858.7950620000001</v>
      </c>
      <c r="AC373" t="str">
        <v>Sofa</v>
      </c>
      <c r="AD373">
        <v>1035.7585139999999</v>
      </c>
      <c r="AF373">
        <v>1502</v>
      </c>
      <c r="AG373" t="str">
        <v>Headphones</v>
      </c>
      <c r="AH373">
        <v>1203.6840099999999</v>
      </c>
    </row>
    <row r="374" spans="1:34" x14ac:dyDescent="0.3">
      <c r="A374" s="1">
        <v>1372</v>
      </c>
      <c r="B374" s="2">
        <v>44691</v>
      </c>
      <c r="C374" s="1" t="s">
        <v>26</v>
      </c>
      <c r="D374" s="1" t="s">
        <v>33</v>
      </c>
      <c r="E374" s="1" t="s">
        <v>16</v>
      </c>
      <c r="F374" s="1">
        <v>4505.3599999999997</v>
      </c>
      <c r="G374" s="1" t="s">
        <v>252</v>
      </c>
      <c r="H374" s="2">
        <v>34209</v>
      </c>
      <c r="I374" s="2">
        <v>44700</v>
      </c>
      <c r="J374" s="1">
        <v>34.29</v>
      </c>
      <c r="K374" s="4">
        <f t="shared" si="10"/>
        <v>1544.8879439999998</v>
      </c>
      <c r="L374" s="4">
        <f t="shared" si="11"/>
        <v>2960.4720559999996</v>
      </c>
      <c r="O374">
        <v>1508</v>
      </c>
      <c r="P374">
        <v>44487</v>
      </c>
      <c r="Q374" t="str">
        <v>North</v>
      </c>
      <c r="R374" t="str">
        <v>Milk</v>
      </c>
      <c r="S374" t="str">
        <v>Groceries</v>
      </c>
      <c r="T374">
        <v>2775.54</v>
      </c>
      <c r="U374" t="str">
        <v>Amy Harris</v>
      </c>
      <c r="V374">
        <v>26668</v>
      </c>
      <c r="W374">
        <v>44494</v>
      </c>
      <c r="X374">
        <v>22.41</v>
      </c>
      <c r="Y374">
        <v>621.998514</v>
      </c>
      <c r="Z374">
        <v>2153.5414860000001</v>
      </c>
      <c r="AC374" t="str">
        <v>Tablet</v>
      </c>
      <c r="AD374">
        <v>3858.7950620000001</v>
      </c>
      <c r="AF374">
        <v>1503</v>
      </c>
      <c r="AG374" t="str">
        <v>Sofa</v>
      </c>
      <c r="AH374">
        <v>1035.7585139999999</v>
      </c>
    </row>
    <row r="375" spans="1:34" x14ac:dyDescent="0.3">
      <c r="A375" s="1">
        <v>1373</v>
      </c>
      <c r="B375" s="2">
        <v>45007</v>
      </c>
      <c r="C375" s="1" t="s">
        <v>26</v>
      </c>
      <c r="D375" s="1" t="s">
        <v>61</v>
      </c>
      <c r="E375" s="1" t="s">
        <v>19</v>
      </c>
      <c r="F375" s="1">
        <v>3528.12</v>
      </c>
      <c r="G375" s="1" t="s">
        <v>146</v>
      </c>
      <c r="H375" s="2">
        <v>24961</v>
      </c>
      <c r="I375" s="2">
        <v>45008</v>
      </c>
      <c r="J375" s="1">
        <v>5.15</v>
      </c>
      <c r="K375" s="4">
        <f t="shared" si="10"/>
        <v>181.69818000000001</v>
      </c>
      <c r="L375" s="4">
        <f t="shared" si="11"/>
        <v>3346.42182</v>
      </c>
      <c r="O375">
        <v>1509</v>
      </c>
      <c r="P375">
        <v>44557</v>
      </c>
      <c r="Q375" t="str">
        <v>South</v>
      </c>
      <c r="R375" t="str">
        <v>Wardrobe</v>
      </c>
      <c r="S375" t="str">
        <v>Furniture</v>
      </c>
      <c r="T375">
        <v>2170.37</v>
      </c>
      <c r="U375" t="str">
        <v>Erika Jones</v>
      </c>
      <c r="V375">
        <v>26988</v>
      </c>
      <c r="W375">
        <v>44559</v>
      </c>
      <c r="X375">
        <v>27.89</v>
      </c>
      <c r="Y375">
        <v>605.31619299999988</v>
      </c>
      <c r="Z375">
        <v>1565.053807</v>
      </c>
      <c r="AC375" t="str">
        <v>Milk</v>
      </c>
      <c r="AD375">
        <v>2153.5414860000001</v>
      </c>
      <c r="AF375">
        <v>1506</v>
      </c>
      <c r="AG375" t="str">
        <v>Tablet</v>
      </c>
      <c r="AH375">
        <v>3858.7950620000001</v>
      </c>
    </row>
    <row r="376" spans="1:34" x14ac:dyDescent="0.3">
      <c r="A376" s="1">
        <v>1374</v>
      </c>
      <c r="B376" s="2">
        <v>45791</v>
      </c>
      <c r="C376" s="1" t="s">
        <v>35</v>
      </c>
      <c r="D376" s="1" t="s">
        <v>55</v>
      </c>
      <c r="E376" s="1" t="s">
        <v>31</v>
      </c>
      <c r="F376" s="1">
        <v>3418.14</v>
      </c>
      <c r="G376" s="1" t="s">
        <v>253</v>
      </c>
      <c r="H376" s="2">
        <v>27131</v>
      </c>
      <c r="I376" s="2">
        <v>45795</v>
      </c>
      <c r="J376" s="1">
        <v>14.35</v>
      </c>
      <c r="K376" s="4">
        <f t="shared" si="10"/>
        <v>490.50308999999993</v>
      </c>
      <c r="L376" s="4">
        <f t="shared" si="11"/>
        <v>2927.6369100000002</v>
      </c>
      <c r="O376">
        <v>1511</v>
      </c>
      <c r="P376">
        <v>44328</v>
      </c>
      <c r="Q376" t="str">
        <v>East</v>
      </c>
      <c r="R376" t="str">
        <v>Jacket</v>
      </c>
      <c r="S376" t="str">
        <v>Clothing</v>
      </c>
      <c r="T376">
        <v>3452.36</v>
      </c>
      <c r="U376" t="str">
        <v>Lisa Smith</v>
      </c>
      <c r="V376">
        <v>26484</v>
      </c>
      <c r="W376">
        <v>44333</v>
      </c>
      <c r="X376">
        <v>26.13</v>
      </c>
      <c r="Y376">
        <v>902.1016679999999</v>
      </c>
      <c r="Z376">
        <v>2550.2583320000003</v>
      </c>
      <c r="AC376" t="str">
        <v>Wardrobe</v>
      </c>
      <c r="AD376">
        <v>1565.053807</v>
      </c>
      <c r="AF376">
        <v>1508</v>
      </c>
      <c r="AG376" t="str">
        <v>Milk</v>
      </c>
      <c r="AH376">
        <v>2153.5414860000001</v>
      </c>
    </row>
    <row r="377" spans="1:34" x14ac:dyDescent="0.3">
      <c r="A377" s="1">
        <v>1375</v>
      </c>
      <c r="B377" s="2">
        <v>44394</v>
      </c>
      <c r="C377" s="1" t="s">
        <v>35</v>
      </c>
      <c r="D377" s="1" t="s">
        <v>44</v>
      </c>
      <c r="E377" s="1" t="s">
        <v>16</v>
      </c>
      <c r="F377" s="1">
        <v>4990.92</v>
      </c>
      <c r="G377" s="1" t="s">
        <v>179</v>
      </c>
      <c r="H377" s="2">
        <v>30356</v>
      </c>
      <c r="I377" s="2">
        <v>44395</v>
      </c>
      <c r="J377" s="1">
        <v>38.31</v>
      </c>
      <c r="K377" s="4">
        <f t="shared" si="10"/>
        <v>1912.021452</v>
      </c>
      <c r="L377" s="4">
        <f t="shared" si="11"/>
        <v>3078.8985480000001</v>
      </c>
      <c r="O377">
        <v>1512</v>
      </c>
      <c r="P377">
        <v>44119</v>
      </c>
      <c r="Q377" t="str">
        <v>Central</v>
      </c>
      <c r="R377" t="str">
        <v>Camera</v>
      </c>
      <c r="S377" t="str">
        <v>Electronics</v>
      </c>
      <c r="T377">
        <v>4036.97</v>
      </c>
      <c r="U377" t="str">
        <v>Debra Jones</v>
      </c>
      <c r="V377">
        <v>25811</v>
      </c>
      <c r="W377">
        <v>44128</v>
      </c>
      <c r="X377">
        <v>10.38</v>
      </c>
      <c r="Y377">
        <v>419.037486</v>
      </c>
      <c r="Z377">
        <v>3617.9325139999996</v>
      </c>
      <c r="AC377" t="str">
        <v>Jacket</v>
      </c>
      <c r="AD377">
        <v>2550.2583320000003</v>
      </c>
      <c r="AF377">
        <v>1509</v>
      </c>
      <c r="AG377" t="str">
        <v>Wardrobe</v>
      </c>
      <c r="AH377">
        <v>1565.053807</v>
      </c>
    </row>
    <row r="378" spans="1:34" x14ac:dyDescent="0.3">
      <c r="A378" s="1">
        <v>1376</v>
      </c>
      <c r="B378" s="2">
        <v>45705</v>
      </c>
      <c r="C378" s="1" t="s">
        <v>10</v>
      </c>
      <c r="D378" s="1" t="s">
        <v>30</v>
      </c>
      <c r="E378" s="1" t="s">
        <v>31</v>
      </c>
      <c r="F378" s="1">
        <v>102.8</v>
      </c>
      <c r="G378" s="1" t="s">
        <v>99</v>
      </c>
      <c r="H378" s="2">
        <v>26397</v>
      </c>
      <c r="I378" s="2">
        <v>45716</v>
      </c>
      <c r="J378" s="1">
        <v>43.1</v>
      </c>
      <c r="K378" s="4">
        <f t="shared" si="10"/>
        <v>44.306799999999996</v>
      </c>
      <c r="L378" s="4">
        <f t="shared" si="11"/>
        <v>58.493200000000002</v>
      </c>
      <c r="O378">
        <v>1514</v>
      </c>
      <c r="P378">
        <v>44426</v>
      </c>
      <c r="Q378" t="str">
        <v>Central</v>
      </c>
      <c r="R378" t="str">
        <v>Chair</v>
      </c>
      <c r="S378" t="str">
        <v>Furniture</v>
      </c>
      <c r="T378">
        <v>4324.25</v>
      </c>
      <c r="U378" t="str">
        <v>Sara Mayo</v>
      </c>
      <c r="V378">
        <v>38039</v>
      </c>
      <c r="W378">
        <v>44439</v>
      </c>
      <c r="X378">
        <v>17.28</v>
      </c>
      <c r="Y378">
        <v>747.23040000000003</v>
      </c>
      <c r="Z378">
        <v>3577.0196000000001</v>
      </c>
      <c r="AC378" t="str">
        <v>Camera</v>
      </c>
      <c r="AD378">
        <v>3617.9325139999996</v>
      </c>
      <c r="AF378">
        <v>1511</v>
      </c>
      <c r="AG378" t="str">
        <v>Jacket</v>
      </c>
      <c r="AH378">
        <v>2550.2583320000003</v>
      </c>
    </row>
    <row r="379" spans="1:34" x14ac:dyDescent="0.3">
      <c r="A379" s="1">
        <v>1377</v>
      </c>
      <c r="B379" s="2">
        <v>44797</v>
      </c>
      <c r="C379" s="1" t="s">
        <v>21</v>
      </c>
      <c r="D379" s="1" t="s">
        <v>71</v>
      </c>
      <c r="E379" s="1" t="s">
        <v>31</v>
      </c>
      <c r="F379" s="1">
        <v>791.47</v>
      </c>
      <c r="G379" s="1" t="s">
        <v>220</v>
      </c>
      <c r="H379" s="2">
        <v>30755</v>
      </c>
      <c r="I379" s="2">
        <v>44800</v>
      </c>
      <c r="J379" s="1">
        <v>32.590000000000003</v>
      </c>
      <c r="K379" s="4">
        <f t="shared" si="10"/>
        <v>257.94007300000004</v>
      </c>
      <c r="L379" s="4">
        <f t="shared" si="11"/>
        <v>533.52992700000004</v>
      </c>
      <c r="O379">
        <v>1516</v>
      </c>
      <c r="P379">
        <v>45407</v>
      </c>
      <c r="Q379" t="str">
        <v>Central</v>
      </c>
      <c r="R379" t="str">
        <v>Chair</v>
      </c>
      <c r="S379" t="str">
        <v>Furniture</v>
      </c>
      <c r="T379">
        <v>4842.41</v>
      </c>
      <c r="U379" t="str">
        <v>Zachary Anthony</v>
      </c>
      <c r="V379">
        <v>34704</v>
      </c>
      <c r="W379">
        <v>45416</v>
      </c>
      <c r="X379">
        <v>30.21</v>
      </c>
      <c r="Y379">
        <v>1462.8920610000002</v>
      </c>
      <c r="Z379">
        <v>3379.5179389999994</v>
      </c>
      <c r="AC379" t="str">
        <v>Chair</v>
      </c>
      <c r="AD379">
        <v>3577.0196000000001</v>
      </c>
      <c r="AF379">
        <v>1512</v>
      </c>
      <c r="AG379" t="str">
        <v>Camera</v>
      </c>
      <c r="AH379">
        <v>3617.9325139999996</v>
      </c>
    </row>
    <row r="380" spans="1:34" x14ac:dyDescent="0.3">
      <c r="A380" s="1">
        <v>1378</v>
      </c>
      <c r="B380" s="2">
        <v>44166</v>
      </c>
      <c r="C380" s="1" t="s">
        <v>26</v>
      </c>
      <c r="D380" s="1" t="s">
        <v>47</v>
      </c>
      <c r="E380" s="1" t="s">
        <v>12</v>
      </c>
      <c r="F380" s="1">
        <v>2713.64</v>
      </c>
      <c r="G380" s="1" t="s">
        <v>254</v>
      </c>
      <c r="H380" s="2">
        <v>29366</v>
      </c>
      <c r="I380" s="2">
        <v>44179</v>
      </c>
      <c r="J380" s="1">
        <v>30.32</v>
      </c>
      <c r="K380" s="4">
        <f t="shared" si="10"/>
        <v>822.77564800000005</v>
      </c>
      <c r="L380" s="4">
        <f t="shared" si="11"/>
        <v>1890.8643519999998</v>
      </c>
      <c r="O380">
        <v>1518</v>
      </c>
      <c r="P380">
        <v>44854</v>
      </c>
      <c r="Q380" t="str">
        <v>Central</v>
      </c>
      <c r="R380" t="str">
        <v>Table</v>
      </c>
      <c r="S380" t="str">
        <v>Furniture</v>
      </c>
      <c r="T380">
        <v>1656.3</v>
      </c>
      <c r="U380" t="str">
        <v>Joseph Walter</v>
      </c>
      <c r="V380">
        <v>36329</v>
      </c>
      <c r="W380">
        <v>44867</v>
      </c>
      <c r="X380">
        <v>34.54</v>
      </c>
      <c r="Y380">
        <v>572.08601999999996</v>
      </c>
      <c r="Z380">
        <v>1084.21398</v>
      </c>
      <c r="AC380" t="str">
        <v>Chair</v>
      </c>
      <c r="AD380">
        <v>3379.5179389999994</v>
      </c>
      <c r="AF380">
        <v>1514</v>
      </c>
      <c r="AG380" t="str">
        <v>Chair</v>
      </c>
      <c r="AH380">
        <v>3577.0196000000001</v>
      </c>
    </row>
    <row r="381" spans="1:34" x14ac:dyDescent="0.3">
      <c r="A381" s="1">
        <v>1379</v>
      </c>
      <c r="B381" s="2">
        <v>44358</v>
      </c>
      <c r="C381" s="1" t="s">
        <v>26</v>
      </c>
      <c r="D381" s="1" t="s">
        <v>69</v>
      </c>
      <c r="E381" s="1" t="s">
        <v>31</v>
      </c>
      <c r="F381" s="1">
        <v>3215.09</v>
      </c>
      <c r="G381" s="1" t="s">
        <v>255</v>
      </c>
      <c r="H381" s="2">
        <v>22646</v>
      </c>
      <c r="I381" s="2">
        <v>44368</v>
      </c>
      <c r="J381" s="1">
        <v>1.58</v>
      </c>
      <c r="K381" s="4">
        <f t="shared" si="10"/>
        <v>50.798422000000009</v>
      </c>
      <c r="L381" s="4">
        <f t="shared" si="11"/>
        <v>3164.2915780000003</v>
      </c>
      <c r="O381">
        <v>1519</v>
      </c>
      <c r="P381">
        <v>44420</v>
      </c>
      <c r="Q381" t="str">
        <v>West</v>
      </c>
      <c r="R381" t="str">
        <v>Football</v>
      </c>
      <c r="S381" t="str">
        <v>Sports</v>
      </c>
      <c r="T381">
        <v>3717.54</v>
      </c>
      <c r="U381" t="str">
        <v>Diane Coleman</v>
      </c>
      <c r="V381">
        <v>26001</v>
      </c>
      <c r="W381">
        <v>44430</v>
      </c>
      <c r="X381">
        <v>27.61</v>
      </c>
      <c r="Y381">
        <v>1026.4127940000001</v>
      </c>
      <c r="Z381">
        <v>2691.1272060000001</v>
      </c>
      <c r="AC381" t="str">
        <v>Table</v>
      </c>
      <c r="AD381">
        <v>1084.21398</v>
      </c>
      <c r="AF381">
        <v>1516</v>
      </c>
      <c r="AG381" t="str">
        <v>Chair</v>
      </c>
      <c r="AH381">
        <v>3379.5179389999994</v>
      </c>
    </row>
    <row r="382" spans="1:34" x14ac:dyDescent="0.3">
      <c r="A382" s="1">
        <v>1380</v>
      </c>
      <c r="B382" s="2">
        <v>44767</v>
      </c>
      <c r="C382" s="1" t="s">
        <v>26</v>
      </c>
      <c r="D382" s="1" t="s">
        <v>65</v>
      </c>
      <c r="E382" s="1" t="s">
        <v>19</v>
      </c>
      <c r="F382" s="1">
        <v>2690.03</v>
      </c>
      <c r="G382" s="1" t="s">
        <v>199</v>
      </c>
      <c r="H382" s="2">
        <v>25341</v>
      </c>
      <c r="I382" s="2">
        <v>44776</v>
      </c>
      <c r="J382" s="1">
        <v>33.44</v>
      </c>
      <c r="K382" s="4">
        <f t="shared" si="10"/>
        <v>899.54603199999997</v>
      </c>
      <c r="L382" s="4">
        <f t="shared" si="11"/>
        <v>1790.4839680000002</v>
      </c>
      <c r="O382">
        <v>1520</v>
      </c>
      <c r="P382">
        <v>44433</v>
      </c>
      <c r="Q382" t="str">
        <v>East</v>
      </c>
      <c r="R382" t="str">
        <v>Headphones</v>
      </c>
      <c r="S382" t="str">
        <v>Electronics</v>
      </c>
      <c r="T382">
        <v>2034.68</v>
      </c>
      <c r="U382" t="str">
        <v>Frank Davis</v>
      </c>
      <c r="V382">
        <v>38171</v>
      </c>
      <c r="W382">
        <v>44443</v>
      </c>
      <c r="X382">
        <v>30.93</v>
      </c>
      <c r="Y382">
        <v>629.32652400000006</v>
      </c>
      <c r="Z382">
        <v>1405.353476</v>
      </c>
      <c r="AC382" t="str">
        <v>Football</v>
      </c>
      <c r="AD382">
        <v>2691.1272060000001</v>
      </c>
      <c r="AF382">
        <v>1518</v>
      </c>
      <c r="AG382" t="str">
        <v>Table</v>
      </c>
      <c r="AH382">
        <v>1084.21398</v>
      </c>
    </row>
    <row r="383" spans="1:34" x14ac:dyDescent="0.3">
      <c r="A383" s="1">
        <v>1381</v>
      </c>
      <c r="B383" s="2">
        <v>45262</v>
      </c>
      <c r="C383" s="1" t="s">
        <v>21</v>
      </c>
      <c r="D383" s="1" t="s">
        <v>44</v>
      </c>
      <c r="E383" s="1" t="s">
        <v>16</v>
      </c>
      <c r="F383" s="1">
        <v>673.16</v>
      </c>
      <c r="G383" s="1" t="s">
        <v>159</v>
      </c>
      <c r="H383" s="2">
        <v>38194</v>
      </c>
      <c r="I383" s="2">
        <v>45268</v>
      </c>
      <c r="J383" s="1">
        <v>42.27</v>
      </c>
      <c r="K383" s="4">
        <f t="shared" si="10"/>
        <v>284.54473200000001</v>
      </c>
      <c r="L383" s="4">
        <f t="shared" si="11"/>
        <v>388.61526799999996</v>
      </c>
      <c r="O383">
        <v>1521</v>
      </c>
      <c r="P383">
        <v>44931</v>
      </c>
      <c r="Q383" t="str">
        <v>East</v>
      </c>
      <c r="R383" t="str">
        <v>Table</v>
      </c>
      <c r="S383" t="str">
        <v>Furniture</v>
      </c>
      <c r="T383">
        <v>1919.95</v>
      </c>
      <c r="U383" t="str">
        <v>Megan Wagner</v>
      </c>
      <c r="V383">
        <v>29810</v>
      </c>
      <c r="W383">
        <v>44934</v>
      </c>
      <c r="X383">
        <v>19.54</v>
      </c>
      <c r="Y383">
        <v>375.15823</v>
      </c>
      <c r="Z383">
        <v>1544.79177</v>
      </c>
      <c r="AC383" t="str">
        <v>Headphones</v>
      </c>
      <c r="AD383">
        <v>1405.353476</v>
      </c>
      <c r="AF383">
        <v>1519</v>
      </c>
      <c r="AG383" t="str">
        <v>Football</v>
      </c>
      <c r="AH383">
        <v>2691.1272060000001</v>
      </c>
    </row>
    <row r="384" spans="1:34" x14ac:dyDescent="0.3">
      <c r="A384" s="1">
        <v>1382</v>
      </c>
      <c r="B384" s="2">
        <v>45737</v>
      </c>
      <c r="C384" s="1" t="s">
        <v>35</v>
      </c>
      <c r="D384" s="1" t="s">
        <v>58</v>
      </c>
      <c r="E384" s="1" t="s">
        <v>31</v>
      </c>
      <c r="F384" s="1">
        <v>889.97</v>
      </c>
      <c r="G384" s="1" t="s">
        <v>245</v>
      </c>
      <c r="H384" s="2">
        <v>32205</v>
      </c>
      <c r="I384" s="2">
        <v>45749</v>
      </c>
      <c r="J384" s="1">
        <v>3.54</v>
      </c>
      <c r="K384" s="4">
        <f t="shared" si="10"/>
        <v>31.504938000000003</v>
      </c>
      <c r="L384" s="4">
        <f t="shared" si="11"/>
        <v>858.46506199999999</v>
      </c>
      <c r="O384">
        <v>1523</v>
      </c>
      <c r="P384">
        <v>44336</v>
      </c>
      <c r="Q384" t="str">
        <v>East</v>
      </c>
      <c r="R384" t="str">
        <v>Sofa</v>
      </c>
      <c r="S384" t="str">
        <v>Furniture</v>
      </c>
      <c r="T384">
        <v>4331.62</v>
      </c>
      <c r="U384" t="str">
        <v>Harold Williams</v>
      </c>
      <c r="V384">
        <v>37894</v>
      </c>
      <c r="W384">
        <v>44338</v>
      </c>
      <c r="X384">
        <v>42.1</v>
      </c>
      <c r="Y384">
        <v>1823.61202</v>
      </c>
      <c r="Z384">
        <v>2508.0079799999999</v>
      </c>
      <c r="AC384" t="str">
        <v>Table</v>
      </c>
      <c r="AD384">
        <v>1544.79177</v>
      </c>
      <c r="AF384">
        <v>1520</v>
      </c>
      <c r="AG384" t="str">
        <v>Headphones</v>
      </c>
      <c r="AH384">
        <v>1405.353476</v>
      </c>
    </row>
    <row r="385" spans="1:34" x14ac:dyDescent="0.3">
      <c r="A385" s="1">
        <v>1383</v>
      </c>
      <c r="B385" s="2">
        <v>44672</v>
      </c>
      <c r="C385" s="1" t="s">
        <v>21</v>
      </c>
      <c r="D385" s="1" t="s">
        <v>65</v>
      </c>
      <c r="E385" s="1" t="s">
        <v>19</v>
      </c>
      <c r="F385" s="1">
        <v>1416.62</v>
      </c>
      <c r="G385" s="1" t="s">
        <v>56</v>
      </c>
      <c r="H385" s="2">
        <v>25712</v>
      </c>
      <c r="I385" s="2">
        <v>44673</v>
      </c>
      <c r="J385" s="1">
        <v>33.68</v>
      </c>
      <c r="K385" s="4">
        <f t="shared" si="10"/>
        <v>477.11761599999994</v>
      </c>
      <c r="L385" s="4">
        <f t="shared" si="11"/>
        <v>939.50238399999989</v>
      </c>
      <c r="O385">
        <v>1524</v>
      </c>
      <c r="P385">
        <v>45705</v>
      </c>
      <c r="Q385" t="str">
        <v>South</v>
      </c>
      <c r="R385" t="str">
        <v>Chair</v>
      </c>
      <c r="S385" t="str">
        <v>Furniture</v>
      </c>
      <c r="T385">
        <v>3743.49</v>
      </c>
      <c r="U385" t="str">
        <v>Melissa Moreno</v>
      </c>
      <c r="V385">
        <v>25579</v>
      </c>
      <c r="W385">
        <v>45707</v>
      </c>
      <c r="X385">
        <v>41.5</v>
      </c>
      <c r="Y385">
        <v>1553.5483499999998</v>
      </c>
      <c r="Z385">
        <v>2189.9416499999998</v>
      </c>
      <c r="AC385" t="str">
        <v>Sofa</v>
      </c>
      <c r="AD385">
        <v>2508.0079799999999</v>
      </c>
      <c r="AF385">
        <v>1521</v>
      </c>
      <c r="AG385" t="str">
        <v>Table</v>
      </c>
      <c r="AH385">
        <v>1544.79177</v>
      </c>
    </row>
    <row r="386" spans="1:34" x14ac:dyDescent="0.3">
      <c r="A386" s="1">
        <v>1384</v>
      </c>
      <c r="B386" s="2">
        <v>45185</v>
      </c>
      <c r="C386" s="1" t="s">
        <v>35</v>
      </c>
      <c r="D386" s="1" t="s">
        <v>38</v>
      </c>
      <c r="E386" s="1" t="s">
        <v>28</v>
      </c>
      <c r="F386" s="1">
        <v>699.51</v>
      </c>
      <c r="G386" s="1" t="s">
        <v>74</v>
      </c>
      <c r="H386" s="2">
        <v>31224</v>
      </c>
      <c r="I386" s="2">
        <v>45198</v>
      </c>
      <c r="J386" s="1">
        <v>6.44</v>
      </c>
      <c r="K386" s="4">
        <f t="shared" si="10"/>
        <v>45.048443999999996</v>
      </c>
      <c r="L386" s="4">
        <f t="shared" si="11"/>
        <v>654.46155599999997</v>
      </c>
      <c r="O386">
        <v>1525</v>
      </c>
      <c r="P386">
        <v>44123</v>
      </c>
      <c r="Q386" t="str">
        <v>Central</v>
      </c>
      <c r="R386" t="str">
        <v>Basketball</v>
      </c>
      <c r="S386" t="str">
        <v>Sports</v>
      </c>
      <c r="T386">
        <v>2623.35</v>
      </c>
      <c r="U386" t="str">
        <v>Kirsten Wilkins</v>
      </c>
      <c r="V386">
        <v>25430</v>
      </c>
      <c r="W386">
        <v>44133</v>
      </c>
      <c r="X386">
        <v>33.46</v>
      </c>
      <c r="Y386">
        <v>877.77291000000002</v>
      </c>
      <c r="Z386">
        <v>1745.5770899999998</v>
      </c>
      <c r="AC386" t="str">
        <v>Chair</v>
      </c>
      <c r="AD386">
        <v>2189.9416499999998</v>
      </c>
      <c r="AF386">
        <v>1523</v>
      </c>
      <c r="AG386" t="str">
        <v>Sofa</v>
      </c>
      <c r="AH386">
        <v>2508.0079799999999</v>
      </c>
    </row>
    <row r="387" spans="1:34" x14ac:dyDescent="0.3">
      <c r="A387" s="1">
        <v>1385</v>
      </c>
      <c r="B387" s="2">
        <v>44680</v>
      </c>
      <c r="C387" s="1" t="s">
        <v>26</v>
      </c>
      <c r="D387" s="1" t="s">
        <v>22</v>
      </c>
      <c r="E387" s="1" t="s">
        <v>19</v>
      </c>
      <c r="F387" s="1">
        <v>720.99</v>
      </c>
      <c r="G387" s="1" t="s">
        <v>96</v>
      </c>
      <c r="H387" s="2">
        <v>36236</v>
      </c>
      <c r="I387" s="2">
        <v>44694</v>
      </c>
      <c r="J387" s="1">
        <v>24</v>
      </c>
      <c r="K387" s="4">
        <f t="shared" ref="K387:K450" si="12">F387*J387%</f>
        <v>173.0376</v>
      </c>
      <c r="L387" s="4">
        <f t="shared" ref="L387:L450" si="13">F387-K387</f>
        <v>547.95240000000001</v>
      </c>
      <c r="O387">
        <v>1527</v>
      </c>
      <c r="P387">
        <v>44847</v>
      </c>
      <c r="Q387" t="str">
        <v>East</v>
      </c>
      <c r="R387" t="str">
        <v>Jeans</v>
      </c>
      <c r="S387" t="str">
        <v>Clothing</v>
      </c>
      <c r="T387">
        <v>2401.7800000000002</v>
      </c>
      <c r="U387" t="str">
        <v>Kathryn Allen</v>
      </c>
      <c r="V387">
        <v>32146</v>
      </c>
      <c r="W387">
        <v>44849</v>
      </c>
      <c r="X387">
        <v>21.01</v>
      </c>
      <c r="Y387">
        <v>504.61397800000009</v>
      </c>
      <c r="Z387">
        <v>1897.1660220000001</v>
      </c>
      <c r="AC387" t="str">
        <v>Basketball</v>
      </c>
      <c r="AD387">
        <v>1745.5770899999998</v>
      </c>
      <c r="AF387">
        <v>1524</v>
      </c>
      <c r="AG387" t="str">
        <v>Chair</v>
      </c>
      <c r="AH387">
        <v>2189.9416499999998</v>
      </c>
    </row>
    <row r="388" spans="1:34" x14ac:dyDescent="0.3">
      <c r="A388" s="1">
        <v>1386</v>
      </c>
      <c r="B388" s="2">
        <v>44786</v>
      </c>
      <c r="C388" s="1" t="s">
        <v>21</v>
      </c>
      <c r="D388" s="1" t="s">
        <v>61</v>
      </c>
      <c r="E388" s="1" t="s">
        <v>19</v>
      </c>
      <c r="F388" s="1">
        <v>1559.47</v>
      </c>
      <c r="G388" s="1" t="s">
        <v>32</v>
      </c>
      <c r="H388" s="2">
        <v>27166</v>
      </c>
      <c r="I388" s="2">
        <v>44787</v>
      </c>
      <c r="J388" s="1">
        <v>21.2</v>
      </c>
      <c r="K388" s="4">
        <f t="shared" si="12"/>
        <v>330.60764</v>
      </c>
      <c r="L388" s="4">
        <f t="shared" si="13"/>
        <v>1228.8623600000001</v>
      </c>
      <c r="O388">
        <v>1528</v>
      </c>
      <c r="P388">
        <v>44800</v>
      </c>
      <c r="Q388" t="str">
        <v>Central</v>
      </c>
      <c r="R388" t="str">
        <v>Milk</v>
      </c>
      <c r="S388" t="str">
        <v>Groceries</v>
      </c>
      <c r="T388">
        <v>4140.24</v>
      </c>
      <c r="U388" t="str">
        <v>Tony Rose</v>
      </c>
      <c r="V388">
        <v>31764</v>
      </c>
      <c r="W388">
        <v>44810</v>
      </c>
      <c r="X388">
        <v>30.47</v>
      </c>
      <c r="Y388">
        <v>1261.5311279999999</v>
      </c>
      <c r="Z388">
        <v>2878.7088720000002</v>
      </c>
      <c r="AC388" t="str">
        <v>Jeans</v>
      </c>
      <c r="AD388">
        <v>1897.1660220000001</v>
      </c>
      <c r="AF388">
        <v>1525</v>
      </c>
      <c r="AG388" t="str">
        <v>Basketball</v>
      </c>
      <c r="AH388">
        <v>1745.5770899999998</v>
      </c>
    </row>
    <row r="389" spans="1:34" x14ac:dyDescent="0.3">
      <c r="A389" s="1">
        <v>1387</v>
      </c>
      <c r="B389" s="2">
        <v>45862</v>
      </c>
      <c r="C389" s="1" t="s">
        <v>35</v>
      </c>
      <c r="D389" s="1" t="s">
        <v>22</v>
      </c>
      <c r="E389" s="1" t="s">
        <v>19</v>
      </c>
      <c r="F389" s="1">
        <v>3501.39</v>
      </c>
      <c r="G389" s="1" t="s">
        <v>70</v>
      </c>
      <c r="H389" s="2">
        <v>30887</v>
      </c>
      <c r="I389" s="2">
        <v>45867</v>
      </c>
      <c r="J389" s="1">
        <v>45.42</v>
      </c>
      <c r="K389" s="4">
        <f t="shared" si="12"/>
        <v>1590.331338</v>
      </c>
      <c r="L389" s="4">
        <f t="shared" si="13"/>
        <v>1911.0586619999999</v>
      </c>
      <c r="O389">
        <v>1530</v>
      </c>
      <c r="P389">
        <v>44286</v>
      </c>
      <c r="Q389" t="str">
        <v>East</v>
      </c>
      <c r="R389" t="str">
        <v>Laptop</v>
      </c>
      <c r="S389" t="str">
        <v>Electronics</v>
      </c>
      <c r="T389">
        <v>4265.28</v>
      </c>
      <c r="U389" t="str">
        <v>Lisa Garcia</v>
      </c>
      <c r="V389">
        <v>31578</v>
      </c>
      <c r="W389">
        <v>44287</v>
      </c>
      <c r="X389">
        <v>41.11</v>
      </c>
      <c r="Y389">
        <v>1753.456608</v>
      </c>
      <c r="Z389">
        <v>2511.8233919999998</v>
      </c>
      <c r="AC389" t="str">
        <v>Milk</v>
      </c>
      <c r="AD389">
        <v>2878.7088720000002</v>
      </c>
      <c r="AF389">
        <v>1527</v>
      </c>
      <c r="AG389" t="str">
        <v>Jeans</v>
      </c>
      <c r="AH389">
        <v>1897.1660220000001</v>
      </c>
    </row>
    <row r="390" spans="1:34" x14ac:dyDescent="0.3">
      <c r="A390" s="1">
        <v>1388</v>
      </c>
      <c r="B390" s="2">
        <v>45395</v>
      </c>
      <c r="C390" s="1" t="s">
        <v>21</v>
      </c>
      <c r="D390" s="1" t="s">
        <v>27</v>
      </c>
      <c r="E390" s="1" t="s">
        <v>28</v>
      </c>
      <c r="F390" s="1">
        <v>3118.17</v>
      </c>
      <c r="G390" s="1" t="s">
        <v>130</v>
      </c>
      <c r="H390" s="2">
        <v>38750</v>
      </c>
      <c r="I390" s="2">
        <v>45404</v>
      </c>
      <c r="J390" s="1">
        <v>8.19</v>
      </c>
      <c r="K390" s="4">
        <f t="shared" si="12"/>
        <v>255.37812300000002</v>
      </c>
      <c r="L390" s="4">
        <f t="shared" si="13"/>
        <v>2862.7918770000001</v>
      </c>
      <c r="O390">
        <v>1531</v>
      </c>
      <c r="P390">
        <v>45495</v>
      </c>
      <c r="Q390" t="str">
        <v>North</v>
      </c>
      <c r="R390" t="str">
        <v>Wardrobe</v>
      </c>
      <c r="S390" t="str">
        <v>Furniture</v>
      </c>
      <c r="T390">
        <v>1451.33</v>
      </c>
      <c r="U390" t="str">
        <v>Steven Hardin</v>
      </c>
      <c r="V390">
        <v>26155</v>
      </c>
      <c r="W390">
        <v>45498</v>
      </c>
      <c r="X390">
        <v>13.34</v>
      </c>
      <c r="Y390">
        <v>193.60742199999999</v>
      </c>
      <c r="Z390">
        <v>1257.7225779999999</v>
      </c>
      <c r="AC390" t="str">
        <v>Laptop</v>
      </c>
      <c r="AD390">
        <v>2511.8233919999998</v>
      </c>
      <c r="AF390">
        <v>1528</v>
      </c>
      <c r="AG390" t="str">
        <v>Milk</v>
      </c>
      <c r="AH390">
        <v>2878.7088720000002</v>
      </c>
    </row>
    <row r="391" spans="1:34" x14ac:dyDescent="0.3">
      <c r="A391" s="1">
        <v>1389</v>
      </c>
      <c r="B391" s="2">
        <v>45137</v>
      </c>
      <c r="C391" s="1" t="s">
        <v>10</v>
      </c>
      <c r="D391" s="1" t="s">
        <v>73</v>
      </c>
      <c r="E391" s="1" t="s">
        <v>28</v>
      </c>
      <c r="F391" s="1">
        <v>2753.34</v>
      </c>
      <c r="G391" s="1" t="s">
        <v>234</v>
      </c>
      <c r="H391" s="2">
        <v>24368</v>
      </c>
      <c r="I391" s="2">
        <v>45151</v>
      </c>
      <c r="J391" s="1">
        <v>11.08</v>
      </c>
      <c r="K391" s="4">
        <f t="shared" si="12"/>
        <v>305.07007199999998</v>
      </c>
      <c r="L391" s="4">
        <f t="shared" si="13"/>
        <v>2448.2699280000002</v>
      </c>
      <c r="O391">
        <v>1532</v>
      </c>
      <c r="P391">
        <v>44104</v>
      </c>
      <c r="Q391" t="str">
        <v>East</v>
      </c>
      <c r="R391" t="str">
        <v>Bed</v>
      </c>
      <c r="S391" t="str">
        <v>Furniture</v>
      </c>
      <c r="T391">
        <v>4840.1400000000003</v>
      </c>
      <c r="U391" t="str">
        <v>Dale Davis</v>
      </c>
      <c r="V391">
        <v>36645</v>
      </c>
      <c r="W391">
        <v>44111</v>
      </c>
      <c r="X391">
        <v>37.380000000000003</v>
      </c>
      <c r="Y391">
        <v>1809.2443320000002</v>
      </c>
      <c r="Z391">
        <v>3030.8956680000001</v>
      </c>
      <c r="AC391" t="str">
        <v>Wardrobe</v>
      </c>
      <c r="AD391">
        <v>1257.7225779999999</v>
      </c>
      <c r="AF391">
        <v>1530</v>
      </c>
      <c r="AG391" t="str">
        <v>Laptop</v>
      </c>
      <c r="AH391">
        <v>2511.8233919999998</v>
      </c>
    </row>
    <row r="392" spans="1:34" x14ac:dyDescent="0.3">
      <c r="A392" s="1">
        <v>1390</v>
      </c>
      <c r="B392" s="2">
        <v>44750</v>
      </c>
      <c r="C392" s="1" t="s">
        <v>14</v>
      </c>
      <c r="D392" s="1" t="s">
        <v>44</v>
      </c>
      <c r="E392" s="1" t="s">
        <v>16</v>
      </c>
      <c r="F392" s="1">
        <v>3871.08</v>
      </c>
      <c r="G392" s="1" t="s">
        <v>119</v>
      </c>
      <c r="H392" s="2">
        <v>34954</v>
      </c>
      <c r="I392" s="2">
        <v>44755</v>
      </c>
      <c r="J392" s="1">
        <v>24.54</v>
      </c>
      <c r="K392" s="4">
        <f t="shared" si="12"/>
        <v>949.96303199999988</v>
      </c>
      <c r="L392" s="4">
        <f t="shared" si="13"/>
        <v>2921.1169680000003</v>
      </c>
      <c r="O392">
        <v>1535</v>
      </c>
      <c r="P392">
        <v>45849</v>
      </c>
      <c r="Q392" t="str">
        <v>East</v>
      </c>
      <c r="R392" t="str">
        <v>Milk</v>
      </c>
      <c r="S392" t="str">
        <v>Groceries</v>
      </c>
      <c r="T392">
        <v>2039.1</v>
      </c>
      <c r="U392" t="str">
        <v>Brian Carson</v>
      </c>
      <c r="V392">
        <v>30232</v>
      </c>
      <c r="W392">
        <v>45851</v>
      </c>
      <c r="X392">
        <v>27.95</v>
      </c>
      <c r="Y392">
        <v>569.92844999999988</v>
      </c>
      <c r="Z392">
        <v>1469.17155</v>
      </c>
      <c r="AC392" t="str">
        <v>Bed</v>
      </c>
      <c r="AD392">
        <v>3030.8956680000001</v>
      </c>
      <c r="AF392">
        <v>1531</v>
      </c>
      <c r="AG392" t="str">
        <v>Wardrobe</v>
      </c>
      <c r="AH392">
        <v>1257.7225779999999</v>
      </c>
    </row>
    <row r="393" spans="1:34" x14ac:dyDescent="0.3">
      <c r="A393" s="1">
        <v>1391</v>
      </c>
      <c r="B393" s="2">
        <v>45826</v>
      </c>
      <c r="C393" s="1" t="s">
        <v>21</v>
      </c>
      <c r="D393" s="1" t="s">
        <v>24</v>
      </c>
      <c r="E393" s="1" t="s">
        <v>19</v>
      </c>
      <c r="F393" s="1">
        <v>2487.0300000000002</v>
      </c>
      <c r="G393" s="1" t="s">
        <v>77</v>
      </c>
      <c r="H393" s="2">
        <v>38696</v>
      </c>
      <c r="I393" s="2">
        <v>45830</v>
      </c>
      <c r="J393" s="1">
        <v>16.79</v>
      </c>
      <c r="K393" s="4">
        <f t="shared" si="12"/>
        <v>417.572337</v>
      </c>
      <c r="L393" s="4">
        <f t="shared" si="13"/>
        <v>2069.4576630000001</v>
      </c>
      <c r="O393">
        <v>1536</v>
      </c>
      <c r="P393">
        <v>44997</v>
      </c>
      <c r="Q393" t="str">
        <v>West</v>
      </c>
      <c r="R393" t="str">
        <v>Shoes</v>
      </c>
      <c r="S393" t="str">
        <v>Clothing</v>
      </c>
      <c r="T393">
        <v>3137.31</v>
      </c>
      <c r="U393" t="str">
        <v>Margaret Reynolds</v>
      </c>
      <c r="V393">
        <v>38118</v>
      </c>
      <c r="W393">
        <v>45008</v>
      </c>
      <c r="X393">
        <v>43.28</v>
      </c>
      <c r="Y393">
        <v>1357.8277680000001</v>
      </c>
      <c r="Z393">
        <v>1779.4822319999998</v>
      </c>
      <c r="AC393" t="str">
        <v>Milk</v>
      </c>
      <c r="AD393">
        <v>1469.17155</v>
      </c>
      <c r="AF393">
        <v>1532</v>
      </c>
      <c r="AG393" t="str">
        <v>Bed</v>
      </c>
      <c r="AH393">
        <v>3030.8956680000001</v>
      </c>
    </row>
    <row r="394" spans="1:34" x14ac:dyDescent="0.3">
      <c r="A394" s="1">
        <v>1392</v>
      </c>
      <c r="B394" s="2">
        <v>44843</v>
      </c>
      <c r="C394" s="1" t="s">
        <v>21</v>
      </c>
      <c r="D394" s="1" t="s">
        <v>27</v>
      </c>
      <c r="E394" s="1" t="s">
        <v>28</v>
      </c>
      <c r="F394" s="1">
        <v>1105.26</v>
      </c>
      <c r="G394" s="1" t="s">
        <v>148</v>
      </c>
      <c r="H394" s="2">
        <v>22007</v>
      </c>
      <c r="I394" s="2">
        <v>44849</v>
      </c>
      <c r="J394" s="1">
        <v>43.12</v>
      </c>
      <c r="K394" s="4">
        <f t="shared" si="12"/>
        <v>476.58811199999997</v>
      </c>
      <c r="L394" s="4">
        <f t="shared" si="13"/>
        <v>628.67188800000008</v>
      </c>
      <c r="O394">
        <v>1537</v>
      </c>
      <c r="P394">
        <v>45670</v>
      </c>
      <c r="Q394" t="str">
        <v>South</v>
      </c>
      <c r="R394" t="str">
        <v>Headphones</v>
      </c>
      <c r="S394" t="str">
        <v>Electronics</v>
      </c>
      <c r="T394">
        <v>4731.1400000000003</v>
      </c>
      <c r="U394" t="str">
        <v>Matthew Hutchinson</v>
      </c>
      <c r="V394">
        <v>27118</v>
      </c>
      <c r="W394">
        <v>45683</v>
      </c>
      <c r="X394">
        <v>4</v>
      </c>
      <c r="Y394">
        <v>189.24560000000002</v>
      </c>
      <c r="Z394">
        <v>4541.8944000000001</v>
      </c>
      <c r="AC394" t="str">
        <v>Shoes</v>
      </c>
      <c r="AD394">
        <v>1779.4822319999998</v>
      </c>
      <c r="AF394">
        <v>1535</v>
      </c>
      <c r="AG394" t="str">
        <v>Milk</v>
      </c>
      <c r="AH394">
        <v>1469.17155</v>
      </c>
    </row>
    <row r="395" spans="1:34" x14ac:dyDescent="0.3">
      <c r="A395" s="1">
        <v>1393</v>
      </c>
      <c r="B395" s="2">
        <v>45564</v>
      </c>
      <c r="C395" s="1" t="s">
        <v>14</v>
      </c>
      <c r="D395" s="1" t="s">
        <v>30</v>
      </c>
      <c r="E395" s="1" t="s">
        <v>31</v>
      </c>
      <c r="F395" s="1">
        <v>4793.3599999999997</v>
      </c>
      <c r="G395" s="1" t="s">
        <v>85</v>
      </c>
      <c r="H395" s="2">
        <v>37236</v>
      </c>
      <c r="I395" s="2">
        <v>45573</v>
      </c>
      <c r="J395" s="1">
        <v>12.75</v>
      </c>
      <c r="K395" s="4">
        <f t="shared" si="12"/>
        <v>611.15339999999992</v>
      </c>
      <c r="L395" s="4">
        <f t="shared" si="13"/>
        <v>4182.2065999999995</v>
      </c>
      <c r="O395">
        <v>1538</v>
      </c>
      <c r="P395">
        <v>45003</v>
      </c>
      <c r="Q395" t="str">
        <v>Central</v>
      </c>
      <c r="R395" t="str">
        <v>Wardrobe</v>
      </c>
      <c r="S395" t="str">
        <v>Furniture</v>
      </c>
      <c r="T395">
        <v>4083.61</v>
      </c>
      <c r="U395" t="str">
        <v>Diana Martin</v>
      </c>
      <c r="V395">
        <v>26379</v>
      </c>
      <c r="W395">
        <v>45017</v>
      </c>
      <c r="X395">
        <v>7.1</v>
      </c>
      <c r="Y395">
        <v>289.93630999999999</v>
      </c>
      <c r="Z395">
        <v>3793.6736900000001</v>
      </c>
      <c r="AC395" t="str">
        <v>Headphones</v>
      </c>
      <c r="AD395">
        <v>4541.8944000000001</v>
      </c>
      <c r="AF395">
        <v>1536</v>
      </c>
      <c r="AG395" t="str">
        <v>Shoes</v>
      </c>
      <c r="AH395">
        <v>1779.4822319999998</v>
      </c>
    </row>
    <row r="396" spans="1:34" x14ac:dyDescent="0.3">
      <c r="A396" s="1">
        <v>1394</v>
      </c>
      <c r="B396" s="2">
        <v>45042</v>
      </c>
      <c r="C396" s="1" t="s">
        <v>35</v>
      </c>
      <c r="D396" s="1" t="s">
        <v>49</v>
      </c>
      <c r="E396" s="1" t="s">
        <v>12</v>
      </c>
      <c r="F396" s="1">
        <v>356.79</v>
      </c>
      <c r="G396" s="1" t="s">
        <v>107</v>
      </c>
      <c r="H396" s="2">
        <v>26671</v>
      </c>
      <c r="I396" s="2">
        <v>45055</v>
      </c>
      <c r="J396" s="1">
        <v>14.06</v>
      </c>
      <c r="K396" s="4">
        <f t="shared" si="12"/>
        <v>50.164674000000005</v>
      </c>
      <c r="L396" s="4">
        <f t="shared" si="13"/>
        <v>306.62532600000003</v>
      </c>
      <c r="O396">
        <v>1540</v>
      </c>
      <c r="P396">
        <v>44137</v>
      </c>
      <c r="Q396" t="str">
        <v>East</v>
      </c>
      <c r="R396" t="str">
        <v>Wardrobe</v>
      </c>
      <c r="S396" t="str">
        <v>Furniture</v>
      </c>
      <c r="T396">
        <v>2078.6</v>
      </c>
      <c r="U396" t="str">
        <v>Catherine Jones</v>
      </c>
      <c r="V396">
        <v>36037</v>
      </c>
      <c r="W396">
        <v>44149</v>
      </c>
      <c r="X396">
        <v>41.62</v>
      </c>
      <c r="Y396">
        <v>865.11331999999993</v>
      </c>
      <c r="Z396">
        <v>1213.48668</v>
      </c>
      <c r="AC396" t="str">
        <v>Wardrobe</v>
      </c>
      <c r="AD396">
        <v>3793.6736900000001</v>
      </c>
      <c r="AF396">
        <v>1537</v>
      </c>
      <c r="AG396" t="str">
        <v>Headphones</v>
      </c>
      <c r="AH396">
        <v>4541.8944000000001</v>
      </c>
    </row>
    <row r="397" spans="1:34" x14ac:dyDescent="0.3">
      <c r="A397" s="1">
        <v>1395</v>
      </c>
      <c r="B397" s="2">
        <v>45651</v>
      </c>
      <c r="C397" s="1" t="s">
        <v>26</v>
      </c>
      <c r="D397" s="1" t="s">
        <v>69</v>
      </c>
      <c r="E397" s="1" t="s">
        <v>31</v>
      </c>
      <c r="F397" s="1">
        <v>2324.31</v>
      </c>
      <c r="G397" s="1" t="s">
        <v>256</v>
      </c>
      <c r="H397" s="2">
        <v>34537</v>
      </c>
      <c r="I397" s="2">
        <v>45660</v>
      </c>
      <c r="J397" s="1">
        <v>49.72</v>
      </c>
      <c r="K397" s="4">
        <f t="shared" si="12"/>
        <v>1155.6469319999999</v>
      </c>
      <c r="L397" s="4">
        <f t="shared" si="13"/>
        <v>1168.6630680000001</v>
      </c>
      <c r="O397">
        <v>1541</v>
      </c>
      <c r="P397">
        <v>45380</v>
      </c>
      <c r="Q397" t="str">
        <v>South</v>
      </c>
      <c r="R397" t="str">
        <v>Rice</v>
      </c>
      <c r="S397" t="str">
        <v>Groceries</v>
      </c>
      <c r="T397">
        <v>3053.54</v>
      </c>
      <c r="U397" t="str">
        <v>Karla Garcia</v>
      </c>
      <c r="V397">
        <v>31331</v>
      </c>
      <c r="W397">
        <v>45386</v>
      </c>
      <c r="X397">
        <v>0.66</v>
      </c>
      <c r="Y397">
        <v>20.153364</v>
      </c>
      <c r="Z397">
        <v>3033.3866360000002</v>
      </c>
      <c r="AC397" t="str">
        <v>Wardrobe</v>
      </c>
      <c r="AD397">
        <v>1213.48668</v>
      </c>
      <c r="AF397">
        <v>1538</v>
      </c>
      <c r="AG397" t="str">
        <v>Wardrobe</v>
      </c>
      <c r="AH397">
        <v>3793.6736900000001</v>
      </c>
    </row>
    <row r="398" spans="1:34" x14ac:dyDescent="0.3">
      <c r="A398" s="1">
        <v>1396</v>
      </c>
      <c r="B398" s="2">
        <v>44563</v>
      </c>
      <c r="C398" s="1" t="s">
        <v>21</v>
      </c>
      <c r="D398" s="1" t="s">
        <v>24</v>
      </c>
      <c r="E398" s="1" t="s">
        <v>19</v>
      </c>
      <c r="F398" s="1">
        <v>290.12</v>
      </c>
      <c r="G398" s="1" t="s">
        <v>162</v>
      </c>
      <c r="H398" s="2">
        <v>32712</v>
      </c>
      <c r="I398" s="2">
        <v>44567</v>
      </c>
      <c r="J398" s="1">
        <v>29.2</v>
      </c>
      <c r="K398" s="4">
        <f t="shared" si="12"/>
        <v>84.715040000000002</v>
      </c>
      <c r="L398" s="4">
        <f t="shared" si="13"/>
        <v>205.40496000000002</v>
      </c>
      <c r="O398">
        <v>1542</v>
      </c>
      <c r="P398">
        <v>44107</v>
      </c>
      <c r="Q398" t="str">
        <v>Central</v>
      </c>
      <c r="R398" t="str">
        <v>Jacket</v>
      </c>
      <c r="S398" t="str">
        <v>Clothing</v>
      </c>
      <c r="T398">
        <v>3842.31</v>
      </c>
      <c r="U398" t="str">
        <v>Garrett Delgado</v>
      </c>
      <c r="V398">
        <v>38510</v>
      </c>
      <c r="W398">
        <v>44115</v>
      </c>
      <c r="X398">
        <v>7.26</v>
      </c>
      <c r="Y398">
        <v>278.951706</v>
      </c>
      <c r="Z398">
        <v>3563.3582940000001</v>
      </c>
      <c r="AC398" t="str">
        <v>Rice</v>
      </c>
      <c r="AD398">
        <v>3033.3866360000002</v>
      </c>
      <c r="AF398">
        <v>1540</v>
      </c>
      <c r="AG398" t="str">
        <v>Wardrobe</v>
      </c>
      <c r="AH398">
        <v>1213.48668</v>
      </c>
    </row>
    <row r="399" spans="1:34" x14ac:dyDescent="0.3">
      <c r="A399" s="1">
        <v>1397</v>
      </c>
      <c r="B399" s="2">
        <v>45467</v>
      </c>
      <c r="C399" s="1" t="s">
        <v>21</v>
      </c>
      <c r="D399" s="1" t="s">
        <v>33</v>
      </c>
      <c r="E399" s="1" t="s">
        <v>16</v>
      </c>
      <c r="F399" s="1">
        <v>2922.55</v>
      </c>
      <c r="G399" s="1" t="s">
        <v>170</v>
      </c>
      <c r="H399" s="2">
        <v>34205</v>
      </c>
      <c r="I399" s="2">
        <v>45481</v>
      </c>
      <c r="J399" s="1">
        <v>25.17</v>
      </c>
      <c r="K399" s="4">
        <f t="shared" si="12"/>
        <v>735.60583500000018</v>
      </c>
      <c r="L399" s="4">
        <f t="shared" si="13"/>
        <v>2186.9441649999999</v>
      </c>
      <c r="O399">
        <v>1543</v>
      </c>
      <c r="P399">
        <v>45180</v>
      </c>
      <c r="Q399" t="str">
        <v>East</v>
      </c>
      <c r="R399" t="str">
        <v>Oil</v>
      </c>
      <c r="S399" t="str">
        <v>Groceries</v>
      </c>
      <c r="T399">
        <v>3234.76</v>
      </c>
      <c r="U399" t="str">
        <v>Marissa Johnson</v>
      </c>
      <c r="V399">
        <v>38628</v>
      </c>
      <c r="W399">
        <v>45184</v>
      </c>
      <c r="X399">
        <v>43.21</v>
      </c>
      <c r="Y399">
        <v>1397.7397960000001</v>
      </c>
      <c r="Z399">
        <v>1837.0202040000001</v>
      </c>
      <c r="AC399" t="str">
        <v>Jacket</v>
      </c>
      <c r="AD399">
        <v>3563.3582940000001</v>
      </c>
      <c r="AF399">
        <v>1541</v>
      </c>
      <c r="AG399" t="str">
        <v>Rice</v>
      </c>
      <c r="AH399">
        <v>3033.3866360000002</v>
      </c>
    </row>
    <row r="400" spans="1:34" x14ac:dyDescent="0.3">
      <c r="A400" s="1">
        <v>1398</v>
      </c>
      <c r="B400" s="2">
        <v>44212</v>
      </c>
      <c r="C400" s="1" t="s">
        <v>35</v>
      </c>
      <c r="D400" s="1" t="s">
        <v>88</v>
      </c>
      <c r="E400" s="1" t="s">
        <v>16</v>
      </c>
      <c r="F400" s="1">
        <v>3671.09</v>
      </c>
      <c r="G400" s="1" t="s">
        <v>112</v>
      </c>
      <c r="H400" s="2">
        <v>38171</v>
      </c>
      <c r="I400" s="2">
        <v>44225</v>
      </c>
      <c r="J400" s="1">
        <v>45.75</v>
      </c>
      <c r="K400" s="4">
        <f t="shared" si="12"/>
        <v>1679.5236750000001</v>
      </c>
      <c r="L400" s="4">
        <f t="shared" si="13"/>
        <v>1991.566325</v>
      </c>
      <c r="O400">
        <v>1546</v>
      </c>
      <c r="P400">
        <v>45115</v>
      </c>
      <c r="Q400" t="str">
        <v>West</v>
      </c>
      <c r="R400" t="str">
        <v>Smartphone</v>
      </c>
      <c r="S400" t="str">
        <v>Electronics</v>
      </c>
      <c r="T400">
        <v>2231.37</v>
      </c>
      <c r="U400" t="str">
        <v>Michael Robinson</v>
      </c>
      <c r="V400">
        <v>30054</v>
      </c>
      <c r="W400">
        <v>45119</v>
      </c>
      <c r="X400">
        <v>27.76</v>
      </c>
      <c r="Y400">
        <v>619.42831200000001</v>
      </c>
      <c r="Z400">
        <v>1611.9416879999999</v>
      </c>
      <c r="AC400" t="str">
        <v>Oil</v>
      </c>
      <c r="AD400">
        <v>1837.0202040000001</v>
      </c>
      <c r="AF400">
        <v>1542</v>
      </c>
      <c r="AG400" t="str">
        <v>Jacket</v>
      </c>
      <c r="AH400">
        <v>3563.3582940000001</v>
      </c>
    </row>
    <row r="401" spans="1:34" x14ac:dyDescent="0.3">
      <c r="A401" s="1">
        <v>1399</v>
      </c>
      <c r="B401" s="2">
        <v>44519</v>
      </c>
      <c r="C401" s="1" t="s">
        <v>21</v>
      </c>
      <c r="D401" s="1" t="s">
        <v>73</v>
      </c>
      <c r="E401" s="1" t="s">
        <v>28</v>
      </c>
      <c r="F401" s="1">
        <v>2050.44</v>
      </c>
      <c r="G401" s="1" t="s">
        <v>257</v>
      </c>
      <c r="H401" s="2">
        <v>31685</v>
      </c>
      <c r="I401" s="2">
        <v>44524</v>
      </c>
      <c r="J401" s="1">
        <v>25.46</v>
      </c>
      <c r="K401" s="4">
        <f t="shared" si="12"/>
        <v>522.04202399999997</v>
      </c>
      <c r="L401" s="4">
        <f t="shared" si="13"/>
        <v>1528.3979760000002</v>
      </c>
      <c r="O401">
        <v>1547</v>
      </c>
      <c r="P401">
        <v>44852</v>
      </c>
      <c r="Q401" t="str">
        <v>South</v>
      </c>
      <c r="R401" t="str">
        <v>Football</v>
      </c>
      <c r="S401" t="str">
        <v>Sports</v>
      </c>
      <c r="T401">
        <v>3146.45</v>
      </c>
      <c r="U401" t="str">
        <v>Marissa Johnson</v>
      </c>
      <c r="V401">
        <v>38628</v>
      </c>
      <c r="W401">
        <v>44856</v>
      </c>
      <c r="X401">
        <v>22.43</v>
      </c>
      <c r="Y401">
        <v>705.74873500000001</v>
      </c>
      <c r="Z401">
        <v>2440.7012649999997</v>
      </c>
      <c r="AC401" t="str">
        <v>Smartphone</v>
      </c>
      <c r="AD401">
        <v>1611.9416879999999</v>
      </c>
      <c r="AF401">
        <v>1543</v>
      </c>
      <c r="AG401" t="str">
        <v>Oil</v>
      </c>
      <c r="AH401">
        <v>1837.0202040000001</v>
      </c>
    </row>
    <row r="402" spans="1:34" x14ac:dyDescent="0.3">
      <c r="A402" s="1">
        <v>1400</v>
      </c>
      <c r="B402" s="2">
        <v>44865</v>
      </c>
      <c r="C402" s="1" t="s">
        <v>10</v>
      </c>
      <c r="D402" s="1" t="s">
        <v>88</v>
      </c>
      <c r="E402" s="1" t="s">
        <v>16</v>
      </c>
      <c r="F402" s="1">
        <v>3393.17</v>
      </c>
      <c r="G402" s="1" t="s">
        <v>258</v>
      </c>
      <c r="H402" s="2">
        <v>37946</v>
      </c>
      <c r="I402" s="2">
        <v>44873</v>
      </c>
      <c r="J402" s="1">
        <v>49.78</v>
      </c>
      <c r="K402" s="4">
        <f t="shared" si="12"/>
        <v>1689.1200260000001</v>
      </c>
      <c r="L402" s="4">
        <f t="shared" si="13"/>
        <v>1704.049974</v>
      </c>
      <c r="O402">
        <v>1548</v>
      </c>
      <c r="P402">
        <v>45135</v>
      </c>
      <c r="Q402" t="str">
        <v>West</v>
      </c>
      <c r="R402" t="str">
        <v>Tennis Racket</v>
      </c>
      <c r="S402" t="str">
        <v>Sports</v>
      </c>
      <c r="T402">
        <v>2867.29</v>
      </c>
      <c r="U402" t="str">
        <v>Timothy Castaneda</v>
      </c>
      <c r="V402">
        <v>31880</v>
      </c>
      <c r="W402">
        <v>45144</v>
      </c>
      <c r="X402">
        <v>27.85</v>
      </c>
      <c r="Y402">
        <v>798.54026500000009</v>
      </c>
      <c r="Z402">
        <v>2068.7497349999999</v>
      </c>
      <c r="AC402" t="str">
        <v>Football</v>
      </c>
      <c r="AD402">
        <v>2440.7012649999997</v>
      </c>
      <c r="AF402">
        <v>1546</v>
      </c>
      <c r="AG402" t="str">
        <v>Smartphone</v>
      </c>
      <c r="AH402">
        <v>1611.9416879999999</v>
      </c>
    </row>
    <row r="403" spans="1:34" x14ac:dyDescent="0.3">
      <c r="A403" s="1">
        <v>1401</v>
      </c>
      <c r="B403" s="2">
        <v>44345</v>
      </c>
      <c r="C403" s="1" t="s">
        <v>10</v>
      </c>
      <c r="D403" s="1" t="s">
        <v>38</v>
      </c>
      <c r="E403" s="1" t="s">
        <v>28</v>
      </c>
      <c r="F403" s="1">
        <v>3686.7</v>
      </c>
      <c r="G403" s="1" t="s">
        <v>140</v>
      </c>
      <c r="H403" s="2">
        <v>24579</v>
      </c>
      <c r="I403" s="2">
        <v>44355</v>
      </c>
      <c r="J403" s="1">
        <v>4.78</v>
      </c>
      <c r="K403" s="4">
        <f t="shared" si="12"/>
        <v>176.22425999999999</v>
      </c>
      <c r="L403" s="4">
        <f t="shared" si="13"/>
        <v>3510.4757399999999</v>
      </c>
      <c r="O403">
        <v>1549</v>
      </c>
      <c r="P403">
        <v>45554</v>
      </c>
      <c r="Q403" t="str">
        <v>West</v>
      </c>
      <c r="R403" t="str">
        <v>Shoes</v>
      </c>
      <c r="S403" t="str">
        <v>Clothing</v>
      </c>
      <c r="T403">
        <v>3780.34</v>
      </c>
      <c r="U403" t="str">
        <v>Lisa Garcia</v>
      </c>
      <c r="V403">
        <v>31578</v>
      </c>
      <c r="W403">
        <v>45562</v>
      </c>
      <c r="X403">
        <v>24.49</v>
      </c>
      <c r="Y403">
        <v>925.80526599999996</v>
      </c>
      <c r="Z403">
        <v>2854.5347340000003</v>
      </c>
      <c r="AC403" t="str">
        <v>Tennis Racket</v>
      </c>
      <c r="AD403">
        <v>2068.7497349999999</v>
      </c>
      <c r="AF403">
        <v>1547</v>
      </c>
      <c r="AG403" t="str">
        <v>Football</v>
      </c>
      <c r="AH403">
        <v>2440.7012649999997</v>
      </c>
    </row>
    <row r="404" spans="1:34" x14ac:dyDescent="0.3">
      <c r="A404" s="1">
        <v>1402</v>
      </c>
      <c r="B404" s="2">
        <v>45145</v>
      </c>
      <c r="C404" s="1" t="s">
        <v>10</v>
      </c>
      <c r="D404" s="1" t="s">
        <v>102</v>
      </c>
      <c r="E404" s="1" t="s">
        <v>12</v>
      </c>
      <c r="F404" s="1">
        <v>1537.76</v>
      </c>
      <c r="G404" s="1" t="s">
        <v>169</v>
      </c>
      <c r="H404" s="2">
        <v>37894</v>
      </c>
      <c r="I404" s="2">
        <v>45147</v>
      </c>
      <c r="J404" s="1">
        <v>32.08</v>
      </c>
      <c r="K404" s="4">
        <f t="shared" si="12"/>
        <v>493.31340799999998</v>
      </c>
      <c r="L404" s="4">
        <f t="shared" si="13"/>
        <v>1044.446592</v>
      </c>
      <c r="O404">
        <v>1551</v>
      </c>
      <c r="P404">
        <v>45270</v>
      </c>
      <c r="Q404" t="str">
        <v>Central</v>
      </c>
      <c r="R404" t="str">
        <v>Camera</v>
      </c>
      <c r="S404" t="str">
        <v>Electronics</v>
      </c>
      <c r="T404">
        <v>2344.4299999999998</v>
      </c>
      <c r="U404" t="str">
        <v>Danielle Blake</v>
      </c>
      <c r="V404">
        <v>38018</v>
      </c>
      <c r="W404">
        <v>45273</v>
      </c>
      <c r="X404">
        <v>39.96</v>
      </c>
      <c r="Y404">
        <v>936.83422799999994</v>
      </c>
      <c r="Z404">
        <v>1407.5957719999999</v>
      </c>
      <c r="AC404" t="str">
        <v>Shoes</v>
      </c>
      <c r="AD404">
        <v>2854.5347340000003</v>
      </c>
      <c r="AF404">
        <v>1548</v>
      </c>
      <c r="AG404" t="str">
        <v>Tennis Racket</v>
      </c>
      <c r="AH404">
        <v>2068.7497349999999</v>
      </c>
    </row>
    <row r="405" spans="1:34" x14ac:dyDescent="0.3">
      <c r="A405" s="1">
        <v>1403</v>
      </c>
      <c r="B405" s="2">
        <v>44270</v>
      </c>
      <c r="C405" s="1" t="s">
        <v>26</v>
      </c>
      <c r="D405" s="1" t="s">
        <v>36</v>
      </c>
      <c r="E405" s="1" t="s">
        <v>28</v>
      </c>
      <c r="F405" s="1">
        <v>2977.52</v>
      </c>
      <c r="G405" s="1" t="s">
        <v>249</v>
      </c>
      <c r="H405" s="2">
        <v>28555</v>
      </c>
      <c r="I405" s="2">
        <v>44284</v>
      </c>
      <c r="J405" s="1">
        <v>44.42</v>
      </c>
      <c r="K405" s="4">
        <f t="shared" si="12"/>
        <v>1322.6143840000002</v>
      </c>
      <c r="L405" s="4">
        <f t="shared" si="13"/>
        <v>1654.9056159999998</v>
      </c>
      <c r="O405">
        <v>1552</v>
      </c>
      <c r="P405">
        <v>45467</v>
      </c>
      <c r="Q405" t="str">
        <v>Central</v>
      </c>
      <c r="R405" t="str">
        <v>Table</v>
      </c>
      <c r="S405" t="str">
        <v>Furniture</v>
      </c>
      <c r="T405">
        <v>1735.59</v>
      </c>
      <c r="U405" t="str">
        <v>Danielle Perry</v>
      </c>
      <c r="V405">
        <v>37674</v>
      </c>
      <c r="W405">
        <v>45481</v>
      </c>
      <c r="X405">
        <v>35.090000000000003</v>
      </c>
      <c r="Y405">
        <v>609.01853100000005</v>
      </c>
      <c r="Z405">
        <v>1126.571469</v>
      </c>
      <c r="AC405" t="str">
        <v>Camera</v>
      </c>
      <c r="AD405">
        <v>1407.5957719999999</v>
      </c>
      <c r="AF405">
        <v>1549</v>
      </c>
      <c r="AG405" t="str">
        <v>Shoes</v>
      </c>
      <c r="AH405">
        <v>2854.5347340000003</v>
      </c>
    </row>
    <row r="406" spans="1:34" x14ac:dyDescent="0.3">
      <c r="A406" s="1">
        <v>1404</v>
      </c>
      <c r="B406" s="2">
        <v>44971</v>
      </c>
      <c r="C406" s="1" t="s">
        <v>10</v>
      </c>
      <c r="D406" s="1" t="s">
        <v>11</v>
      </c>
      <c r="E406" s="1" t="s">
        <v>12</v>
      </c>
      <c r="F406" s="1">
        <v>4251.04</v>
      </c>
      <c r="G406" s="1" t="s">
        <v>122</v>
      </c>
      <c r="H406" s="2">
        <v>29720</v>
      </c>
      <c r="I406" s="2">
        <v>44977</v>
      </c>
      <c r="J406" s="1">
        <v>32.68</v>
      </c>
      <c r="K406" s="4">
        <f t="shared" si="12"/>
        <v>1389.2398719999999</v>
      </c>
      <c r="L406" s="4">
        <f t="shared" si="13"/>
        <v>2861.8001279999999</v>
      </c>
      <c r="O406">
        <v>1553</v>
      </c>
      <c r="P406">
        <v>44373</v>
      </c>
      <c r="Q406" t="str">
        <v>East</v>
      </c>
      <c r="R406" t="str">
        <v>Wheat</v>
      </c>
      <c r="S406" t="str">
        <v>Groceries</v>
      </c>
      <c r="T406">
        <v>2287.91</v>
      </c>
      <c r="U406" t="str">
        <v>Charles Delgado</v>
      </c>
      <c r="V406">
        <v>29486</v>
      </c>
      <c r="W406">
        <v>44377</v>
      </c>
      <c r="X406">
        <v>26.95</v>
      </c>
      <c r="Y406">
        <v>616.59174499999995</v>
      </c>
      <c r="Z406">
        <v>1671.3182549999999</v>
      </c>
      <c r="AC406" t="str">
        <v>Table</v>
      </c>
      <c r="AD406">
        <v>1126.571469</v>
      </c>
      <c r="AF406">
        <v>1551</v>
      </c>
      <c r="AG406" t="str">
        <v>Camera</v>
      </c>
      <c r="AH406">
        <v>1407.5957719999999</v>
      </c>
    </row>
    <row r="407" spans="1:34" x14ac:dyDescent="0.3">
      <c r="A407" s="1">
        <v>1405</v>
      </c>
      <c r="B407" s="2">
        <v>45710</v>
      </c>
      <c r="C407" s="1" t="s">
        <v>21</v>
      </c>
      <c r="D407" s="1" t="s">
        <v>55</v>
      </c>
      <c r="E407" s="1" t="s">
        <v>31</v>
      </c>
      <c r="F407" s="1">
        <v>2107.34</v>
      </c>
      <c r="G407" s="1" t="s">
        <v>254</v>
      </c>
      <c r="H407" s="2">
        <v>29366</v>
      </c>
      <c r="I407" s="2">
        <v>45720</v>
      </c>
      <c r="J407" s="1">
        <v>49.22</v>
      </c>
      <c r="K407" s="4">
        <f t="shared" si="12"/>
        <v>1037.2327479999999</v>
      </c>
      <c r="L407" s="4">
        <f t="shared" si="13"/>
        <v>1070.1072520000002</v>
      </c>
      <c r="O407">
        <v>1554</v>
      </c>
      <c r="P407">
        <v>44493</v>
      </c>
      <c r="Q407" t="str">
        <v>South</v>
      </c>
      <c r="R407" t="str">
        <v>Football</v>
      </c>
      <c r="S407" t="str">
        <v>Sports</v>
      </c>
      <c r="T407">
        <v>1994.35</v>
      </c>
      <c r="U407" t="str">
        <v>Richard Crawford</v>
      </c>
      <c r="V407">
        <v>36623</v>
      </c>
      <c r="W407">
        <v>44502</v>
      </c>
      <c r="X407">
        <v>19.809999999999999</v>
      </c>
      <c r="Y407">
        <v>395.080735</v>
      </c>
      <c r="Z407">
        <v>1599.2692649999999</v>
      </c>
      <c r="AC407" t="str">
        <v>Wheat</v>
      </c>
      <c r="AD407">
        <v>1671.3182549999999</v>
      </c>
      <c r="AF407">
        <v>1552</v>
      </c>
      <c r="AG407" t="str">
        <v>Table</v>
      </c>
      <c r="AH407">
        <v>1126.571469</v>
      </c>
    </row>
    <row r="408" spans="1:34" x14ac:dyDescent="0.3">
      <c r="A408" s="1">
        <v>1406</v>
      </c>
      <c r="B408" s="2">
        <v>45428</v>
      </c>
      <c r="C408" s="1" t="s">
        <v>21</v>
      </c>
      <c r="D408" s="1" t="s">
        <v>69</v>
      </c>
      <c r="E408" s="1" t="s">
        <v>31</v>
      </c>
      <c r="F408" s="1">
        <v>644.87</v>
      </c>
      <c r="G408" s="1" t="s">
        <v>259</v>
      </c>
      <c r="H408" s="2">
        <v>29938</v>
      </c>
      <c r="I408" s="2">
        <v>45437</v>
      </c>
      <c r="J408" s="1">
        <v>43.54</v>
      </c>
      <c r="K408" s="4">
        <f t="shared" si="12"/>
        <v>280.77639800000003</v>
      </c>
      <c r="L408" s="4">
        <f t="shared" si="13"/>
        <v>364.09360199999998</v>
      </c>
      <c r="O408">
        <v>1555</v>
      </c>
      <c r="P408">
        <v>45185</v>
      </c>
      <c r="Q408" t="str">
        <v>East</v>
      </c>
      <c r="R408" t="str">
        <v>Chair</v>
      </c>
      <c r="S408" t="str">
        <v>Furniture</v>
      </c>
      <c r="T408">
        <v>1096.3800000000001</v>
      </c>
      <c r="U408" t="str">
        <v>Kevin Rosario</v>
      </c>
      <c r="V408">
        <v>36012</v>
      </c>
      <c r="W408">
        <v>45195</v>
      </c>
      <c r="X408">
        <v>6.24</v>
      </c>
      <c r="Y408">
        <v>68.414112000000017</v>
      </c>
      <c r="Z408">
        <v>1027.9658880000002</v>
      </c>
      <c r="AC408" t="str">
        <v>Football</v>
      </c>
      <c r="AD408">
        <v>1599.2692649999999</v>
      </c>
      <c r="AF408">
        <v>1553</v>
      </c>
      <c r="AG408" t="str">
        <v>Wheat</v>
      </c>
      <c r="AH408">
        <v>1671.3182549999999</v>
      </c>
    </row>
    <row r="409" spans="1:34" x14ac:dyDescent="0.3">
      <c r="A409" s="1">
        <v>1407</v>
      </c>
      <c r="B409" s="2">
        <v>45775</v>
      </c>
      <c r="C409" s="1" t="s">
        <v>10</v>
      </c>
      <c r="D409" s="1" t="s">
        <v>44</v>
      </c>
      <c r="E409" s="1" t="s">
        <v>16</v>
      </c>
      <c r="F409" s="1">
        <v>4875.7700000000004</v>
      </c>
      <c r="G409" s="1" t="s">
        <v>25</v>
      </c>
      <c r="H409" s="2">
        <v>33386</v>
      </c>
      <c r="I409" s="2">
        <v>45786</v>
      </c>
      <c r="J409" s="1">
        <v>7.58</v>
      </c>
      <c r="K409" s="4">
        <f t="shared" si="12"/>
        <v>369.58336600000007</v>
      </c>
      <c r="L409" s="4">
        <f t="shared" si="13"/>
        <v>4506.1866340000006</v>
      </c>
      <c r="O409">
        <v>1557</v>
      </c>
      <c r="P409">
        <v>45717</v>
      </c>
      <c r="Q409" t="str">
        <v>North</v>
      </c>
      <c r="R409" t="str">
        <v>Tennis Racket</v>
      </c>
      <c r="S409" t="str">
        <v>Sports</v>
      </c>
      <c r="T409">
        <v>4784.0600000000004</v>
      </c>
      <c r="U409" t="str">
        <v>Amanda West</v>
      </c>
      <c r="V409">
        <v>30356</v>
      </c>
      <c r="W409">
        <v>45729</v>
      </c>
      <c r="X409">
        <v>23.56</v>
      </c>
      <c r="Y409">
        <v>1127.124536</v>
      </c>
      <c r="Z409">
        <v>3656.9354640000001</v>
      </c>
      <c r="AC409" t="str">
        <v>Chair</v>
      </c>
      <c r="AD409">
        <v>1027.9658880000002</v>
      </c>
      <c r="AF409">
        <v>1554</v>
      </c>
      <c r="AG409" t="str">
        <v>Football</v>
      </c>
      <c r="AH409">
        <v>1599.2692649999999</v>
      </c>
    </row>
    <row r="410" spans="1:34" x14ac:dyDescent="0.3">
      <c r="A410" s="1">
        <v>1408</v>
      </c>
      <c r="B410" s="2">
        <v>44816</v>
      </c>
      <c r="C410" s="1" t="s">
        <v>21</v>
      </c>
      <c r="D410" s="1" t="s">
        <v>38</v>
      </c>
      <c r="E410" s="1" t="s">
        <v>28</v>
      </c>
      <c r="F410" s="1">
        <v>571.20000000000005</v>
      </c>
      <c r="G410" s="1" t="s">
        <v>231</v>
      </c>
      <c r="H410" s="2">
        <v>32047</v>
      </c>
      <c r="I410" s="2">
        <v>44825</v>
      </c>
      <c r="J410" s="1">
        <v>37.200000000000003</v>
      </c>
      <c r="K410" s="4">
        <f t="shared" si="12"/>
        <v>212.48640000000006</v>
      </c>
      <c r="L410" s="4">
        <f t="shared" si="13"/>
        <v>358.71359999999999</v>
      </c>
      <c r="O410">
        <v>1559</v>
      </c>
      <c r="P410">
        <v>44310</v>
      </c>
      <c r="Q410" t="str">
        <v>East</v>
      </c>
      <c r="R410" t="str">
        <v>Table</v>
      </c>
      <c r="S410" t="str">
        <v>Furniture</v>
      </c>
      <c r="T410">
        <v>2973.2</v>
      </c>
      <c r="U410" t="str">
        <v>Alicia Campbell</v>
      </c>
      <c r="V410">
        <v>33984</v>
      </c>
      <c r="W410">
        <v>44312</v>
      </c>
      <c r="X410">
        <v>43.08</v>
      </c>
      <c r="Y410">
        <v>1280.8545599999998</v>
      </c>
      <c r="Z410">
        <v>1692.3454400000001</v>
      </c>
      <c r="AC410" t="str">
        <v>Tennis Racket</v>
      </c>
      <c r="AD410">
        <v>3656.9354640000001</v>
      </c>
      <c r="AF410">
        <v>1555</v>
      </c>
      <c r="AG410" t="str">
        <v>Chair</v>
      </c>
      <c r="AH410">
        <v>1027.9658880000002</v>
      </c>
    </row>
    <row r="411" spans="1:34" x14ac:dyDescent="0.3">
      <c r="A411" s="1">
        <v>1409</v>
      </c>
      <c r="B411" s="2">
        <v>45235</v>
      </c>
      <c r="C411" s="1" t="s">
        <v>21</v>
      </c>
      <c r="D411" s="1" t="s">
        <v>61</v>
      </c>
      <c r="E411" s="1" t="s">
        <v>19</v>
      </c>
      <c r="F411" s="1">
        <v>2000.28</v>
      </c>
      <c r="G411" s="1" t="s">
        <v>260</v>
      </c>
      <c r="H411" s="2">
        <v>38628</v>
      </c>
      <c r="I411" s="2">
        <v>45237</v>
      </c>
      <c r="J411" s="1">
        <v>37.200000000000003</v>
      </c>
      <c r="K411" s="4">
        <f t="shared" si="12"/>
        <v>744.10416000000009</v>
      </c>
      <c r="L411" s="4">
        <f t="shared" si="13"/>
        <v>1256.1758399999999</v>
      </c>
      <c r="O411">
        <v>1561</v>
      </c>
      <c r="P411">
        <v>44315</v>
      </c>
      <c r="Q411" t="str">
        <v>East</v>
      </c>
      <c r="R411" t="str">
        <v>Bed</v>
      </c>
      <c r="S411" t="str">
        <v>Furniture</v>
      </c>
      <c r="T411">
        <v>4446.5200000000004</v>
      </c>
      <c r="U411" t="str">
        <v>Caitlin Crane</v>
      </c>
      <c r="V411">
        <v>33332</v>
      </c>
      <c r="W411">
        <v>44318</v>
      </c>
      <c r="X411">
        <v>11.97</v>
      </c>
      <c r="Y411">
        <v>532.24844400000006</v>
      </c>
      <c r="Z411">
        <v>3914.2715560000006</v>
      </c>
      <c r="AC411" t="str">
        <v>Table</v>
      </c>
      <c r="AD411">
        <v>1692.3454400000001</v>
      </c>
      <c r="AF411">
        <v>1557</v>
      </c>
      <c r="AG411" t="str">
        <v>Tennis Racket</v>
      </c>
      <c r="AH411">
        <v>3656.9354640000001</v>
      </c>
    </row>
    <row r="412" spans="1:34" x14ac:dyDescent="0.3">
      <c r="A412" s="1">
        <v>1410</v>
      </c>
      <c r="B412" s="2">
        <v>44170</v>
      </c>
      <c r="C412" s="1" t="s">
        <v>26</v>
      </c>
      <c r="D412" s="1" t="s">
        <v>102</v>
      </c>
      <c r="E412" s="1" t="s">
        <v>12</v>
      </c>
      <c r="F412" s="1">
        <v>3107.81</v>
      </c>
      <c r="G412" s="1" t="s">
        <v>108</v>
      </c>
      <c r="H412" s="2">
        <v>33413</v>
      </c>
      <c r="I412" s="2">
        <v>44184</v>
      </c>
      <c r="J412" s="1">
        <v>27.37</v>
      </c>
      <c r="K412" s="4">
        <f t="shared" si="12"/>
        <v>850.60759699999994</v>
      </c>
      <c r="L412" s="4">
        <f t="shared" si="13"/>
        <v>2257.2024030000002</v>
      </c>
      <c r="O412">
        <v>1562</v>
      </c>
      <c r="P412">
        <v>44212</v>
      </c>
      <c r="Q412" t="str">
        <v>South</v>
      </c>
      <c r="R412" t="str">
        <v>Headphones</v>
      </c>
      <c r="S412" t="str">
        <v>Electronics</v>
      </c>
      <c r="T412">
        <v>4265.46</v>
      </c>
      <c r="U412" t="str">
        <v>William Stewart</v>
      </c>
      <c r="V412">
        <v>33626</v>
      </c>
      <c r="W412">
        <v>44223</v>
      </c>
      <c r="X412">
        <v>0.21</v>
      </c>
      <c r="Y412">
        <v>8.9574660000000002</v>
      </c>
      <c r="Z412">
        <v>4256.5025340000002</v>
      </c>
      <c r="AC412" t="str">
        <v>Bed</v>
      </c>
      <c r="AD412">
        <v>3914.2715560000006</v>
      </c>
      <c r="AF412">
        <v>1559</v>
      </c>
      <c r="AG412" t="str">
        <v>Table</v>
      </c>
      <c r="AH412">
        <v>1692.3454400000001</v>
      </c>
    </row>
    <row r="413" spans="1:34" x14ac:dyDescent="0.3">
      <c r="A413" s="1">
        <v>1411</v>
      </c>
      <c r="B413" s="2">
        <v>45077</v>
      </c>
      <c r="C413" s="1" t="s">
        <v>21</v>
      </c>
      <c r="D413" s="1" t="s">
        <v>69</v>
      </c>
      <c r="E413" s="1" t="s">
        <v>12</v>
      </c>
      <c r="F413" s="1">
        <v>3792.39</v>
      </c>
      <c r="G413" s="1" t="s">
        <v>194</v>
      </c>
      <c r="H413" s="2">
        <v>22210</v>
      </c>
      <c r="I413" s="2">
        <v>45080</v>
      </c>
      <c r="J413" s="1">
        <v>10.57</v>
      </c>
      <c r="K413" s="4">
        <f t="shared" si="12"/>
        <v>400.85562299999998</v>
      </c>
      <c r="L413" s="4">
        <f t="shared" si="13"/>
        <v>3391.5343769999999</v>
      </c>
      <c r="O413">
        <v>1563</v>
      </c>
      <c r="P413">
        <v>44096</v>
      </c>
      <c r="Q413" t="str">
        <v>West</v>
      </c>
      <c r="R413" t="str">
        <v>Chair</v>
      </c>
      <c r="S413" t="str">
        <v>Furniture</v>
      </c>
      <c r="T413">
        <v>3498</v>
      </c>
      <c r="U413" t="str">
        <v>Christina Bennett</v>
      </c>
      <c r="V413">
        <v>36120</v>
      </c>
      <c r="W413">
        <v>44109</v>
      </c>
      <c r="X413">
        <v>36.71</v>
      </c>
      <c r="Y413">
        <v>1284.1158</v>
      </c>
      <c r="Z413">
        <v>2213.8842</v>
      </c>
      <c r="AC413" t="str">
        <v>Headphones</v>
      </c>
      <c r="AD413">
        <v>4256.5025340000002</v>
      </c>
      <c r="AF413">
        <v>1561</v>
      </c>
      <c r="AG413" t="str">
        <v>Bed</v>
      </c>
      <c r="AH413">
        <v>3914.2715560000006</v>
      </c>
    </row>
    <row r="414" spans="1:34" x14ac:dyDescent="0.3">
      <c r="A414" s="1">
        <v>1412</v>
      </c>
      <c r="B414" s="2">
        <v>45075</v>
      </c>
      <c r="C414" s="1" t="s">
        <v>21</v>
      </c>
      <c r="D414" s="1" t="s">
        <v>88</v>
      </c>
      <c r="E414" s="1" t="s">
        <v>16</v>
      </c>
      <c r="F414" s="1">
        <v>4759.97</v>
      </c>
      <c r="G414" s="1" t="s">
        <v>261</v>
      </c>
      <c r="H414" s="2">
        <v>23920</v>
      </c>
      <c r="I414" s="2">
        <v>45084</v>
      </c>
      <c r="J414" s="1">
        <v>15.69</v>
      </c>
      <c r="K414" s="4">
        <f t="shared" si="12"/>
        <v>746.839293</v>
      </c>
      <c r="L414" s="4">
        <f t="shared" si="13"/>
        <v>4013.1307070000003</v>
      </c>
      <c r="O414">
        <v>1564</v>
      </c>
      <c r="P414">
        <v>44837</v>
      </c>
      <c r="Q414" t="str">
        <v>North</v>
      </c>
      <c r="R414" t="str">
        <v>Eggs</v>
      </c>
      <c r="S414" t="str">
        <v>Groceries</v>
      </c>
      <c r="T414">
        <v>1713.91</v>
      </c>
      <c r="U414" t="str">
        <v>Harry Holmes</v>
      </c>
      <c r="V414">
        <v>25712</v>
      </c>
      <c r="W414">
        <v>44841</v>
      </c>
      <c r="X414">
        <v>23.44</v>
      </c>
      <c r="Y414">
        <v>401.74050400000004</v>
      </c>
      <c r="Z414">
        <v>1312.169496</v>
      </c>
      <c r="AC414" t="str">
        <v>Chair</v>
      </c>
      <c r="AD414">
        <v>2213.8842</v>
      </c>
      <c r="AF414">
        <v>1562</v>
      </c>
      <c r="AG414" t="str">
        <v>Headphones</v>
      </c>
      <c r="AH414">
        <v>4256.5025340000002</v>
      </c>
    </row>
    <row r="415" spans="1:34" x14ac:dyDescent="0.3">
      <c r="A415" s="1">
        <v>1413</v>
      </c>
      <c r="B415" s="2">
        <v>45701</v>
      </c>
      <c r="C415" s="1" t="s">
        <v>14</v>
      </c>
      <c r="D415" s="1" t="s">
        <v>102</v>
      </c>
      <c r="E415" s="1" t="s">
        <v>12</v>
      </c>
      <c r="F415" s="1">
        <v>981.46</v>
      </c>
      <c r="G415" s="1" t="s">
        <v>42</v>
      </c>
      <c r="H415" s="2">
        <v>26027</v>
      </c>
      <c r="I415" s="2">
        <v>45707</v>
      </c>
      <c r="J415" s="1">
        <v>36.18</v>
      </c>
      <c r="K415" s="4">
        <f t="shared" si="12"/>
        <v>355.09222800000003</v>
      </c>
      <c r="L415" s="4">
        <f t="shared" si="13"/>
        <v>626.36777200000006</v>
      </c>
      <c r="O415">
        <v>1565</v>
      </c>
      <c r="P415">
        <v>44649</v>
      </c>
      <c r="Q415" t="str">
        <v>South</v>
      </c>
      <c r="R415" t="str">
        <v>Bed</v>
      </c>
      <c r="S415" t="str">
        <v>Furniture</v>
      </c>
      <c r="T415">
        <v>4205.53</v>
      </c>
      <c r="U415" t="str">
        <v>Donald Mckenzie</v>
      </c>
      <c r="V415">
        <v>33482</v>
      </c>
      <c r="W415">
        <v>44660</v>
      </c>
      <c r="X415">
        <v>33.07</v>
      </c>
      <c r="Y415">
        <v>1390.7687709999998</v>
      </c>
      <c r="Z415">
        <v>2814.7612289999997</v>
      </c>
      <c r="AC415" t="str">
        <v>Eggs</v>
      </c>
      <c r="AD415">
        <v>1312.169496</v>
      </c>
      <c r="AF415">
        <v>1563</v>
      </c>
      <c r="AG415" t="str">
        <v>Chair</v>
      </c>
      <c r="AH415">
        <v>2213.8842</v>
      </c>
    </row>
    <row r="416" spans="1:34" x14ac:dyDescent="0.3">
      <c r="A416" s="1">
        <v>1414</v>
      </c>
      <c r="B416" s="2">
        <v>44253</v>
      </c>
      <c r="C416" s="1" t="s">
        <v>14</v>
      </c>
      <c r="D416" s="1" t="s">
        <v>27</v>
      </c>
      <c r="E416" s="1" t="s">
        <v>28</v>
      </c>
      <c r="F416" s="1">
        <v>2570.37</v>
      </c>
      <c r="G416" s="1" t="s">
        <v>262</v>
      </c>
      <c r="H416" s="2">
        <v>36590</v>
      </c>
      <c r="I416" s="2">
        <v>44256</v>
      </c>
      <c r="J416" s="1">
        <v>12.84</v>
      </c>
      <c r="K416" s="4">
        <f t="shared" si="12"/>
        <v>330.03550799999994</v>
      </c>
      <c r="L416" s="4">
        <f t="shared" si="13"/>
        <v>2240.334492</v>
      </c>
      <c r="O416">
        <v>1566</v>
      </c>
      <c r="P416">
        <v>45022</v>
      </c>
      <c r="Q416" t="str">
        <v>West</v>
      </c>
      <c r="R416" t="str">
        <v>Bed</v>
      </c>
      <c r="S416" t="str">
        <v>Furniture</v>
      </c>
      <c r="T416">
        <v>1608.38</v>
      </c>
      <c r="U416" t="str">
        <v>Bradley Martinez</v>
      </c>
      <c r="V416">
        <v>39045</v>
      </c>
      <c r="W416">
        <v>45029</v>
      </c>
      <c r="X416">
        <v>11.05</v>
      </c>
      <c r="Y416">
        <v>177.72599000000002</v>
      </c>
      <c r="Z416">
        <v>1430.6540100000002</v>
      </c>
      <c r="AC416" t="str">
        <v>Bed</v>
      </c>
      <c r="AD416">
        <v>2814.7612289999997</v>
      </c>
      <c r="AF416">
        <v>1564</v>
      </c>
      <c r="AG416" t="str">
        <v>Eggs</v>
      </c>
      <c r="AH416">
        <v>1312.169496</v>
      </c>
    </row>
    <row r="417" spans="1:34" x14ac:dyDescent="0.3">
      <c r="A417" s="1">
        <v>1415</v>
      </c>
      <c r="B417" s="2">
        <v>44729</v>
      </c>
      <c r="C417" s="1" t="s">
        <v>10</v>
      </c>
      <c r="D417" s="1" t="s">
        <v>11</v>
      </c>
      <c r="E417" s="1" t="s">
        <v>12</v>
      </c>
      <c r="F417" s="1">
        <v>2414.83</v>
      </c>
      <c r="G417" s="1" t="s">
        <v>142</v>
      </c>
      <c r="H417" s="2">
        <v>29541</v>
      </c>
      <c r="I417" s="2">
        <v>44736</v>
      </c>
      <c r="J417" s="1">
        <v>5</v>
      </c>
      <c r="K417" s="4">
        <f t="shared" si="12"/>
        <v>120.7415</v>
      </c>
      <c r="L417" s="4">
        <f t="shared" si="13"/>
        <v>2294.0884999999998</v>
      </c>
      <c r="O417">
        <v>1567</v>
      </c>
      <c r="P417">
        <v>44130</v>
      </c>
      <c r="Q417" t="str">
        <v>Central</v>
      </c>
      <c r="R417" t="str">
        <v>T-Shirt</v>
      </c>
      <c r="S417" t="str">
        <v>Clothing</v>
      </c>
      <c r="T417">
        <v>4057.09</v>
      </c>
      <c r="U417" t="str">
        <v>Timothy Castaneda</v>
      </c>
      <c r="V417">
        <v>31880</v>
      </c>
      <c r="W417">
        <v>44137</v>
      </c>
      <c r="X417">
        <v>10.09</v>
      </c>
      <c r="Y417">
        <v>409.36038100000002</v>
      </c>
      <c r="Z417">
        <v>3647.7296190000002</v>
      </c>
      <c r="AC417" t="str">
        <v>Bed</v>
      </c>
      <c r="AD417">
        <v>1430.6540100000002</v>
      </c>
      <c r="AF417">
        <v>1565</v>
      </c>
      <c r="AG417" t="str">
        <v>Bed</v>
      </c>
      <c r="AH417">
        <v>2814.7612289999997</v>
      </c>
    </row>
    <row r="418" spans="1:34" x14ac:dyDescent="0.3">
      <c r="A418" s="1">
        <v>1416</v>
      </c>
      <c r="B418" s="2">
        <v>44685</v>
      </c>
      <c r="C418" s="1" t="s">
        <v>10</v>
      </c>
      <c r="D418" s="1" t="s">
        <v>33</v>
      </c>
      <c r="E418" s="1" t="s">
        <v>16</v>
      </c>
      <c r="F418" s="1">
        <v>1422.31</v>
      </c>
      <c r="G418" s="1" t="s">
        <v>74</v>
      </c>
      <c r="H418" s="2">
        <v>31224</v>
      </c>
      <c r="I418" s="2">
        <v>44694</v>
      </c>
      <c r="J418" s="1">
        <v>24.91</v>
      </c>
      <c r="K418" s="4">
        <f t="shared" si="12"/>
        <v>354.29742099999999</v>
      </c>
      <c r="L418" s="4">
        <f t="shared" si="13"/>
        <v>1068.012579</v>
      </c>
      <c r="O418">
        <v>1568</v>
      </c>
      <c r="P418">
        <v>45202</v>
      </c>
      <c r="Q418" t="str">
        <v>West</v>
      </c>
      <c r="R418" t="str">
        <v>Football</v>
      </c>
      <c r="S418" t="str">
        <v>Sports</v>
      </c>
      <c r="T418">
        <v>4062.14</v>
      </c>
      <c r="U418" t="str">
        <v>Brittany Ayala</v>
      </c>
      <c r="V418">
        <v>25103</v>
      </c>
      <c r="W418">
        <v>45205</v>
      </c>
      <c r="X418">
        <v>46.2</v>
      </c>
      <c r="Y418">
        <v>1876.70868</v>
      </c>
      <c r="Z418">
        <v>2185.4313199999997</v>
      </c>
      <c r="AC418" t="str">
        <v>T-Shirt</v>
      </c>
      <c r="AD418">
        <v>3647.7296190000002</v>
      </c>
      <c r="AF418">
        <v>1566</v>
      </c>
      <c r="AG418" t="str">
        <v>Bed</v>
      </c>
      <c r="AH418">
        <v>1430.6540100000002</v>
      </c>
    </row>
    <row r="419" spans="1:34" x14ac:dyDescent="0.3">
      <c r="A419" s="1">
        <v>1417</v>
      </c>
      <c r="B419" s="2">
        <v>45723</v>
      </c>
      <c r="C419" s="1" t="s">
        <v>26</v>
      </c>
      <c r="D419" s="1" t="s">
        <v>71</v>
      </c>
      <c r="E419" s="1" t="s">
        <v>31</v>
      </c>
      <c r="F419" s="1">
        <v>4028.63</v>
      </c>
      <c r="G419" s="1" t="s">
        <v>257</v>
      </c>
      <c r="H419" s="2">
        <v>31685</v>
      </c>
      <c r="I419" s="2">
        <v>45728</v>
      </c>
      <c r="J419" s="1">
        <v>12.49</v>
      </c>
      <c r="K419" s="4">
        <f t="shared" si="12"/>
        <v>503.17588699999999</v>
      </c>
      <c r="L419" s="4">
        <f t="shared" si="13"/>
        <v>3525.4541130000002</v>
      </c>
      <c r="O419">
        <v>1569</v>
      </c>
      <c r="P419">
        <v>45147</v>
      </c>
      <c r="Q419" t="str">
        <v>East</v>
      </c>
      <c r="R419" t="str">
        <v>Sofa</v>
      </c>
      <c r="S419" t="str">
        <v>Furniture</v>
      </c>
      <c r="T419">
        <v>3171.39</v>
      </c>
      <c r="U419" t="str">
        <v>Charles Sandoval</v>
      </c>
      <c r="V419">
        <v>35410</v>
      </c>
      <c r="W419">
        <v>45153</v>
      </c>
      <c r="X419">
        <v>25.58</v>
      </c>
      <c r="Y419">
        <v>811.24156199999993</v>
      </c>
      <c r="Z419">
        <v>2360.1484380000002</v>
      </c>
      <c r="AC419" t="str">
        <v>Football</v>
      </c>
      <c r="AD419">
        <v>2185.4313199999997</v>
      </c>
      <c r="AF419">
        <v>1567</v>
      </c>
      <c r="AG419" t="str">
        <v>T-Shirt</v>
      </c>
      <c r="AH419">
        <v>3647.7296190000002</v>
      </c>
    </row>
    <row r="420" spans="1:34" x14ac:dyDescent="0.3">
      <c r="A420" s="1">
        <v>1418</v>
      </c>
      <c r="B420" s="2">
        <v>44703</v>
      </c>
      <c r="C420" s="1" t="s">
        <v>26</v>
      </c>
      <c r="D420" s="1" t="s">
        <v>38</v>
      </c>
      <c r="E420" s="1" t="s">
        <v>28</v>
      </c>
      <c r="F420" s="1">
        <v>2352.2399999999998</v>
      </c>
      <c r="G420" s="1" t="s">
        <v>149</v>
      </c>
      <c r="H420" s="2">
        <v>26155</v>
      </c>
      <c r="I420" s="2">
        <v>44712</v>
      </c>
      <c r="J420" s="1">
        <v>34.43</v>
      </c>
      <c r="K420" s="4">
        <f t="shared" si="12"/>
        <v>809.87623199999996</v>
      </c>
      <c r="L420" s="4">
        <f t="shared" si="13"/>
        <v>1542.3637679999997</v>
      </c>
      <c r="O420">
        <v>1570</v>
      </c>
      <c r="P420">
        <v>45406</v>
      </c>
      <c r="Q420" t="str">
        <v>East</v>
      </c>
      <c r="R420" t="str">
        <v>Cap</v>
      </c>
      <c r="S420" t="str">
        <v>Clothing</v>
      </c>
      <c r="T420">
        <v>2853.87</v>
      </c>
      <c r="U420" t="str">
        <v>David Blevins</v>
      </c>
      <c r="V420">
        <v>30410</v>
      </c>
      <c r="W420">
        <v>45411</v>
      </c>
      <c r="X420">
        <v>13.21</v>
      </c>
      <c r="Y420">
        <v>376.99622699999998</v>
      </c>
      <c r="Z420">
        <v>2476.8737729999998</v>
      </c>
      <c r="AC420" t="str">
        <v>Sofa</v>
      </c>
      <c r="AD420">
        <v>2360.1484380000002</v>
      </c>
      <c r="AF420">
        <v>1568</v>
      </c>
      <c r="AG420" t="str">
        <v>Football</v>
      </c>
      <c r="AH420">
        <v>2185.4313199999997</v>
      </c>
    </row>
    <row r="421" spans="1:34" x14ac:dyDescent="0.3">
      <c r="A421" s="1">
        <v>1419</v>
      </c>
      <c r="B421" s="2">
        <v>44665</v>
      </c>
      <c r="C421" s="1" t="s">
        <v>10</v>
      </c>
      <c r="D421" s="1" t="s">
        <v>102</v>
      </c>
      <c r="E421" s="1" t="s">
        <v>12</v>
      </c>
      <c r="F421" s="1">
        <v>3084.03</v>
      </c>
      <c r="G421" s="1" t="s">
        <v>56</v>
      </c>
      <c r="H421" s="2">
        <v>25712</v>
      </c>
      <c r="I421" s="2">
        <v>44678</v>
      </c>
      <c r="J421" s="1">
        <v>21.74</v>
      </c>
      <c r="K421" s="4">
        <f t="shared" si="12"/>
        <v>670.46812199999999</v>
      </c>
      <c r="L421" s="4">
        <f t="shared" si="13"/>
        <v>2413.5618780000004</v>
      </c>
      <c r="O421">
        <v>1571</v>
      </c>
      <c r="P421">
        <v>44079</v>
      </c>
      <c r="Q421" t="str">
        <v>West</v>
      </c>
      <c r="R421" t="str">
        <v>Wheat</v>
      </c>
      <c r="S421" t="str">
        <v>Groceries</v>
      </c>
      <c r="T421">
        <v>4690.1099999999997</v>
      </c>
      <c r="U421" t="str">
        <v>Adam Martinez</v>
      </c>
      <c r="V421">
        <v>22599</v>
      </c>
      <c r="W421">
        <v>44082</v>
      </c>
      <c r="X421">
        <v>11.39</v>
      </c>
      <c r="Y421">
        <v>534.203529</v>
      </c>
      <c r="Z421">
        <v>4155.9064709999993</v>
      </c>
      <c r="AC421" t="str">
        <v>Cap</v>
      </c>
      <c r="AD421">
        <v>2476.8737729999998</v>
      </c>
      <c r="AF421">
        <v>1569</v>
      </c>
      <c r="AG421" t="str">
        <v>Sofa</v>
      </c>
      <c r="AH421">
        <v>2360.1484380000002</v>
      </c>
    </row>
    <row r="422" spans="1:34" x14ac:dyDescent="0.3">
      <c r="A422" s="1">
        <v>1420</v>
      </c>
      <c r="B422" s="2">
        <v>44202</v>
      </c>
      <c r="C422" s="1" t="s">
        <v>26</v>
      </c>
      <c r="D422" s="1" t="s">
        <v>71</v>
      </c>
      <c r="E422" s="1" t="s">
        <v>31</v>
      </c>
      <c r="F422" s="1">
        <v>4802.88</v>
      </c>
      <c r="G422" s="1" t="s">
        <v>263</v>
      </c>
      <c r="H422" s="2">
        <v>35629</v>
      </c>
      <c r="I422" s="2">
        <v>44212</v>
      </c>
      <c r="J422" s="1">
        <v>16.18</v>
      </c>
      <c r="K422" s="4">
        <f t="shared" si="12"/>
        <v>777.10598400000003</v>
      </c>
      <c r="L422" s="4">
        <f t="shared" si="13"/>
        <v>4025.7740160000003</v>
      </c>
      <c r="O422">
        <v>1573</v>
      </c>
      <c r="P422">
        <v>45595</v>
      </c>
      <c r="Q422" t="str">
        <v>Central</v>
      </c>
      <c r="R422" t="str">
        <v>Rice</v>
      </c>
      <c r="S422" t="str">
        <v>Groceries</v>
      </c>
      <c r="T422">
        <v>3658.88</v>
      </c>
      <c r="U422" t="str">
        <v>Antonio David</v>
      </c>
      <c r="V422">
        <v>24580</v>
      </c>
      <c r="W422">
        <v>45598</v>
      </c>
      <c r="X422">
        <v>30.79</v>
      </c>
      <c r="Y422">
        <v>1126.569152</v>
      </c>
      <c r="Z422">
        <v>2532.3108480000001</v>
      </c>
      <c r="AC422" t="str">
        <v>Wheat</v>
      </c>
      <c r="AD422">
        <v>4155.9064709999993</v>
      </c>
      <c r="AF422">
        <v>1570</v>
      </c>
      <c r="AG422" t="str">
        <v>Cap</v>
      </c>
      <c r="AH422">
        <v>2476.8737729999998</v>
      </c>
    </row>
    <row r="423" spans="1:34" x14ac:dyDescent="0.3">
      <c r="A423" s="1">
        <v>1421</v>
      </c>
      <c r="B423" s="2">
        <v>44184</v>
      </c>
      <c r="C423" s="1" t="s">
        <v>26</v>
      </c>
      <c r="D423" s="1" t="s">
        <v>58</v>
      </c>
      <c r="E423" s="1" t="s">
        <v>31</v>
      </c>
      <c r="F423" s="1">
        <v>301.72000000000003</v>
      </c>
      <c r="G423" s="1" t="s">
        <v>192</v>
      </c>
      <c r="H423" s="2">
        <v>33626</v>
      </c>
      <c r="I423" s="2">
        <v>44192</v>
      </c>
      <c r="J423" s="1">
        <v>35.22</v>
      </c>
      <c r="K423" s="4">
        <f t="shared" si="12"/>
        <v>106.26578400000001</v>
      </c>
      <c r="L423" s="4">
        <f t="shared" si="13"/>
        <v>195.45421600000003</v>
      </c>
      <c r="O423">
        <v>1574</v>
      </c>
      <c r="P423">
        <v>44420</v>
      </c>
      <c r="Q423" t="str">
        <v>North</v>
      </c>
      <c r="R423" t="str">
        <v>Wardrobe</v>
      </c>
      <c r="S423" t="str">
        <v>Furniture</v>
      </c>
      <c r="T423">
        <v>3509.16</v>
      </c>
      <c r="U423" t="str">
        <v>Jenna Campbell</v>
      </c>
      <c r="V423">
        <v>34220</v>
      </c>
      <c r="W423">
        <v>44431</v>
      </c>
      <c r="X423">
        <v>45.18</v>
      </c>
      <c r="Y423">
        <v>1585.4384879999998</v>
      </c>
      <c r="Z423">
        <v>1923.7215120000001</v>
      </c>
      <c r="AC423" t="str">
        <v>Rice</v>
      </c>
      <c r="AD423">
        <v>2532.3108480000001</v>
      </c>
      <c r="AF423">
        <v>1571</v>
      </c>
      <c r="AG423" t="str">
        <v>Wheat</v>
      </c>
      <c r="AH423">
        <v>4155.9064709999993</v>
      </c>
    </row>
    <row r="424" spans="1:34" x14ac:dyDescent="0.3">
      <c r="A424" s="1">
        <v>1422</v>
      </c>
      <c r="B424" s="2">
        <v>45535</v>
      </c>
      <c r="C424" s="1" t="s">
        <v>35</v>
      </c>
      <c r="D424" s="1" t="s">
        <v>73</v>
      </c>
      <c r="E424" s="1" t="s">
        <v>28</v>
      </c>
      <c r="F424" s="1">
        <v>3938.25</v>
      </c>
      <c r="G424" s="1" t="s">
        <v>101</v>
      </c>
      <c r="H424" s="2">
        <v>31331</v>
      </c>
      <c r="I424" s="2">
        <v>45542</v>
      </c>
      <c r="J424" s="1">
        <v>13.5</v>
      </c>
      <c r="K424" s="4">
        <f t="shared" si="12"/>
        <v>531.66375000000005</v>
      </c>
      <c r="L424" s="4">
        <f t="shared" si="13"/>
        <v>3406.5862499999998</v>
      </c>
      <c r="O424">
        <v>1577</v>
      </c>
      <c r="P424">
        <v>44397</v>
      </c>
      <c r="Q424" t="str">
        <v>West</v>
      </c>
      <c r="R424" t="str">
        <v>Smartphone</v>
      </c>
      <c r="S424" t="str">
        <v>Electronics</v>
      </c>
      <c r="T424">
        <v>2793.83</v>
      </c>
      <c r="U424" t="str">
        <v>Shannon Foster</v>
      </c>
      <c r="V424">
        <v>31386</v>
      </c>
      <c r="W424">
        <v>44407</v>
      </c>
      <c r="X424">
        <v>41.17</v>
      </c>
      <c r="Y424">
        <v>1150.2198109999999</v>
      </c>
      <c r="Z424">
        <v>1643.610189</v>
      </c>
      <c r="AC424" t="str">
        <v>Wardrobe</v>
      </c>
      <c r="AD424">
        <v>1923.7215120000001</v>
      </c>
      <c r="AF424">
        <v>1573</v>
      </c>
      <c r="AG424" t="str">
        <v>Rice</v>
      </c>
      <c r="AH424">
        <v>2532.3108480000001</v>
      </c>
    </row>
    <row r="425" spans="1:34" x14ac:dyDescent="0.3">
      <c r="A425" s="1">
        <v>1423</v>
      </c>
      <c r="B425" s="2">
        <v>44794</v>
      </c>
      <c r="C425" s="1" t="s">
        <v>21</v>
      </c>
      <c r="D425" s="1" t="s">
        <v>11</v>
      </c>
      <c r="E425" s="1" t="s">
        <v>12</v>
      </c>
      <c r="F425" s="1">
        <v>3839.42</v>
      </c>
      <c r="G425" s="1" t="s">
        <v>264</v>
      </c>
      <c r="H425" s="2">
        <v>30232</v>
      </c>
      <c r="I425" s="2">
        <v>44795</v>
      </c>
      <c r="J425" s="1">
        <v>15.27</v>
      </c>
      <c r="K425" s="4">
        <f t="shared" si="12"/>
        <v>586.27943400000004</v>
      </c>
      <c r="L425" s="4">
        <f t="shared" si="13"/>
        <v>3253.140566</v>
      </c>
      <c r="O425">
        <v>1578</v>
      </c>
      <c r="P425">
        <v>45821</v>
      </c>
      <c r="Q425" t="str">
        <v>South</v>
      </c>
      <c r="R425" t="str">
        <v>Cap</v>
      </c>
      <c r="S425" t="str">
        <v>Clothing</v>
      </c>
      <c r="T425">
        <v>1162.24</v>
      </c>
      <c r="U425" t="str">
        <v>Lisa Bray MD</v>
      </c>
      <c r="V425">
        <v>33413</v>
      </c>
      <c r="W425">
        <v>45824</v>
      </c>
      <c r="X425">
        <v>5.94</v>
      </c>
      <c r="Y425">
        <v>69.037056000000007</v>
      </c>
      <c r="Z425">
        <v>1093.2029440000001</v>
      </c>
      <c r="AC425" t="str">
        <v>Smartphone</v>
      </c>
      <c r="AD425">
        <v>1643.610189</v>
      </c>
      <c r="AF425">
        <v>1574</v>
      </c>
      <c r="AG425" t="str">
        <v>Wardrobe</v>
      </c>
      <c r="AH425">
        <v>1923.7215120000001</v>
      </c>
    </row>
    <row r="426" spans="1:34" x14ac:dyDescent="0.3">
      <c r="A426" s="1">
        <v>1424</v>
      </c>
      <c r="B426" s="2">
        <v>45879</v>
      </c>
      <c r="C426" s="1" t="s">
        <v>10</v>
      </c>
      <c r="D426" s="1" t="s">
        <v>22</v>
      </c>
      <c r="E426" s="1" t="s">
        <v>19</v>
      </c>
      <c r="F426" s="1">
        <v>1786.83</v>
      </c>
      <c r="G426" s="1" t="s">
        <v>237</v>
      </c>
      <c r="H426" s="2">
        <v>27455</v>
      </c>
      <c r="I426" s="2">
        <v>45891</v>
      </c>
      <c r="J426" s="1">
        <v>9.4</v>
      </c>
      <c r="K426" s="4">
        <f t="shared" si="12"/>
        <v>167.96202</v>
      </c>
      <c r="L426" s="4">
        <f t="shared" si="13"/>
        <v>1618.86798</v>
      </c>
      <c r="O426">
        <v>1579</v>
      </c>
      <c r="P426">
        <v>45282</v>
      </c>
      <c r="Q426" t="str">
        <v>South</v>
      </c>
      <c r="R426" t="str">
        <v>Tablet</v>
      </c>
      <c r="S426" t="str">
        <v>Electronics</v>
      </c>
      <c r="T426">
        <v>2127.64</v>
      </c>
      <c r="U426" t="str">
        <v>Lisa Smith</v>
      </c>
      <c r="V426">
        <v>26484</v>
      </c>
      <c r="W426">
        <v>45287</v>
      </c>
      <c r="X426">
        <v>21.3</v>
      </c>
      <c r="Y426">
        <v>453.18731999999994</v>
      </c>
      <c r="Z426">
        <v>1674.4526799999999</v>
      </c>
      <c r="AC426" t="str">
        <v>Cap</v>
      </c>
      <c r="AD426">
        <v>1093.2029440000001</v>
      </c>
      <c r="AF426">
        <v>1577</v>
      </c>
      <c r="AG426" t="str">
        <v>Smartphone</v>
      </c>
      <c r="AH426">
        <v>1643.610189</v>
      </c>
    </row>
    <row r="427" spans="1:34" x14ac:dyDescent="0.3">
      <c r="A427" s="1">
        <v>1425</v>
      </c>
      <c r="B427" s="2">
        <v>45191</v>
      </c>
      <c r="C427" s="1" t="s">
        <v>14</v>
      </c>
      <c r="D427" s="1" t="s">
        <v>69</v>
      </c>
      <c r="E427" s="1" t="s">
        <v>12</v>
      </c>
      <c r="F427" s="1">
        <v>1466.2</v>
      </c>
      <c r="G427" s="1" t="s">
        <v>176</v>
      </c>
      <c r="H427" s="2">
        <v>33282</v>
      </c>
      <c r="I427" s="2">
        <v>45199</v>
      </c>
      <c r="J427" s="1">
        <v>47.85</v>
      </c>
      <c r="K427" s="4">
        <f t="shared" si="12"/>
        <v>701.57670000000007</v>
      </c>
      <c r="L427" s="4">
        <f t="shared" si="13"/>
        <v>764.62329999999997</v>
      </c>
      <c r="O427">
        <v>1580</v>
      </c>
      <c r="P427">
        <v>44976</v>
      </c>
      <c r="Q427" t="str">
        <v>Central</v>
      </c>
      <c r="R427" t="str">
        <v>Eggs</v>
      </c>
      <c r="S427" t="str">
        <v>Groceries</v>
      </c>
      <c r="T427">
        <v>3313.85</v>
      </c>
      <c r="U427" t="str">
        <v>Jean Garza</v>
      </c>
      <c r="V427">
        <v>25863</v>
      </c>
      <c r="W427">
        <v>44990</v>
      </c>
      <c r="X427">
        <v>24.43</v>
      </c>
      <c r="Y427">
        <v>809.57355499999994</v>
      </c>
      <c r="Z427">
        <v>2504.276445</v>
      </c>
      <c r="AC427" t="str">
        <v>Tablet</v>
      </c>
      <c r="AD427">
        <v>1674.4526799999999</v>
      </c>
      <c r="AF427">
        <v>1578</v>
      </c>
      <c r="AG427" t="str">
        <v>Cap</v>
      </c>
      <c r="AH427">
        <v>1093.2029440000001</v>
      </c>
    </row>
    <row r="428" spans="1:34" x14ac:dyDescent="0.3">
      <c r="A428" s="1">
        <v>1426</v>
      </c>
      <c r="B428" s="2">
        <v>45399</v>
      </c>
      <c r="C428" s="1" t="s">
        <v>10</v>
      </c>
      <c r="D428" s="1" t="s">
        <v>38</v>
      </c>
      <c r="E428" s="1" t="s">
        <v>28</v>
      </c>
      <c r="F428" s="1">
        <v>4168.8999999999996</v>
      </c>
      <c r="G428" s="1" t="s">
        <v>265</v>
      </c>
      <c r="H428" s="2">
        <v>38899</v>
      </c>
      <c r="I428" s="2">
        <v>45402</v>
      </c>
      <c r="J428" s="1">
        <v>10.38</v>
      </c>
      <c r="K428" s="4">
        <f t="shared" si="12"/>
        <v>432.73181999999997</v>
      </c>
      <c r="L428" s="4">
        <f t="shared" si="13"/>
        <v>3736.1681799999997</v>
      </c>
      <c r="O428">
        <v>1582</v>
      </c>
      <c r="P428">
        <v>45808</v>
      </c>
      <c r="Q428" t="str">
        <v>North</v>
      </c>
      <c r="R428" t="str">
        <v>Shoes</v>
      </c>
      <c r="S428" t="str">
        <v>Sports</v>
      </c>
      <c r="T428">
        <v>4511.01</v>
      </c>
      <c r="U428" t="str">
        <v>Danielle Holloway</v>
      </c>
      <c r="V428">
        <v>26282</v>
      </c>
      <c r="W428">
        <v>45812</v>
      </c>
      <c r="X428">
        <v>24.51</v>
      </c>
      <c r="Y428">
        <v>1105.648551</v>
      </c>
      <c r="Z428">
        <v>3405.361449</v>
      </c>
      <c r="AC428" t="str">
        <v>Eggs</v>
      </c>
      <c r="AD428">
        <v>2504.276445</v>
      </c>
      <c r="AF428">
        <v>1579</v>
      </c>
      <c r="AG428" t="str">
        <v>Tablet</v>
      </c>
      <c r="AH428">
        <v>1674.4526799999999</v>
      </c>
    </row>
    <row r="429" spans="1:34" x14ac:dyDescent="0.3">
      <c r="A429" s="1">
        <v>1427</v>
      </c>
      <c r="B429" s="2">
        <v>45010</v>
      </c>
      <c r="C429" s="1" t="s">
        <v>21</v>
      </c>
      <c r="D429" s="1" t="s">
        <v>15</v>
      </c>
      <c r="E429" s="1" t="s">
        <v>16</v>
      </c>
      <c r="F429" s="1">
        <v>4059.43</v>
      </c>
      <c r="G429" s="1" t="s">
        <v>233</v>
      </c>
      <c r="H429" s="2">
        <v>38826</v>
      </c>
      <c r="I429" s="2">
        <v>45014</v>
      </c>
      <c r="J429" s="1">
        <v>30.89</v>
      </c>
      <c r="K429" s="4">
        <f t="shared" si="12"/>
        <v>1253.9579269999999</v>
      </c>
      <c r="L429" s="4">
        <f t="shared" si="13"/>
        <v>2805.4720729999999</v>
      </c>
      <c r="O429">
        <v>1583</v>
      </c>
      <c r="P429">
        <v>45423</v>
      </c>
      <c r="Q429" t="str">
        <v>South</v>
      </c>
      <c r="R429" t="str">
        <v>Cap</v>
      </c>
      <c r="S429" t="str">
        <v>Clothing</v>
      </c>
      <c r="T429">
        <v>3081.64</v>
      </c>
      <c r="U429" t="str">
        <v>Mrs. Rebecca Young</v>
      </c>
      <c r="V429">
        <v>30820</v>
      </c>
      <c r="W429">
        <v>45430</v>
      </c>
      <c r="X429">
        <v>41.94</v>
      </c>
      <c r="Y429">
        <v>1292.4398159999998</v>
      </c>
      <c r="Z429">
        <v>1789.200184</v>
      </c>
      <c r="AC429" t="str">
        <v>Shoes</v>
      </c>
      <c r="AD429">
        <v>3405.361449</v>
      </c>
      <c r="AF429">
        <v>1580</v>
      </c>
      <c r="AG429" t="str">
        <v>Eggs</v>
      </c>
      <c r="AH429">
        <v>2504.276445</v>
      </c>
    </row>
    <row r="430" spans="1:34" x14ac:dyDescent="0.3">
      <c r="A430" s="1">
        <v>1428</v>
      </c>
      <c r="B430" s="2">
        <v>44404</v>
      </c>
      <c r="C430" s="1" t="s">
        <v>21</v>
      </c>
      <c r="D430" s="1" t="s">
        <v>38</v>
      </c>
      <c r="E430" s="1" t="s">
        <v>28</v>
      </c>
      <c r="F430" s="1">
        <v>463.95</v>
      </c>
      <c r="G430" s="1" t="s">
        <v>242</v>
      </c>
      <c r="H430" s="2">
        <v>21785</v>
      </c>
      <c r="I430" s="2">
        <v>44413</v>
      </c>
      <c r="J430" s="1">
        <v>49.28</v>
      </c>
      <c r="K430" s="4">
        <f t="shared" si="12"/>
        <v>228.63455999999999</v>
      </c>
      <c r="L430" s="4">
        <f t="shared" si="13"/>
        <v>235.31544</v>
      </c>
      <c r="O430">
        <v>1584</v>
      </c>
      <c r="P430">
        <v>44929</v>
      </c>
      <c r="Q430" t="str">
        <v>West</v>
      </c>
      <c r="R430" t="str">
        <v>Milk</v>
      </c>
      <c r="S430" t="str">
        <v>Groceries</v>
      </c>
      <c r="T430">
        <v>2668.64</v>
      </c>
      <c r="U430" t="str">
        <v>Brian Lee</v>
      </c>
      <c r="V430">
        <v>23735</v>
      </c>
      <c r="W430">
        <v>44932</v>
      </c>
      <c r="X430">
        <v>16.489999999999998</v>
      </c>
      <c r="Y430">
        <v>440.05873599999995</v>
      </c>
      <c r="Z430">
        <v>2228.5812639999999</v>
      </c>
      <c r="AC430" t="str">
        <v>Cap</v>
      </c>
      <c r="AD430">
        <v>1789.200184</v>
      </c>
      <c r="AF430">
        <v>1582</v>
      </c>
      <c r="AG430" t="str">
        <v>Shoes</v>
      </c>
      <c r="AH430">
        <v>3405.361449</v>
      </c>
    </row>
    <row r="431" spans="1:34" x14ac:dyDescent="0.3">
      <c r="A431" s="1">
        <v>1429</v>
      </c>
      <c r="B431" s="2">
        <v>44536</v>
      </c>
      <c r="C431" s="1" t="s">
        <v>10</v>
      </c>
      <c r="D431" s="1" t="s">
        <v>24</v>
      </c>
      <c r="E431" s="1" t="s">
        <v>19</v>
      </c>
      <c r="F431" s="1">
        <v>4025.44</v>
      </c>
      <c r="G431" s="1" t="s">
        <v>266</v>
      </c>
      <c r="H431" s="2">
        <v>32604</v>
      </c>
      <c r="I431" s="2">
        <v>44543</v>
      </c>
      <c r="J431" s="1">
        <v>4.45</v>
      </c>
      <c r="K431" s="4">
        <f t="shared" si="12"/>
        <v>179.13208000000003</v>
      </c>
      <c r="L431" s="4">
        <f t="shared" si="13"/>
        <v>3846.3079200000002</v>
      </c>
      <c r="O431">
        <v>1585</v>
      </c>
      <c r="P431">
        <v>45316</v>
      </c>
      <c r="Q431" t="str">
        <v>Central</v>
      </c>
      <c r="R431" t="str">
        <v>Headphones</v>
      </c>
      <c r="S431" t="str">
        <v>Electronics</v>
      </c>
      <c r="T431">
        <v>3581.16</v>
      </c>
      <c r="U431" t="str">
        <v>Amber Shaw</v>
      </c>
      <c r="V431">
        <v>25341</v>
      </c>
      <c r="W431">
        <v>45323</v>
      </c>
      <c r="X431">
        <v>5.05</v>
      </c>
      <c r="Y431">
        <v>180.84857999999997</v>
      </c>
      <c r="Z431">
        <v>3400.31142</v>
      </c>
      <c r="AC431" t="str">
        <v>Milk</v>
      </c>
      <c r="AD431">
        <v>2228.5812639999999</v>
      </c>
      <c r="AF431">
        <v>1583</v>
      </c>
      <c r="AG431" t="str">
        <v>Cap</v>
      </c>
      <c r="AH431">
        <v>1789.200184</v>
      </c>
    </row>
    <row r="432" spans="1:34" x14ac:dyDescent="0.3">
      <c r="A432" s="1">
        <v>1430</v>
      </c>
      <c r="B432" s="2">
        <v>44099</v>
      </c>
      <c r="C432" s="1" t="s">
        <v>26</v>
      </c>
      <c r="D432" s="1" t="s">
        <v>30</v>
      </c>
      <c r="E432" s="1" t="s">
        <v>31</v>
      </c>
      <c r="F432" s="1">
        <v>2610.56</v>
      </c>
      <c r="G432" s="1" t="s">
        <v>112</v>
      </c>
      <c r="H432" s="2">
        <v>38171</v>
      </c>
      <c r="I432" s="2">
        <v>44113</v>
      </c>
      <c r="J432" s="1">
        <v>40.700000000000003</v>
      </c>
      <c r="K432" s="4">
        <f t="shared" si="12"/>
        <v>1062.49792</v>
      </c>
      <c r="L432" s="4">
        <f t="shared" si="13"/>
        <v>1548.0620799999999</v>
      </c>
      <c r="O432">
        <v>1587</v>
      </c>
      <c r="P432">
        <v>44896</v>
      </c>
      <c r="Q432" t="str">
        <v>Central</v>
      </c>
      <c r="R432" t="str">
        <v>Cap</v>
      </c>
      <c r="S432" t="str">
        <v>Clothing</v>
      </c>
      <c r="T432">
        <v>3073.98</v>
      </c>
      <c r="U432" t="str">
        <v>Andrew Weaver</v>
      </c>
      <c r="V432">
        <v>33394</v>
      </c>
      <c r="W432">
        <v>44899</v>
      </c>
      <c r="X432">
        <v>2.78</v>
      </c>
      <c r="Y432">
        <v>85.456643999999997</v>
      </c>
      <c r="Z432">
        <v>2988.5233560000001</v>
      </c>
      <c r="AC432" t="str">
        <v>Headphones</v>
      </c>
      <c r="AD432">
        <v>3400.31142</v>
      </c>
      <c r="AF432">
        <v>1584</v>
      </c>
      <c r="AG432" t="str">
        <v>Milk</v>
      </c>
      <c r="AH432">
        <v>2228.5812639999999</v>
      </c>
    </row>
    <row r="433" spans="1:34" x14ac:dyDescent="0.3">
      <c r="A433" s="1">
        <v>1431</v>
      </c>
      <c r="B433" s="2">
        <v>44784</v>
      </c>
      <c r="C433" s="1" t="s">
        <v>10</v>
      </c>
      <c r="D433" s="1" t="s">
        <v>33</v>
      </c>
      <c r="E433" s="1" t="s">
        <v>16</v>
      </c>
      <c r="F433" s="1">
        <v>1991.8</v>
      </c>
      <c r="G433" s="1" t="s">
        <v>80</v>
      </c>
      <c r="H433" s="2">
        <v>31578</v>
      </c>
      <c r="I433" s="2">
        <v>44787</v>
      </c>
      <c r="J433" s="1">
        <v>41.42</v>
      </c>
      <c r="K433" s="4">
        <f t="shared" si="12"/>
        <v>825.00355999999999</v>
      </c>
      <c r="L433" s="4">
        <f t="shared" si="13"/>
        <v>1166.7964400000001</v>
      </c>
      <c r="O433">
        <v>1588</v>
      </c>
      <c r="P433">
        <v>44612</v>
      </c>
      <c r="Q433" t="str">
        <v>Central</v>
      </c>
      <c r="R433" t="str">
        <v>Eggs</v>
      </c>
      <c r="S433" t="str">
        <v>Groceries</v>
      </c>
      <c r="T433">
        <v>2770.97</v>
      </c>
      <c r="U433" t="str">
        <v>Juan White</v>
      </c>
      <c r="V433">
        <v>35321</v>
      </c>
      <c r="W433">
        <v>44621</v>
      </c>
      <c r="X433">
        <v>13.64</v>
      </c>
      <c r="Y433">
        <v>377.96030799999994</v>
      </c>
      <c r="Z433">
        <v>2393.0096919999996</v>
      </c>
      <c r="AC433" t="str">
        <v>Cap</v>
      </c>
      <c r="AD433">
        <v>2988.5233560000001</v>
      </c>
      <c r="AF433">
        <v>1585</v>
      </c>
      <c r="AG433" t="str">
        <v>Headphones</v>
      </c>
      <c r="AH433">
        <v>3400.31142</v>
      </c>
    </row>
    <row r="434" spans="1:34" x14ac:dyDescent="0.3">
      <c r="A434" s="1">
        <v>1432</v>
      </c>
      <c r="B434" s="2">
        <v>45165</v>
      </c>
      <c r="C434" s="1" t="s">
        <v>21</v>
      </c>
      <c r="D434" s="1" t="s">
        <v>44</v>
      </c>
      <c r="E434" s="1" t="s">
        <v>16</v>
      </c>
      <c r="F434" s="1">
        <v>2141.4499999999998</v>
      </c>
      <c r="G434" s="1" t="s">
        <v>180</v>
      </c>
      <c r="H434" s="2">
        <v>25163</v>
      </c>
      <c r="I434" s="2">
        <v>45172</v>
      </c>
      <c r="J434" s="1">
        <v>24.38</v>
      </c>
      <c r="K434" s="4">
        <f t="shared" si="12"/>
        <v>522.08550999999989</v>
      </c>
      <c r="L434" s="4">
        <f t="shared" si="13"/>
        <v>1619.3644899999999</v>
      </c>
      <c r="O434">
        <v>1589</v>
      </c>
      <c r="P434">
        <v>45390</v>
      </c>
      <c r="Q434" t="str">
        <v>South</v>
      </c>
      <c r="R434" t="str">
        <v>Shoes</v>
      </c>
      <c r="S434" t="str">
        <v>Clothing</v>
      </c>
      <c r="T434">
        <v>2776.4</v>
      </c>
      <c r="U434" t="str">
        <v>Tracy Moore</v>
      </c>
      <c r="V434">
        <v>33282</v>
      </c>
      <c r="W434">
        <v>45392</v>
      </c>
      <c r="X434">
        <v>18.579999999999998</v>
      </c>
      <c r="Y434">
        <v>515.85511999999994</v>
      </c>
      <c r="Z434">
        <v>2260.5448800000004</v>
      </c>
      <c r="AC434" t="str">
        <v>Eggs</v>
      </c>
      <c r="AD434">
        <v>2393.0096919999996</v>
      </c>
      <c r="AF434">
        <v>1587</v>
      </c>
      <c r="AG434" t="str">
        <v>Cap</v>
      </c>
      <c r="AH434">
        <v>2988.5233560000001</v>
      </c>
    </row>
    <row r="435" spans="1:34" x14ac:dyDescent="0.3">
      <c r="A435" s="1">
        <v>1433</v>
      </c>
      <c r="B435" s="2">
        <v>45420</v>
      </c>
      <c r="C435" s="1" t="s">
        <v>10</v>
      </c>
      <c r="D435" s="1" t="s">
        <v>102</v>
      </c>
      <c r="E435" s="1" t="s">
        <v>12</v>
      </c>
      <c r="F435" s="1">
        <v>4125.3100000000004</v>
      </c>
      <c r="G435" s="1" t="s">
        <v>23</v>
      </c>
      <c r="H435" s="2">
        <v>38378</v>
      </c>
      <c r="I435" s="2">
        <v>45427</v>
      </c>
      <c r="J435" s="1">
        <v>30.7</v>
      </c>
      <c r="K435" s="4">
        <f t="shared" si="12"/>
        <v>1266.4701700000001</v>
      </c>
      <c r="L435" s="4">
        <f t="shared" si="13"/>
        <v>2858.8398300000003</v>
      </c>
      <c r="O435">
        <v>1593</v>
      </c>
      <c r="P435">
        <v>45688</v>
      </c>
      <c r="Q435" t="str">
        <v>East</v>
      </c>
      <c r="R435" t="str">
        <v>Table</v>
      </c>
      <c r="S435" t="str">
        <v>Furniture</v>
      </c>
      <c r="T435">
        <v>4679.8599999999997</v>
      </c>
      <c r="U435" t="str">
        <v>Derek Boyle</v>
      </c>
      <c r="V435">
        <v>27534</v>
      </c>
      <c r="W435">
        <v>45692</v>
      </c>
      <c r="X435">
        <v>10.66</v>
      </c>
      <c r="Y435">
        <v>498.87307599999997</v>
      </c>
      <c r="Z435">
        <v>4180.9869239999998</v>
      </c>
      <c r="AC435" t="str">
        <v>Shoes</v>
      </c>
      <c r="AD435">
        <v>2260.5448800000004</v>
      </c>
      <c r="AF435">
        <v>1588</v>
      </c>
      <c r="AG435" t="str">
        <v>Eggs</v>
      </c>
      <c r="AH435">
        <v>2393.0096919999996</v>
      </c>
    </row>
    <row r="436" spans="1:34" x14ac:dyDescent="0.3">
      <c r="A436" s="1">
        <v>1434</v>
      </c>
      <c r="B436" s="2">
        <v>44065</v>
      </c>
      <c r="C436" s="1" t="s">
        <v>14</v>
      </c>
      <c r="D436" s="1" t="s">
        <v>18</v>
      </c>
      <c r="E436" s="1" t="s">
        <v>19</v>
      </c>
      <c r="F436" s="1">
        <v>3630.47</v>
      </c>
      <c r="G436" s="1" t="s">
        <v>229</v>
      </c>
      <c r="H436" s="2">
        <v>37783</v>
      </c>
      <c r="I436" s="2">
        <v>44074</v>
      </c>
      <c r="J436" s="1">
        <v>46.55</v>
      </c>
      <c r="K436" s="4">
        <f t="shared" si="12"/>
        <v>1689.9837849999999</v>
      </c>
      <c r="L436" s="4">
        <f t="shared" si="13"/>
        <v>1940.4862149999999</v>
      </c>
      <c r="O436">
        <v>1594</v>
      </c>
      <c r="P436">
        <v>44911</v>
      </c>
      <c r="Q436" t="str">
        <v>Central</v>
      </c>
      <c r="R436" t="str">
        <v>Oil</v>
      </c>
      <c r="S436" t="str">
        <v>Groceries</v>
      </c>
      <c r="T436">
        <v>2530.5</v>
      </c>
      <c r="U436" t="str">
        <v>Andrew Weaver</v>
      </c>
      <c r="V436">
        <v>33394</v>
      </c>
      <c r="W436">
        <v>44917</v>
      </c>
      <c r="X436">
        <v>32.81</v>
      </c>
      <c r="Y436">
        <v>830.25705000000005</v>
      </c>
      <c r="Z436">
        <v>1700.2429499999998</v>
      </c>
      <c r="AC436" t="str">
        <v>Table</v>
      </c>
      <c r="AD436">
        <v>4180.9869239999998</v>
      </c>
      <c r="AF436">
        <v>1589</v>
      </c>
      <c r="AG436" t="str">
        <v>Shoes</v>
      </c>
      <c r="AH436">
        <v>2260.5448800000004</v>
      </c>
    </row>
    <row r="437" spans="1:34" x14ac:dyDescent="0.3">
      <c r="A437" s="1">
        <v>1435</v>
      </c>
      <c r="B437" s="2">
        <v>45366</v>
      </c>
      <c r="C437" s="1" t="s">
        <v>10</v>
      </c>
      <c r="D437" s="1" t="s">
        <v>38</v>
      </c>
      <c r="E437" s="1" t="s">
        <v>28</v>
      </c>
      <c r="F437" s="1">
        <v>3093.12</v>
      </c>
      <c r="G437" s="1" t="s">
        <v>89</v>
      </c>
      <c r="H437" s="2">
        <v>37141</v>
      </c>
      <c r="I437" s="2">
        <v>45369</v>
      </c>
      <c r="J437" s="1">
        <v>20.13</v>
      </c>
      <c r="K437" s="4">
        <f t="shared" si="12"/>
        <v>622.64505599999995</v>
      </c>
      <c r="L437" s="4">
        <f t="shared" si="13"/>
        <v>2470.4749440000001</v>
      </c>
      <c r="O437">
        <v>1596</v>
      </c>
      <c r="P437">
        <v>45749</v>
      </c>
      <c r="Q437" t="str">
        <v>Central</v>
      </c>
      <c r="R437" t="str">
        <v>Cap</v>
      </c>
      <c r="S437" t="str">
        <v>Clothing</v>
      </c>
      <c r="T437">
        <v>3280.76</v>
      </c>
      <c r="U437" t="str">
        <v>Shannon Foster</v>
      </c>
      <c r="V437">
        <v>31386</v>
      </c>
      <c r="W437">
        <v>45763</v>
      </c>
      <c r="X437">
        <v>44.88</v>
      </c>
      <c r="Y437">
        <v>1472.4050880000002</v>
      </c>
      <c r="Z437">
        <v>1808.354912</v>
      </c>
      <c r="AC437" t="str">
        <v>Oil</v>
      </c>
      <c r="AD437">
        <v>1700.2429499999998</v>
      </c>
      <c r="AF437">
        <v>1593</v>
      </c>
      <c r="AG437" t="str">
        <v>Table</v>
      </c>
      <c r="AH437">
        <v>4180.9869239999998</v>
      </c>
    </row>
    <row r="438" spans="1:34" x14ac:dyDescent="0.3">
      <c r="A438" s="1">
        <v>1436</v>
      </c>
      <c r="B438" s="2">
        <v>45341</v>
      </c>
      <c r="C438" s="1" t="s">
        <v>21</v>
      </c>
      <c r="D438" s="1" t="s">
        <v>11</v>
      </c>
      <c r="E438" s="1" t="s">
        <v>12</v>
      </c>
      <c r="F438" s="1">
        <v>2804.68</v>
      </c>
      <c r="G438" s="1" t="s">
        <v>231</v>
      </c>
      <c r="H438" s="2">
        <v>32047</v>
      </c>
      <c r="I438" s="2">
        <v>45353</v>
      </c>
      <c r="J438" s="1">
        <v>27.26</v>
      </c>
      <c r="K438" s="4">
        <f t="shared" si="12"/>
        <v>764.55576799999994</v>
      </c>
      <c r="L438" s="4">
        <f t="shared" si="13"/>
        <v>2040.1242319999999</v>
      </c>
      <c r="O438">
        <v>1597</v>
      </c>
      <c r="P438">
        <v>45427</v>
      </c>
      <c r="Q438" t="str">
        <v>South</v>
      </c>
      <c r="R438" t="str">
        <v>Bed</v>
      </c>
      <c r="S438" t="str">
        <v>Furniture</v>
      </c>
      <c r="T438">
        <v>4720</v>
      </c>
      <c r="U438" t="str">
        <v>Beth Landry</v>
      </c>
      <c r="V438">
        <v>34954</v>
      </c>
      <c r="W438">
        <v>45439</v>
      </c>
      <c r="X438">
        <v>0.59</v>
      </c>
      <c r="Y438">
        <v>27.847999999999999</v>
      </c>
      <c r="Z438">
        <v>4692.152</v>
      </c>
      <c r="AC438" t="str">
        <v>Cap</v>
      </c>
      <c r="AD438">
        <v>1808.354912</v>
      </c>
      <c r="AF438">
        <v>1594</v>
      </c>
      <c r="AG438" t="str">
        <v>Oil</v>
      </c>
      <c r="AH438">
        <v>1700.2429499999998</v>
      </c>
    </row>
    <row r="439" spans="1:34" x14ac:dyDescent="0.3">
      <c r="A439" s="1">
        <v>1437</v>
      </c>
      <c r="B439" s="2">
        <v>44115</v>
      </c>
      <c r="C439" s="1" t="s">
        <v>10</v>
      </c>
      <c r="D439" s="1" t="s">
        <v>40</v>
      </c>
      <c r="E439" s="1" t="s">
        <v>16</v>
      </c>
      <c r="F439" s="1">
        <v>2362.4699999999998</v>
      </c>
      <c r="G439" s="1" t="s">
        <v>172</v>
      </c>
      <c r="H439" s="2">
        <v>36571</v>
      </c>
      <c r="I439" s="2">
        <v>44123</v>
      </c>
      <c r="J439" s="1">
        <v>47.44</v>
      </c>
      <c r="K439" s="4">
        <f t="shared" si="12"/>
        <v>1120.755768</v>
      </c>
      <c r="L439" s="4">
        <f t="shared" si="13"/>
        <v>1241.7142319999998</v>
      </c>
      <c r="O439">
        <v>1598</v>
      </c>
      <c r="P439">
        <v>44229</v>
      </c>
      <c r="Q439" t="str">
        <v>North</v>
      </c>
      <c r="R439" t="str">
        <v>Chair</v>
      </c>
      <c r="S439" t="str">
        <v>Furniture</v>
      </c>
      <c r="T439">
        <v>4004.86</v>
      </c>
      <c r="U439" t="str">
        <v>Curtis George</v>
      </c>
      <c r="V439">
        <v>31467</v>
      </c>
      <c r="W439">
        <v>44234</v>
      </c>
      <c r="X439">
        <v>10.119999999999999</v>
      </c>
      <c r="Y439">
        <v>405.291832</v>
      </c>
      <c r="Z439">
        <v>3599.5681680000002</v>
      </c>
      <c r="AC439" t="str">
        <v>Bed</v>
      </c>
      <c r="AD439">
        <v>4692.152</v>
      </c>
      <c r="AF439">
        <v>1596</v>
      </c>
      <c r="AG439" t="str">
        <v>Cap</v>
      </c>
      <c r="AH439">
        <v>1808.354912</v>
      </c>
    </row>
    <row r="440" spans="1:34" x14ac:dyDescent="0.3">
      <c r="A440" s="1">
        <v>1438</v>
      </c>
      <c r="B440" s="2">
        <v>45469</v>
      </c>
      <c r="C440" s="1" t="s">
        <v>10</v>
      </c>
      <c r="D440" s="1" t="s">
        <v>24</v>
      </c>
      <c r="E440" s="1" t="s">
        <v>19</v>
      </c>
      <c r="F440" s="1">
        <v>278.02999999999997</v>
      </c>
      <c r="G440" s="1" t="s">
        <v>66</v>
      </c>
      <c r="H440" s="2">
        <v>33192</v>
      </c>
      <c r="I440" s="2">
        <v>45478</v>
      </c>
      <c r="J440" s="1">
        <v>26.87</v>
      </c>
      <c r="K440" s="4">
        <f t="shared" si="12"/>
        <v>74.706660999999997</v>
      </c>
      <c r="L440" s="4">
        <f t="shared" si="13"/>
        <v>203.32333899999998</v>
      </c>
      <c r="O440">
        <v>1599</v>
      </c>
      <c r="P440">
        <v>45019</v>
      </c>
      <c r="Q440" t="str">
        <v>Central</v>
      </c>
      <c r="R440" t="str">
        <v>Sofa</v>
      </c>
      <c r="S440" t="str">
        <v>Furniture</v>
      </c>
      <c r="T440">
        <v>4965.5600000000004</v>
      </c>
      <c r="U440" t="str">
        <v>Antonio David</v>
      </c>
      <c r="V440">
        <v>24580</v>
      </c>
      <c r="W440">
        <v>45026</v>
      </c>
      <c r="X440">
        <v>27.76</v>
      </c>
      <c r="Y440">
        <v>1378.4394560000003</v>
      </c>
      <c r="Z440">
        <v>3587.1205440000003</v>
      </c>
      <c r="AC440" t="str">
        <v>Chair</v>
      </c>
      <c r="AD440">
        <v>3599.5681680000002</v>
      </c>
      <c r="AF440">
        <v>1597</v>
      </c>
      <c r="AG440" t="str">
        <v>Bed</v>
      </c>
      <c r="AH440">
        <v>4692.152</v>
      </c>
    </row>
    <row r="441" spans="1:34" x14ac:dyDescent="0.3">
      <c r="A441" s="1">
        <v>1439</v>
      </c>
      <c r="B441" s="2">
        <v>45590</v>
      </c>
      <c r="C441" s="1" t="s">
        <v>26</v>
      </c>
      <c r="D441" s="1" t="s">
        <v>33</v>
      </c>
      <c r="E441" s="1" t="s">
        <v>16</v>
      </c>
      <c r="F441" s="1">
        <v>288.8</v>
      </c>
      <c r="G441" s="1" t="s">
        <v>221</v>
      </c>
      <c r="H441" s="2">
        <v>35658</v>
      </c>
      <c r="I441" s="2">
        <v>45593</v>
      </c>
      <c r="J441" s="1">
        <v>45.82</v>
      </c>
      <c r="K441" s="4">
        <f t="shared" si="12"/>
        <v>132.32816</v>
      </c>
      <c r="L441" s="4">
        <f t="shared" si="13"/>
        <v>156.47184000000001</v>
      </c>
      <c r="O441">
        <v>1600</v>
      </c>
      <c r="P441">
        <v>45120</v>
      </c>
      <c r="Q441" t="str">
        <v>Central</v>
      </c>
      <c r="R441" t="str">
        <v>Laptop</v>
      </c>
      <c r="S441" t="str">
        <v>Electronics</v>
      </c>
      <c r="T441">
        <v>4869.33</v>
      </c>
      <c r="U441" t="str">
        <v>Sylvia Landry</v>
      </c>
      <c r="V441">
        <v>35642</v>
      </c>
      <c r="W441">
        <v>45125</v>
      </c>
      <c r="X441">
        <v>43.72</v>
      </c>
      <c r="Y441">
        <v>2128.8710759999999</v>
      </c>
      <c r="Z441">
        <v>2740.458924</v>
      </c>
      <c r="AC441" t="str">
        <v>Sofa</v>
      </c>
      <c r="AD441">
        <v>3587.1205440000003</v>
      </c>
      <c r="AF441">
        <v>1598</v>
      </c>
      <c r="AG441" t="str">
        <v>Chair</v>
      </c>
      <c r="AH441">
        <v>3599.5681680000002</v>
      </c>
    </row>
    <row r="442" spans="1:34" x14ac:dyDescent="0.3">
      <c r="A442" s="1">
        <v>1440</v>
      </c>
      <c r="B442" s="2">
        <v>44758</v>
      </c>
      <c r="C442" s="1" t="s">
        <v>21</v>
      </c>
      <c r="D442" s="1" t="s">
        <v>38</v>
      </c>
      <c r="E442" s="1" t="s">
        <v>28</v>
      </c>
      <c r="F442" s="1">
        <v>494.59</v>
      </c>
      <c r="G442" s="1" t="s">
        <v>128</v>
      </c>
      <c r="H442" s="2">
        <v>37961</v>
      </c>
      <c r="I442" s="2">
        <v>44772</v>
      </c>
      <c r="J442" s="1">
        <v>29.68</v>
      </c>
      <c r="K442" s="4">
        <f t="shared" si="12"/>
        <v>146.79431199999999</v>
      </c>
      <c r="L442" s="4">
        <f t="shared" si="13"/>
        <v>347.79568799999998</v>
      </c>
      <c r="O442">
        <v>1601</v>
      </c>
      <c r="P442">
        <v>45387</v>
      </c>
      <c r="Q442" t="str">
        <v>East</v>
      </c>
      <c r="R442" t="str">
        <v>Oil</v>
      </c>
      <c r="S442" t="str">
        <v>Groceries</v>
      </c>
      <c r="T442">
        <v>4672.42</v>
      </c>
      <c r="U442" t="str">
        <v>Casey Williams</v>
      </c>
      <c r="V442">
        <v>22646</v>
      </c>
      <c r="W442">
        <v>45391</v>
      </c>
      <c r="X442">
        <v>31.77</v>
      </c>
      <c r="Y442">
        <v>1484.4278339999998</v>
      </c>
      <c r="Z442">
        <v>3187.992166</v>
      </c>
      <c r="AC442" t="str">
        <v>Laptop</v>
      </c>
      <c r="AD442">
        <v>2740.458924</v>
      </c>
      <c r="AF442">
        <v>1599</v>
      </c>
      <c r="AG442" t="str">
        <v>Sofa</v>
      </c>
      <c r="AH442">
        <v>3587.1205440000003</v>
      </c>
    </row>
    <row r="443" spans="1:34" x14ac:dyDescent="0.3">
      <c r="A443" s="1">
        <v>1441</v>
      </c>
      <c r="B443" s="2">
        <v>45796</v>
      </c>
      <c r="C443" s="1" t="s">
        <v>21</v>
      </c>
      <c r="D443" s="1" t="s">
        <v>69</v>
      </c>
      <c r="E443" s="1" t="s">
        <v>12</v>
      </c>
      <c r="F443" s="1">
        <v>2525.13</v>
      </c>
      <c r="G443" s="1" t="s">
        <v>227</v>
      </c>
      <c r="H443" s="2">
        <v>34932</v>
      </c>
      <c r="I443" s="2">
        <v>45798</v>
      </c>
      <c r="J443" s="1">
        <v>35.049999999999997</v>
      </c>
      <c r="K443" s="4">
        <f t="shared" si="12"/>
        <v>885.05806499999994</v>
      </c>
      <c r="L443" s="4">
        <f t="shared" si="13"/>
        <v>1640.0719350000002</v>
      </c>
      <c r="O443">
        <v>1602</v>
      </c>
      <c r="P443">
        <v>45090</v>
      </c>
      <c r="Q443" t="str">
        <v>South</v>
      </c>
      <c r="R443" t="str">
        <v>Headphones</v>
      </c>
      <c r="S443" t="str">
        <v>Electronics</v>
      </c>
      <c r="T443">
        <v>3353.57</v>
      </c>
      <c r="U443" t="str">
        <v>Adam Martinez</v>
      </c>
      <c r="V443">
        <v>22599</v>
      </c>
      <c r="W443">
        <v>45095</v>
      </c>
      <c r="X443">
        <v>37.700000000000003</v>
      </c>
      <c r="Y443">
        <v>1264.2958900000001</v>
      </c>
      <c r="Z443">
        <v>2089.2741100000003</v>
      </c>
      <c r="AC443" t="str">
        <v>Oil</v>
      </c>
      <c r="AD443">
        <v>3187.992166</v>
      </c>
      <c r="AF443">
        <v>1600</v>
      </c>
      <c r="AG443" t="str">
        <v>Laptop</v>
      </c>
      <c r="AH443">
        <v>2740.458924</v>
      </c>
    </row>
    <row r="444" spans="1:34" x14ac:dyDescent="0.3">
      <c r="A444" s="1">
        <v>1442</v>
      </c>
      <c r="B444" s="2">
        <v>45467</v>
      </c>
      <c r="C444" s="1" t="s">
        <v>35</v>
      </c>
      <c r="D444" s="1" t="s">
        <v>18</v>
      </c>
      <c r="E444" s="1" t="s">
        <v>19</v>
      </c>
      <c r="F444" s="1">
        <v>3350.42</v>
      </c>
      <c r="G444" s="1" t="s">
        <v>267</v>
      </c>
      <c r="H444" s="2">
        <v>38039</v>
      </c>
      <c r="I444" s="2">
        <v>45478</v>
      </c>
      <c r="J444" s="1">
        <v>31.35</v>
      </c>
      <c r="K444" s="4">
        <f t="shared" si="12"/>
        <v>1050.3566700000001</v>
      </c>
      <c r="L444" s="4">
        <f t="shared" si="13"/>
        <v>2300.06333</v>
      </c>
      <c r="O444">
        <v>1603</v>
      </c>
      <c r="P444">
        <v>44250</v>
      </c>
      <c r="Q444" t="str">
        <v>East</v>
      </c>
      <c r="R444" t="str">
        <v>Bed</v>
      </c>
      <c r="S444" t="str">
        <v>Furniture</v>
      </c>
      <c r="T444">
        <v>3665.39</v>
      </c>
      <c r="U444" t="str">
        <v>Laura Sanchez</v>
      </c>
      <c r="V444">
        <v>30923</v>
      </c>
      <c r="W444">
        <v>44254</v>
      </c>
      <c r="X444">
        <v>16.36</v>
      </c>
      <c r="Y444">
        <v>599.65780399999994</v>
      </c>
      <c r="Z444">
        <v>3065.7321959999999</v>
      </c>
      <c r="AC444" t="str">
        <v>Headphones</v>
      </c>
      <c r="AD444">
        <v>2089.2741100000003</v>
      </c>
      <c r="AF444">
        <v>1601</v>
      </c>
      <c r="AG444" t="str">
        <v>Oil</v>
      </c>
      <c r="AH444">
        <v>3187.992166</v>
      </c>
    </row>
    <row r="445" spans="1:34" x14ac:dyDescent="0.3">
      <c r="A445" s="1">
        <v>1443</v>
      </c>
      <c r="B445" s="2">
        <v>44400</v>
      </c>
      <c r="C445" s="1" t="s">
        <v>35</v>
      </c>
      <c r="D445" s="1" t="s">
        <v>11</v>
      </c>
      <c r="E445" s="1" t="s">
        <v>12</v>
      </c>
      <c r="F445" s="1">
        <v>3643.84</v>
      </c>
      <c r="G445" s="1" t="s">
        <v>238</v>
      </c>
      <c r="H445" s="2">
        <v>31880</v>
      </c>
      <c r="I445" s="2">
        <v>44401</v>
      </c>
      <c r="J445" s="1">
        <v>18.11</v>
      </c>
      <c r="K445" s="4">
        <f t="shared" si="12"/>
        <v>659.89942399999995</v>
      </c>
      <c r="L445" s="4">
        <f t="shared" si="13"/>
        <v>2983.940576</v>
      </c>
      <c r="O445">
        <v>1604</v>
      </c>
      <c r="P445">
        <v>44827</v>
      </c>
      <c r="Q445" t="str">
        <v>Central</v>
      </c>
      <c r="R445" t="str">
        <v>Tablet</v>
      </c>
      <c r="S445" t="str">
        <v>Electronics</v>
      </c>
      <c r="T445">
        <v>3004.02</v>
      </c>
      <c r="U445" t="str">
        <v>Tony Rose</v>
      </c>
      <c r="V445">
        <v>31764</v>
      </c>
      <c r="W445">
        <v>44835</v>
      </c>
      <c r="X445">
        <v>44.09</v>
      </c>
      <c r="Y445">
        <v>1324.4724180000001</v>
      </c>
      <c r="Z445">
        <v>1679.5475819999999</v>
      </c>
      <c r="AC445" t="str">
        <v>Bed</v>
      </c>
      <c r="AD445">
        <v>3065.7321959999999</v>
      </c>
      <c r="AF445">
        <v>1602</v>
      </c>
      <c r="AG445" t="str">
        <v>Headphones</v>
      </c>
      <c r="AH445">
        <v>2089.2741100000003</v>
      </c>
    </row>
    <row r="446" spans="1:34" x14ac:dyDescent="0.3">
      <c r="A446" s="1">
        <v>1444</v>
      </c>
      <c r="B446" s="2">
        <v>45724</v>
      </c>
      <c r="C446" s="1" t="s">
        <v>10</v>
      </c>
      <c r="D446" s="1" t="s">
        <v>38</v>
      </c>
      <c r="E446" s="1" t="s">
        <v>28</v>
      </c>
      <c r="F446" s="1">
        <v>1247.1500000000001</v>
      </c>
      <c r="G446" s="1" t="s">
        <v>268</v>
      </c>
      <c r="H446" s="2">
        <v>25103</v>
      </c>
      <c r="I446" s="2">
        <v>45727</v>
      </c>
      <c r="J446" s="1">
        <v>6.45</v>
      </c>
      <c r="K446" s="4">
        <f t="shared" si="12"/>
        <v>80.441175000000001</v>
      </c>
      <c r="L446" s="4">
        <f t="shared" si="13"/>
        <v>1166.7088250000002</v>
      </c>
      <c r="O446">
        <v>1605</v>
      </c>
      <c r="P446">
        <v>45700</v>
      </c>
      <c r="Q446" t="str">
        <v>West</v>
      </c>
      <c r="R446" t="str">
        <v>Shoes</v>
      </c>
      <c r="S446" t="str">
        <v>Clothing</v>
      </c>
      <c r="T446">
        <v>1214.72</v>
      </c>
      <c r="U446" t="str">
        <v>Douglas Williams</v>
      </c>
      <c r="V446">
        <v>38826</v>
      </c>
      <c r="W446">
        <v>45710</v>
      </c>
      <c r="X446">
        <v>5.04</v>
      </c>
      <c r="Y446">
        <v>61.221888</v>
      </c>
      <c r="Z446">
        <v>1153.498112</v>
      </c>
      <c r="AC446" t="str">
        <v>Tablet</v>
      </c>
      <c r="AD446">
        <v>1679.5475819999999</v>
      </c>
      <c r="AF446">
        <v>1603</v>
      </c>
      <c r="AG446" t="str">
        <v>Bed</v>
      </c>
      <c r="AH446">
        <v>3065.7321959999999</v>
      </c>
    </row>
    <row r="447" spans="1:34" x14ac:dyDescent="0.3">
      <c r="A447" s="1">
        <v>1445</v>
      </c>
      <c r="B447" s="2">
        <v>45577</v>
      </c>
      <c r="C447" s="1" t="s">
        <v>35</v>
      </c>
      <c r="D447" s="1" t="s">
        <v>44</v>
      </c>
      <c r="E447" s="1" t="s">
        <v>16</v>
      </c>
      <c r="F447" s="1">
        <v>1813.32</v>
      </c>
      <c r="G447" s="1" t="s">
        <v>269</v>
      </c>
      <c r="H447" s="2">
        <v>30976</v>
      </c>
      <c r="I447" s="2">
        <v>45585</v>
      </c>
      <c r="J447" s="1">
        <v>22.45</v>
      </c>
      <c r="K447" s="4">
        <f t="shared" si="12"/>
        <v>407.09033999999997</v>
      </c>
      <c r="L447" s="4">
        <f t="shared" si="13"/>
        <v>1406.22966</v>
      </c>
      <c r="O447">
        <v>1606</v>
      </c>
      <c r="P447">
        <v>45887</v>
      </c>
      <c r="Q447" t="str">
        <v>Central</v>
      </c>
      <c r="R447" t="str">
        <v>Table</v>
      </c>
      <c r="S447" t="str">
        <v>Furniture</v>
      </c>
      <c r="T447">
        <v>2043.99</v>
      </c>
      <c r="U447" t="str">
        <v>Kimberly Carey</v>
      </c>
      <c r="V447">
        <v>24961</v>
      </c>
      <c r="W447">
        <v>45891</v>
      </c>
      <c r="X447">
        <v>4.74</v>
      </c>
      <c r="Y447">
        <v>96.885126000000014</v>
      </c>
      <c r="Z447">
        <v>1947.1048740000001</v>
      </c>
      <c r="AC447" t="str">
        <v>Shoes</v>
      </c>
      <c r="AD447">
        <v>1153.498112</v>
      </c>
      <c r="AF447">
        <v>1604</v>
      </c>
      <c r="AG447" t="str">
        <v>Tablet</v>
      </c>
      <c r="AH447">
        <v>1679.5475819999999</v>
      </c>
    </row>
    <row r="448" spans="1:34" x14ac:dyDescent="0.3">
      <c r="A448" s="1">
        <v>1446</v>
      </c>
      <c r="B448" s="2">
        <v>45785</v>
      </c>
      <c r="C448" s="1" t="s">
        <v>14</v>
      </c>
      <c r="D448" s="1" t="s">
        <v>30</v>
      </c>
      <c r="E448" s="1" t="s">
        <v>31</v>
      </c>
      <c r="F448" s="1">
        <v>3713.98</v>
      </c>
      <c r="G448" s="1" t="s">
        <v>130</v>
      </c>
      <c r="H448" s="2">
        <v>38750</v>
      </c>
      <c r="I448" s="2">
        <v>45798</v>
      </c>
      <c r="J448" s="1">
        <v>43.09</v>
      </c>
      <c r="K448" s="4">
        <f t="shared" si="12"/>
        <v>1600.3539820000003</v>
      </c>
      <c r="L448" s="4">
        <f t="shared" si="13"/>
        <v>2113.6260179999999</v>
      </c>
      <c r="O448">
        <v>1607</v>
      </c>
      <c r="P448">
        <v>45642</v>
      </c>
      <c r="Q448" t="str">
        <v>West</v>
      </c>
      <c r="R448" t="str">
        <v>Wheat</v>
      </c>
      <c r="S448" t="str">
        <v>Groceries</v>
      </c>
      <c r="T448">
        <v>3540.67</v>
      </c>
      <c r="U448" t="str">
        <v>Daniel Cabrera</v>
      </c>
      <c r="V448">
        <v>24033</v>
      </c>
      <c r="W448">
        <v>45652</v>
      </c>
      <c r="X448">
        <v>24.78</v>
      </c>
      <c r="Y448">
        <v>877.37802600000009</v>
      </c>
      <c r="Z448">
        <v>2663.2919739999998</v>
      </c>
      <c r="AC448" t="str">
        <v>Table</v>
      </c>
      <c r="AD448">
        <v>1947.1048740000001</v>
      </c>
      <c r="AF448">
        <v>1605</v>
      </c>
      <c r="AG448" t="str">
        <v>Shoes</v>
      </c>
      <c r="AH448">
        <v>1153.498112</v>
      </c>
    </row>
    <row r="449" spans="1:34" x14ac:dyDescent="0.3">
      <c r="A449" s="1">
        <v>1447</v>
      </c>
      <c r="B449" s="2">
        <v>45287</v>
      </c>
      <c r="C449" s="1" t="s">
        <v>35</v>
      </c>
      <c r="D449" s="1" t="s">
        <v>88</v>
      </c>
      <c r="E449" s="1" t="s">
        <v>16</v>
      </c>
      <c r="F449" s="1">
        <v>432.26</v>
      </c>
      <c r="G449" s="1" t="s">
        <v>270</v>
      </c>
      <c r="H449" s="2">
        <v>23245</v>
      </c>
      <c r="I449" s="2">
        <v>45288</v>
      </c>
      <c r="J449" s="1">
        <v>8.39</v>
      </c>
      <c r="K449" s="4">
        <f t="shared" si="12"/>
        <v>36.266613999999997</v>
      </c>
      <c r="L449" s="4">
        <f t="shared" si="13"/>
        <v>395.99338599999999</v>
      </c>
      <c r="O449">
        <v>1608</v>
      </c>
      <c r="P449">
        <v>45403</v>
      </c>
      <c r="Q449" t="str">
        <v>South</v>
      </c>
      <c r="R449" t="str">
        <v>Jeans</v>
      </c>
      <c r="S449" t="str">
        <v>Clothing</v>
      </c>
      <c r="T449">
        <v>2213.81</v>
      </c>
      <c r="U449" t="str">
        <v>Lisa Clark</v>
      </c>
      <c r="V449">
        <v>27879</v>
      </c>
      <c r="W449">
        <v>45414</v>
      </c>
      <c r="X449">
        <v>27.09</v>
      </c>
      <c r="Y449">
        <v>599.72112899999991</v>
      </c>
      <c r="Z449">
        <v>1614.0888709999999</v>
      </c>
      <c r="AC449" t="str">
        <v>Wheat</v>
      </c>
      <c r="AD449">
        <v>2663.2919739999998</v>
      </c>
      <c r="AF449">
        <v>1606</v>
      </c>
      <c r="AG449" t="str">
        <v>Table</v>
      </c>
      <c r="AH449">
        <v>1947.1048740000001</v>
      </c>
    </row>
    <row r="450" spans="1:34" x14ac:dyDescent="0.3">
      <c r="A450" s="1">
        <v>1448</v>
      </c>
      <c r="B450" s="2">
        <v>44839</v>
      </c>
      <c r="C450" s="1" t="s">
        <v>21</v>
      </c>
      <c r="D450" s="1" t="s">
        <v>53</v>
      </c>
      <c r="E450" s="1" t="s">
        <v>28</v>
      </c>
      <c r="F450" s="1">
        <v>1693.45</v>
      </c>
      <c r="G450" s="1" t="s">
        <v>205</v>
      </c>
      <c r="H450" s="2">
        <v>27526</v>
      </c>
      <c r="I450" s="2">
        <v>44844</v>
      </c>
      <c r="J450" s="1">
        <v>23.61</v>
      </c>
      <c r="K450" s="4">
        <f t="shared" si="12"/>
        <v>399.82354500000002</v>
      </c>
      <c r="L450" s="4">
        <f t="shared" si="13"/>
        <v>1293.6264550000001</v>
      </c>
      <c r="O450">
        <v>1609</v>
      </c>
      <c r="P450">
        <v>45381</v>
      </c>
      <c r="Q450" t="str">
        <v>North</v>
      </c>
      <c r="R450" t="str">
        <v>Chair</v>
      </c>
      <c r="S450" t="str">
        <v>Furniture</v>
      </c>
      <c r="T450">
        <v>4495.8500000000004</v>
      </c>
      <c r="U450" t="str">
        <v>Bradley Lindsey</v>
      </c>
      <c r="V450">
        <v>24322</v>
      </c>
      <c r="W450">
        <v>45384</v>
      </c>
      <c r="X450">
        <v>20.09</v>
      </c>
      <c r="Y450">
        <v>903.21626500000002</v>
      </c>
      <c r="Z450">
        <v>3592.6337350000003</v>
      </c>
      <c r="AC450" t="str">
        <v>Jeans</v>
      </c>
      <c r="AD450">
        <v>1614.0888709999999</v>
      </c>
      <c r="AF450">
        <v>1607</v>
      </c>
      <c r="AG450" t="str">
        <v>Wheat</v>
      </c>
      <c r="AH450">
        <v>2663.2919739999998</v>
      </c>
    </row>
    <row r="451" spans="1:34" x14ac:dyDescent="0.3">
      <c r="A451" s="1">
        <v>1449</v>
      </c>
      <c r="B451" s="2">
        <v>44700</v>
      </c>
      <c r="C451" s="1" t="s">
        <v>21</v>
      </c>
      <c r="D451" s="1" t="s">
        <v>15</v>
      </c>
      <c r="E451" s="1" t="s">
        <v>16</v>
      </c>
      <c r="F451" s="1">
        <v>1889.02</v>
      </c>
      <c r="G451" s="1" t="s">
        <v>271</v>
      </c>
      <c r="H451" s="2">
        <v>22796</v>
      </c>
      <c r="I451" s="2">
        <v>44709</v>
      </c>
      <c r="J451" s="1">
        <v>2.15</v>
      </c>
      <c r="K451" s="4">
        <f t="shared" ref="K451:K514" si="14">F451*J451%</f>
        <v>40.613929999999996</v>
      </c>
      <c r="L451" s="4">
        <f t="shared" ref="L451:L514" si="15">F451-K451</f>
        <v>1848.40607</v>
      </c>
      <c r="O451">
        <v>1610</v>
      </c>
      <c r="P451">
        <v>45786</v>
      </c>
      <c r="Q451" t="str">
        <v>North</v>
      </c>
      <c r="R451" t="str">
        <v>Table</v>
      </c>
      <c r="S451" t="str">
        <v>Furniture</v>
      </c>
      <c r="T451">
        <v>1801.24</v>
      </c>
      <c r="U451" t="str">
        <v>Benjamin Travis</v>
      </c>
      <c r="V451">
        <v>33354</v>
      </c>
      <c r="W451">
        <v>45796</v>
      </c>
      <c r="X451">
        <v>41.81</v>
      </c>
      <c r="Y451">
        <v>753.09844400000009</v>
      </c>
      <c r="Z451">
        <v>1048.141556</v>
      </c>
      <c r="AC451" t="str">
        <v>Chair</v>
      </c>
      <c r="AD451">
        <v>3592.6337350000003</v>
      </c>
      <c r="AF451">
        <v>1608</v>
      </c>
      <c r="AG451" t="str">
        <v>Jeans</v>
      </c>
      <c r="AH451">
        <v>1614.0888709999999</v>
      </c>
    </row>
    <row r="452" spans="1:34" x14ac:dyDescent="0.3">
      <c r="A452" s="1">
        <v>1450</v>
      </c>
      <c r="B452" s="2">
        <v>44831</v>
      </c>
      <c r="C452" s="1" t="s">
        <v>21</v>
      </c>
      <c r="D452" s="1" t="s">
        <v>71</v>
      </c>
      <c r="E452" s="1" t="s">
        <v>31</v>
      </c>
      <c r="F452" s="1">
        <v>2427.5100000000002</v>
      </c>
      <c r="G452" s="1" t="s">
        <v>101</v>
      </c>
      <c r="H452" s="2">
        <v>31331</v>
      </c>
      <c r="I452" s="2">
        <v>44842</v>
      </c>
      <c r="J452" s="1">
        <v>21.39</v>
      </c>
      <c r="K452" s="4">
        <f t="shared" si="14"/>
        <v>519.24438900000007</v>
      </c>
      <c r="L452" s="4">
        <f t="shared" si="15"/>
        <v>1908.2656110000003</v>
      </c>
      <c r="O452">
        <v>1611</v>
      </c>
      <c r="P452">
        <v>44397</v>
      </c>
      <c r="Q452" t="str">
        <v>South</v>
      </c>
      <c r="R452" t="str">
        <v>Basketball</v>
      </c>
      <c r="S452" t="str">
        <v>Sports</v>
      </c>
      <c r="T452">
        <v>2961.27</v>
      </c>
      <c r="U452" t="str">
        <v>Holly Wolfe</v>
      </c>
      <c r="V452">
        <v>38934</v>
      </c>
      <c r="W452">
        <v>44399</v>
      </c>
      <c r="X452">
        <v>0.68</v>
      </c>
      <c r="Y452">
        <v>20.136636000000003</v>
      </c>
      <c r="Z452">
        <v>2941.1333639999998</v>
      </c>
      <c r="AC452" t="str">
        <v>Table</v>
      </c>
      <c r="AD452">
        <v>1048.141556</v>
      </c>
      <c r="AF452">
        <v>1609</v>
      </c>
      <c r="AG452" t="str">
        <v>Chair</v>
      </c>
      <c r="AH452">
        <v>3592.6337350000003</v>
      </c>
    </row>
    <row r="453" spans="1:34" x14ac:dyDescent="0.3">
      <c r="A453" s="1">
        <v>1451</v>
      </c>
      <c r="B453" s="2">
        <v>44962</v>
      </c>
      <c r="C453" s="1" t="s">
        <v>26</v>
      </c>
      <c r="D453" s="1" t="s">
        <v>18</v>
      </c>
      <c r="E453" s="1" t="s">
        <v>19</v>
      </c>
      <c r="F453" s="1">
        <v>1645.22</v>
      </c>
      <c r="G453" s="1" t="s">
        <v>272</v>
      </c>
      <c r="H453" s="2">
        <v>27832</v>
      </c>
      <c r="I453" s="2">
        <v>44972</v>
      </c>
      <c r="J453" s="1">
        <v>7.75</v>
      </c>
      <c r="K453" s="4">
        <f t="shared" si="14"/>
        <v>127.50454999999999</v>
      </c>
      <c r="L453" s="4">
        <f t="shared" si="15"/>
        <v>1517.7154500000001</v>
      </c>
      <c r="O453">
        <v>1612</v>
      </c>
      <c r="P453">
        <v>45577</v>
      </c>
      <c r="Q453" t="str">
        <v>West</v>
      </c>
      <c r="R453" t="str">
        <v>Wheat</v>
      </c>
      <c r="S453" t="str">
        <v>Groceries</v>
      </c>
      <c r="T453">
        <v>4247.75</v>
      </c>
      <c r="U453" t="str">
        <v>Brandon Ross</v>
      </c>
      <c r="V453">
        <v>29792</v>
      </c>
      <c r="W453">
        <v>45584</v>
      </c>
      <c r="X453">
        <v>5.75</v>
      </c>
      <c r="Y453">
        <v>244.24562500000002</v>
      </c>
      <c r="Z453">
        <v>4003.504375</v>
      </c>
      <c r="AC453" t="str">
        <v>Basketball</v>
      </c>
      <c r="AD453">
        <v>2941.1333639999998</v>
      </c>
      <c r="AF453">
        <v>1610</v>
      </c>
      <c r="AG453" t="str">
        <v>Table</v>
      </c>
      <c r="AH453">
        <v>1048.141556</v>
      </c>
    </row>
    <row r="454" spans="1:34" x14ac:dyDescent="0.3">
      <c r="A454" s="1">
        <v>1452</v>
      </c>
      <c r="B454" s="2">
        <v>45342</v>
      </c>
      <c r="C454" s="1" t="s">
        <v>26</v>
      </c>
      <c r="D454" s="1" t="s">
        <v>61</v>
      </c>
      <c r="E454" s="1" t="s">
        <v>19</v>
      </c>
      <c r="F454" s="1">
        <v>2271.75</v>
      </c>
      <c r="G454" s="1" t="s">
        <v>96</v>
      </c>
      <c r="H454" s="2">
        <v>36236</v>
      </c>
      <c r="I454" s="2">
        <v>45348</v>
      </c>
      <c r="J454" s="1">
        <v>15.35</v>
      </c>
      <c r="K454" s="4">
        <f t="shared" si="14"/>
        <v>348.71362499999998</v>
      </c>
      <c r="L454" s="4">
        <f t="shared" si="15"/>
        <v>1923.0363750000001</v>
      </c>
      <c r="O454">
        <v>1613</v>
      </c>
      <c r="P454">
        <v>44391</v>
      </c>
      <c r="Q454" t="str">
        <v>West</v>
      </c>
      <c r="R454" t="str">
        <v>Oil</v>
      </c>
      <c r="S454" t="str">
        <v>Groceries</v>
      </c>
      <c r="T454">
        <v>1981.39</v>
      </c>
      <c r="U454" t="str">
        <v>Michelle Davis</v>
      </c>
      <c r="V454">
        <v>34367</v>
      </c>
      <c r="W454">
        <v>44402</v>
      </c>
      <c r="X454">
        <v>38.67</v>
      </c>
      <c r="Y454">
        <v>766.20351300000016</v>
      </c>
      <c r="Z454">
        <v>1215.1864869999999</v>
      </c>
      <c r="AC454" t="str">
        <v>Wheat</v>
      </c>
      <c r="AD454">
        <v>4003.504375</v>
      </c>
      <c r="AF454">
        <v>1611</v>
      </c>
      <c r="AG454" t="str">
        <v>Basketball</v>
      </c>
      <c r="AH454">
        <v>2941.1333639999998</v>
      </c>
    </row>
    <row r="455" spans="1:34" x14ac:dyDescent="0.3">
      <c r="A455" s="1">
        <v>1453</v>
      </c>
      <c r="B455" s="2">
        <v>45834</v>
      </c>
      <c r="C455" s="1" t="s">
        <v>35</v>
      </c>
      <c r="D455" s="1" t="s">
        <v>33</v>
      </c>
      <c r="E455" s="1" t="s">
        <v>16</v>
      </c>
      <c r="F455" s="1">
        <v>2430.6999999999998</v>
      </c>
      <c r="G455" s="1" t="s">
        <v>273</v>
      </c>
      <c r="H455" s="2">
        <v>30822</v>
      </c>
      <c r="I455" s="2">
        <v>45840</v>
      </c>
      <c r="J455" s="1">
        <v>45.83</v>
      </c>
      <c r="K455" s="4">
        <f t="shared" si="14"/>
        <v>1113.9898099999998</v>
      </c>
      <c r="L455" s="4">
        <f t="shared" si="15"/>
        <v>1316.71019</v>
      </c>
      <c r="O455">
        <v>1615</v>
      </c>
      <c r="P455">
        <v>44232</v>
      </c>
      <c r="Q455" t="str">
        <v>South</v>
      </c>
      <c r="R455" t="str">
        <v>Headphones</v>
      </c>
      <c r="S455" t="str">
        <v>Electronics</v>
      </c>
      <c r="T455">
        <v>4743.6499999999996</v>
      </c>
      <c r="U455" t="str">
        <v>April Morgan</v>
      </c>
      <c r="V455">
        <v>22870</v>
      </c>
      <c r="W455">
        <v>44246</v>
      </c>
      <c r="X455">
        <v>6.24</v>
      </c>
      <c r="Y455">
        <v>296.00376</v>
      </c>
      <c r="Z455">
        <v>4447.64624</v>
      </c>
      <c r="AC455" t="str">
        <v>Oil</v>
      </c>
      <c r="AD455">
        <v>1215.1864869999999</v>
      </c>
      <c r="AF455">
        <v>1612</v>
      </c>
      <c r="AG455" t="str">
        <v>Wheat</v>
      </c>
      <c r="AH455">
        <v>4003.504375</v>
      </c>
    </row>
    <row r="456" spans="1:34" x14ac:dyDescent="0.3">
      <c r="A456" s="1">
        <v>1454</v>
      </c>
      <c r="B456" s="2">
        <v>45380</v>
      </c>
      <c r="C456" s="1" t="s">
        <v>35</v>
      </c>
      <c r="D456" s="1" t="s">
        <v>18</v>
      </c>
      <c r="E456" s="1" t="s">
        <v>19</v>
      </c>
      <c r="F456" s="1">
        <v>4543.08</v>
      </c>
      <c r="G456" s="1" t="s">
        <v>166</v>
      </c>
      <c r="H456" s="2">
        <v>27879</v>
      </c>
      <c r="I456" s="2">
        <v>45381</v>
      </c>
      <c r="J456" s="1">
        <v>41.7</v>
      </c>
      <c r="K456" s="4">
        <f t="shared" si="14"/>
        <v>1894.4643600000002</v>
      </c>
      <c r="L456" s="4">
        <f t="shared" si="15"/>
        <v>2648.61564</v>
      </c>
      <c r="O456">
        <v>1616</v>
      </c>
      <c r="P456">
        <v>44472</v>
      </c>
      <c r="Q456" t="str">
        <v>Central</v>
      </c>
      <c r="R456" t="str">
        <v>Laptop</v>
      </c>
      <c r="S456" t="str">
        <v>Electronics</v>
      </c>
      <c r="T456">
        <v>4597.1000000000004</v>
      </c>
      <c r="U456" t="str">
        <v>Bruce Miller</v>
      </c>
      <c r="V456">
        <v>31775</v>
      </c>
      <c r="W456">
        <v>44482</v>
      </c>
      <c r="X456">
        <v>13.79</v>
      </c>
      <c r="Y456">
        <v>633.94009000000005</v>
      </c>
      <c r="Z456">
        <v>3963.1599100000003</v>
      </c>
      <c r="AC456" t="str">
        <v>Headphones</v>
      </c>
      <c r="AD456">
        <v>4447.64624</v>
      </c>
      <c r="AF456">
        <v>1613</v>
      </c>
      <c r="AG456" t="str">
        <v>Oil</v>
      </c>
      <c r="AH456">
        <v>1215.1864869999999</v>
      </c>
    </row>
    <row r="457" spans="1:34" x14ac:dyDescent="0.3">
      <c r="A457" s="1">
        <v>1455</v>
      </c>
      <c r="B457" s="2">
        <v>45583</v>
      </c>
      <c r="C457" s="1" t="s">
        <v>35</v>
      </c>
      <c r="D457" s="1" t="s">
        <v>53</v>
      </c>
      <c r="E457" s="1" t="s">
        <v>28</v>
      </c>
      <c r="F457" s="1">
        <v>4094.7</v>
      </c>
      <c r="G457" s="1" t="s">
        <v>274</v>
      </c>
      <c r="H457" s="2">
        <v>34557</v>
      </c>
      <c r="I457" s="2">
        <v>45595</v>
      </c>
      <c r="J457" s="1">
        <v>11.99</v>
      </c>
      <c r="K457" s="4">
        <f t="shared" si="14"/>
        <v>490.95452999999998</v>
      </c>
      <c r="L457" s="4">
        <f t="shared" si="15"/>
        <v>3603.7454699999998</v>
      </c>
      <c r="O457">
        <v>1617</v>
      </c>
      <c r="P457">
        <v>44533</v>
      </c>
      <c r="Q457" t="str">
        <v>South</v>
      </c>
      <c r="R457" t="str">
        <v>T-Shirt</v>
      </c>
      <c r="S457" t="str">
        <v>Clothing</v>
      </c>
      <c r="T457">
        <v>3648.56</v>
      </c>
      <c r="U457" t="str">
        <v>Mark Swanson</v>
      </c>
      <c r="V457">
        <v>36099</v>
      </c>
      <c r="W457">
        <v>44539</v>
      </c>
      <c r="X457">
        <v>26.36</v>
      </c>
      <c r="Y457">
        <v>961.76041599999996</v>
      </c>
      <c r="Z457">
        <v>2686.7995839999999</v>
      </c>
      <c r="AC457" t="str">
        <v>Laptop</v>
      </c>
      <c r="AD457">
        <v>3963.1599100000003</v>
      </c>
      <c r="AF457">
        <v>1615</v>
      </c>
      <c r="AG457" t="str">
        <v>Headphones</v>
      </c>
      <c r="AH457">
        <v>4447.64624</v>
      </c>
    </row>
    <row r="458" spans="1:34" x14ac:dyDescent="0.3">
      <c r="A458" s="1">
        <v>1456</v>
      </c>
      <c r="B458" s="2">
        <v>44685</v>
      </c>
      <c r="C458" s="1" t="s">
        <v>35</v>
      </c>
      <c r="D458" s="1" t="s">
        <v>44</v>
      </c>
      <c r="E458" s="1" t="s">
        <v>16</v>
      </c>
      <c r="F458" s="1">
        <v>598.49</v>
      </c>
      <c r="G458" s="1" t="s">
        <v>138</v>
      </c>
      <c r="H458" s="2">
        <v>25948</v>
      </c>
      <c r="I458" s="2">
        <v>44688</v>
      </c>
      <c r="J458" s="1">
        <v>39.99</v>
      </c>
      <c r="K458" s="4">
        <f t="shared" si="14"/>
        <v>239.33615100000003</v>
      </c>
      <c r="L458" s="4">
        <f t="shared" si="15"/>
        <v>359.15384899999998</v>
      </c>
      <c r="O458">
        <v>1618</v>
      </c>
      <c r="P458">
        <v>44117</v>
      </c>
      <c r="Q458" t="str">
        <v>East</v>
      </c>
      <c r="R458" t="str">
        <v>Football</v>
      </c>
      <c r="S458" t="str">
        <v>Sports</v>
      </c>
      <c r="T458">
        <v>2586.81</v>
      </c>
      <c r="U458" t="str">
        <v>Tracy Wood</v>
      </c>
      <c r="V458">
        <v>23245</v>
      </c>
      <c r="W458">
        <v>44122</v>
      </c>
      <c r="X458">
        <v>38.119999999999997</v>
      </c>
      <c r="Y458">
        <v>986.09197199999994</v>
      </c>
      <c r="Z458">
        <v>1600.718028</v>
      </c>
      <c r="AC458" t="str">
        <v>T-Shirt</v>
      </c>
      <c r="AD458">
        <v>2686.7995839999999</v>
      </c>
      <c r="AF458">
        <v>1616</v>
      </c>
      <c r="AG458" t="str">
        <v>Laptop</v>
      </c>
      <c r="AH458">
        <v>3963.1599100000003</v>
      </c>
    </row>
    <row r="459" spans="1:34" x14ac:dyDescent="0.3">
      <c r="A459" s="1">
        <v>1457</v>
      </c>
      <c r="B459" s="2">
        <v>44901</v>
      </c>
      <c r="C459" s="1" t="s">
        <v>14</v>
      </c>
      <c r="D459" s="1" t="s">
        <v>49</v>
      </c>
      <c r="E459" s="1" t="s">
        <v>12</v>
      </c>
      <c r="F459" s="1">
        <v>4913.41</v>
      </c>
      <c r="G459" s="1" t="s">
        <v>70</v>
      </c>
      <c r="H459" s="2">
        <v>30887</v>
      </c>
      <c r="I459" s="2">
        <v>44903</v>
      </c>
      <c r="J459" s="1">
        <v>20.73</v>
      </c>
      <c r="K459" s="4">
        <f t="shared" si="14"/>
        <v>1018.549893</v>
      </c>
      <c r="L459" s="4">
        <f t="shared" si="15"/>
        <v>3894.860107</v>
      </c>
      <c r="O459">
        <v>1619</v>
      </c>
      <c r="P459">
        <v>44190</v>
      </c>
      <c r="Q459" t="str">
        <v>East</v>
      </c>
      <c r="R459" t="str">
        <v>Laptop</v>
      </c>
      <c r="S459" t="str">
        <v>Electronics</v>
      </c>
      <c r="T459">
        <v>3181.4</v>
      </c>
      <c r="U459" t="str">
        <v>Deanna Stephenson</v>
      </c>
      <c r="V459">
        <v>31685</v>
      </c>
      <c r="W459">
        <v>44198</v>
      </c>
      <c r="X459">
        <v>46.85</v>
      </c>
      <c r="Y459">
        <v>1490.4859000000001</v>
      </c>
      <c r="Z459">
        <v>1690.9141</v>
      </c>
      <c r="AC459" t="str">
        <v>Football</v>
      </c>
      <c r="AD459">
        <v>1600.718028</v>
      </c>
      <c r="AF459">
        <v>1617</v>
      </c>
      <c r="AG459" t="str">
        <v>T-Shirt</v>
      </c>
      <c r="AH459">
        <v>2686.7995839999999</v>
      </c>
    </row>
    <row r="460" spans="1:34" x14ac:dyDescent="0.3">
      <c r="A460" s="1">
        <v>1458</v>
      </c>
      <c r="B460" s="2">
        <v>45343</v>
      </c>
      <c r="C460" s="1" t="s">
        <v>14</v>
      </c>
      <c r="D460" s="1" t="s">
        <v>55</v>
      </c>
      <c r="E460" s="1" t="s">
        <v>31</v>
      </c>
      <c r="F460" s="1">
        <v>4584.32</v>
      </c>
      <c r="G460" s="1" t="s">
        <v>275</v>
      </c>
      <c r="H460" s="2">
        <v>38510</v>
      </c>
      <c r="I460" s="2">
        <v>45349</v>
      </c>
      <c r="J460" s="1">
        <v>4.4800000000000004</v>
      </c>
      <c r="K460" s="4">
        <f t="shared" si="14"/>
        <v>205.37753600000002</v>
      </c>
      <c r="L460" s="4">
        <f t="shared" si="15"/>
        <v>4378.9424639999997</v>
      </c>
      <c r="O460">
        <v>1620</v>
      </c>
      <c r="P460">
        <v>44638</v>
      </c>
      <c r="Q460" t="str">
        <v>Central</v>
      </c>
      <c r="R460" t="str">
        <v>Wheat</v>
      </c>
      <c r="S460" t="str">
        <v>Groceries</v>
      </c>
      <c r="T460">
        <v>4939.3</v>
      </c>
      <c r="U460" t="str">
        <v>Melissa Douglas</v>
      </c>
      <c r="V460">
        <v>33386</v>
      </c>
      <c r="W460">
        <v>44650</v>
      </c>
      <c r="X460">
        <v>46.46</v>
      </c>
      <c r="Y460">
        <v>2294.7987800000001</v>
      </c>
      <c r="Z460">
        <v>2644.5012200000001</v>
      </c>
      <c r="AC460" t="str">
        <v>Laptop</v>
      </c>
      <c r="AD460">
        <v>1690.9141</v>
      </c>
      <c r="AF460">
        <v>1618</v>
      </c>
      <c r="AG460" t="str">
        <v>Football</v>
      </c>
      <c r="AH460">
        <v>1600.718028</v>
      </c>
    </row>
    <row r="461" spans="1:34" x14ac:dyDescent="0.3">
      <c r="A461" s="1">
        <v>1459</v>
      </c>
      <c r="B461" s="2">
        <v>45180</v>
      </c>
      <c r="C461" s="1" t="s">
        <v>10</v>
      </c>
      <c r="D461" s="1" t="s">
        <v>58</v>
      </c>
      <c r="E461" s="1" t="s">
        <v>31</v>
      </c>
      <c r="F461" s="1">
        <v>846.48</v>
      </c>
      <c r="G461" s="1" t="s">
        <v>276</v>
      </c>
      <c r="H461" s="2">
        <v>33394</v>
      </c>
      <c r="I461" s="2">
        <v>45184</v>
      </c>
      <c r="J461" s="1">
        <v>11.6</v>
      </c>
      <c r="K461" s="4">
        <f t="shared" si="14"/>
        <v>98.191679999999991</v>
      </c>
      <c r="L461" s="4">
        <f t="shared" si="15"/>
        <v>748.28832</v>
      </c>
      <c r="O461">
        <v>1621</v>
      </c>
      <c r="P461">
        <v>45283</v>
      </c>
      <c r="Q461" t="str">
        <v>South</v>
      </c>
      <c r="R461" t="str">
        <v>Headphones</v>
      </c>
      <c r="S461" t="str">
        <v>Electronics</v>
      </c>
      <c r="T461">
        <v>3704.72</v>
      </c>
      <c r="U461" t="str">
        <v>Melissa Douglas</v>
      </c>
      <c r="V461">
        <v>33386</v>
      </c>
      <c r="W461">
        <v>45285</v>
      </c>
      <c r="X461">
        <v>15.38</v>
      </c>
      <c r="Y461">
        <v>569.78593599999999</v>
      </c>
      <c r="Z461">
        <v>3134.934064</v>
      </c>
      <c r="AC461" t="str">
        <v>Wheat</v>
      </c>
      <c r="AD461">
        <v>2644.5012200000001</v>
      </c>
      <c r="AF461">
        <v>1619</v>
      </c>
      <c r="AG461" t="str">
        <v>Laptop</v>
      </c>
      <c r="AH461">
        <v>1690.9141</v>
      </c>
    </row>
    <row r="462" spans="1:34" x14ac:dyDescent="0.3">
      <c r="A462" s="1">
        <v>1460</v>
      </c>
      <c r="B462" s="2">
        <v>45646</v>
      </c>
      <c r="C462" s="1" t="s">
        <v>21</v>
      </c>
      <c r="D462" s="1" t="s">
        <v>11</v>
      </c>
      <c r="E462" s="1" t="s">
        <v>12</v>
      </c>
      <c r="F462" s="1">
        <v>1781.6</v>
      </c>
      <c r="G462" s="1" t="s">
        <v>48</v>
      </c>
      <c r="H462" s="2">
        <v>22315</v>
      </c>
      <c r="I462" s="2">
        <v>45652</v>
      </c>
      <c r="J462" s="1">
        <v>25.14</v>
      </c>
      <c r="K462" s="4">
        <f t="shared" si="14"/>
        <v>447.89424000000002</v>
      </c>
      <c r="L462" s="4">
        <f t="shared" si="15"/>
        <v>1333.7057599999998</v>
      </c>
      <c r="O462">
        <v>1622</v>
      </c>
      <c r="P462">
        <v>45784</v>
      </c>
      <c r="Q462" t="str">
        <v>South</v>
      </c>
      <c r="R462" t="str">
        <v>Shoes</v>
      </c>
      <c r="S462" t="str">
        <v>Clothing</v>
      </c>
      <c r="T462">
        <v>2113.2199999999998</v>
      </c>
      <c r="U462" t="str">
        <v>Lee Hobbs</v>
      </c>
      <c r="V462">
        <v>30299</v>
      </c>
      <c r="W462">
        <v>45789</v>
      </c>
      <c r="X462">
        <v>47.05</v>
      </c>
      <c r="Y462">
        <v>994.27000999999984</v>
      </c>
      <c r="Z462">
        <v>1118.9499900000001</v>
      </c>
      <c r="AC462" t="str">
        <v>Headphones</v>
      </c>
      <c r="AD462">
        <v>3134.934064</v>
      </c>
      <c r="AF462">
        <v>1620</v>
      </c>
      <c r="AG462" t="str">
        <v>Wheat</v>
      </c>
      <c r="AH462">
        <v>2644.5012200000001</v>
      </c>
    </row>
    <row r="463" spans="1:34" x14ac:dyDescent="0.3">
      <c r="A463" s="1">
        <v>1461</v>
      </c>
      <c r="B463" s="2">
        <v>44214</v>
      </c>
      <c r="C463" s="1" t="s">
        <v>21</v>
      </c>
      <c r="D463" s="1" t="s">
        <v>33</v>
      </c>
      <c r="E463" s="1" t="s">
        <v>16</v>
      </c>
      <c r="F463" s="1">
        <v>2176.2399999999998</v>
      </c>
      <c r="G463" s="1" t="s">
        <v>86</v>
      </c>
      <c r="H463" s="2">
        <v>37858</v>
      </c>
      <c r="I463" s="2">
        <v>44215</v>
      </c>
      <c r="J463" s="1">
        <v>21.69</v>
      </c>
      <c r="K463" s="4">
        <f t="shared" si="14"/>
        <v>472.026456</v>
      </c>
      <c r="L463" s="4">
        <f t="shared" si="15"/>
        <v>1704.2135439999997</v>
      </c>
      <c r="O463">
        <v>1623</v>
      </c>
      <c r="P463">
        <v>44110</v>
      </c>
      <c r="Q463" t="str">
        <v>East</v>
      </c>
      <c r="R463" t="str">
        <v>Oil</v>
      </c>
      <c r="S463" t="str">
        <v>Groceries</v>
      </c>
      <c r="T463">
        <v>3514.62</v>
      </c>
      <c r="U463" t="str">
        <v>Douglas Williams</v>
      </c>
      <c r="V463">
        <v>38826</v>
      </c>
      <c r="W463">
        <v>44121</v>
      </c>
      <c r="X463">
        <v>30.34</v>
      </c>
      <c r="Y463">
        <v>1066.3357080000001</v>
      </c>
      <c r="Z463">
        <v>2448.2842919999998</v>
      </c>
      <c r="AC463" t="str">
        <v>Shoes</v>
      </c>
      <c r="AD463">
        <v>1118.9499900000001</v>
      </c>
      <c r="AF463">
        <v>1621</v>
      </c>
      <c r="AG463" t="str">
        <v>Headphones</v>
      </c>
      <c r="AH463">
        <v>3134.934064</v>
      </c>
    </row>
    <row r="464" spans="1:34" x14ac:dyDescent="0.3">
      <c r="A464" s="1">
        <v>1462</v>
      </c>
      <c r="B464" s="2">
        <v>45270</v>
      </c>
      <c r="C464" s="1" t="s">
        <v>21</v>
      </c>
      <c r="D464" s="1" t="s">
        <v>40</v>
      </c>
      <c r="E464" s="1" t="s">
        <v>16</v>
      </c>
      <c r="F464" s="1">
        <v>2972.65</v>
      </c>
      <c r="G464" s="1" t="s">
        <v>120</v>
      </c>
      <c r="H464" s="2">
        <v>30820</v>
      </c>
      <c r="I464" s="2">
        <v>45283</v>
      </c>
      <c r="J464" s="1">
        <v>44.56</v>
      </c>
      <c r="K464" s="4">
        <f t="shared" si="14"/>
        <v>1324.61284</v>
      </c>
      <c r="L464" s="4">
        <f t="shared" si="15"/>
        <v>1648.0371600000001</v>
      </c>
      <c r="O464">
        <v>1625</v>
      </c>
      <c r="P464">
        <v>45113</v>
      </c>
      <c r="Q464" t="str">
        <v>North</v>
      </c>
      <c r="R464" t="str">
        <v>Laptop</v>
      </c>
      <c r="S464" t="str">
        <v>Electronics</v>
      </c>
      <c r="T464">
        <v>4914.7</v>
      </c>
      <c r="U464" t="str">
        <v>Laura Fowler DVM</v>
      </c>
      <c r="V464">
        <v>35559</v>
      </c>
      <c r="W464">
        <v>45127</v>
      </c>
      <c r="X464">
        <v>31.73</v>
      </c>
      <c r="Y464">
        <v>1559.4343100000001</v>
      </c>
      <c r="Z464">
        <v>3355.2656899999997</v>
      </c>
      <c r="AC464" t="str">
        <v>Oil</v>
      </c>
      <c r="AD464">
        <v>2448.2842919999998</v>
      </c>
      <c r="AF464">
        <v>1622</v>
      </c>
      <c r="AG464" t="str">
        <v>Shoes</v>
      </c>
      <c r="AH464">
        <v>1118.9499900000001</v>
      </c>
    </row>
    <row r="465" spans="1:34" x14ac:dyDescent="0.3">
      <c r="A465" s="1">
        <v>1463</v>
      </c>
      <c r="B465" s="2">
        <v>45786</v>
      </c>
      <c r="C465" s="1" t="s">
        <v>35</v>
      </c>
      <c r="D465" s="1" t="s">
        <v>69</v>
      </c>
      <c r="E465" s="1" t="s">
        <v>31</v>
      </c>
      <c r="F465" s="1">
        <v>4085.17</v>
      </c>
      <c r="G465" s="1" t="s">
        <v>277</v>
      </c>
      <c r="H465" s="2">
        <v>35224</v>
      </c>
      <c r="I465" s="2">
        <v>45797</v>
      </c>
      <c r="J465" s="1">
        <v>9.56</v>
      </c>
      <c r="K465" s="4">
        <f t="shared" si="14"/>
        <v>390.54225200000002</v>
      </c>
      <c r="L465" s="4">
        <f t="shared" si="15"/>
        <v>3694.6277479999999</v>
      </c>
      <c r="O465">
        <v>1626</v>
      </c>
      <c r="P465">
        <v>44331</v>
      </c>
      <c r="Q465" t="str">
        <v>Central</v>
      </c>
      <c r="R465" t="str">
        <v>Camera</v>
      </c>
      <c r="S465" t="str">
        <v>Electronics</v>
      </c>
      <c r="T465">
        <v>3711.17</v>
      </c>
      <c r="U465" t="str">
        <v>William Robles</v>
      </c>
      <c r="V465">
        <v>30786</v>
      </c>
      <c r="W465">
        <v>44333</v>
      </c>
      <c r="X465">
        <v>2.41</v>
      </c>
      <c r="Y465">
        <v>89.439197000000007</v>
      </c>
      <c r="Z465">
        <v>3621.7308029999999</v>
      </c>
      <c r="AC465" t="str">
        <v>Laptop</v>
      </c>
      <c r="AD465">
        <v>3355.2656899999997</v>
      </c>
      <c r="AF465">
        <v>1623</v>
      </c>
      <c r="AG465" t="str">
        <v>Oil</v>
      </c>
      <c r="AH465">
        <v>2448.2842919999998</v>
      </c>
    </row>
    <row r="466" spans="1:34" x14ac:dyDescent="0.3">
      <c r="A466" s="1">
        <v>1464</v>
      </c>
      <c r="B466" s="2">
        <v>44365</v>
      </c>
      <c r="C466" s="1" t="s">
        <v>35</v>
      </c>
      <c r="D466" s="1" t="s">
        <v>102</v>
      </c>
      <c r="E466" s="1" t="s">
        <v>12</v>
      </c>
      <c r="F466" s="1">
        <v>189.34</v>
      </c>
      <c r="G466" s="1" t="s">
        <v>139</v>
      </c>
      <c r="H466" s="2">
        <v>29381</v>
      </c>
      <c r="I466" s="2">
        <v>44367</v>
      </c>
      <c r="J466" s="1">
        <v>36.89</v>
      </c>
      <c r="K466" s="4">
        <f t="shared" si="14"/>
        <v>69.847526000000002</v>
      </c>
      <c r="L466" s="4">
        <f t="shared" si="15"/>
        <v>119.492474</v>
      </c>
      <c r="O466">
        <v>1631</v>
      </c>
      <c r="P466">
        <v>45537</v>
      </c>
      <c r="Q466" t="str">
        <v>East</v>
      </c>
      <c r="R466" t="str">
        <v>Bed</v>
      </c>
      <c r="S466" t="str">
        <v>Furniture</v>
      </c>
      <c r="T466">
        <v>3800.43</v>
      </c>
      <c r="U466" t="str">
        <v>Douglas Garrison</v>
      </c>
      <c r="V466">
        <v>37490</v>
      </c>
      <c r="W466">
        <v>45538</v>
      </c>
      <c r="X466">
        <v>7.33</v>
      </c>
      <c r="Y466">
        <v>278.57151900000002</v>
      </c>
      <c r="Z466">
        <v>3521.8584809999998</v>
      </c>
      <c r="AC466" t="str">
        <v>Camera</v>
      </c>
      <c r="AD466">
        <v>3621.7308029999999</v>
      </c>
      <c r="AF466">
        <v>1625</v>
      </c>
      <c r="AG466" t="str">
        <v>Laptop</v>
      </c>
      <c r="AH466">
        <v>3355.2656899999997</v>
      </c>
    </row>
    <row r="467" spans="1:34" x14ac:dyDescent="0.3">
      <c r="A467" s="1">
        <v>1465</v>
      </c>
      <c r="B467" s="2">
        <v>44609</v>
      </c>
      <c r="C467" s="1" t="s">
        <v>21</v>
      </c>
      <c r="D467" s="1" t="s">
        <v>102</v>
      </c>
      <c r="E467" s="1" t="s">
        <v>12</v>
      </c>
      <c r="F467" s="1">
        <v>2924.35</v>
      </c>
      <c r="G467" s="1" t="s">
        <v>156</v>
      </c>
      <c r="H467" s="2">
        <v>38693</v>
      </c>
      <c r="I467" s="2">
        <v>44610</v>
      </c>
      <c r="J467" s="1">
        <v>27.69</v>
      </c>
      <c r="K467" s="4">
        <f t="shared" si="14"/>
        <v>809.75251500000013</v>
      </c>
      <c r="L467" s="4">
        <f t="shared" si="15"/>
        <v>2114.5974849999998</v>
      </c>
      <c r="O467">
        <v>1632</v>
      </c>
      <c r="P467">
        <v>44856</v>
      </c>
      <c r="Q467" t="str">
        <v>North</v>
      </c>
      <c r="R467" t="str">
        <v>Table</v>
      </c>
      <c r="S467" t="str">
        <v>Furniture</v>
      </c>
      <c r="T467">
        <v>3721.15</v>
      </c>
      <c r="U467" t="str">
        <v>Antonio David</v>
      </c>
      <c r="V467">
        <v>24580</v>
      </c>
      <c r="W467">
        <v>44862</v>
      </c>
      <c r="X467">
        <v>36.840000000000003</v>
      </c>
      <c r="Y467">
        <v>1370.8716600000002</v>
      </c>
      <c r="Z467">
        <v>2350.2783399999998</v>
      </c>
      <c r="AC467" t="str">
        <v>Bed</v>
      </c>
      <c r="AD467">
        <v>3521.8584809999998</v>
      </c>
      <c r="AF467">
        <v>1626</v>
      </c>
      <c r="AG467" t="str">
        <v>Camera</v>
      </c>
      <c r="AH467">
        <v>3621.7308029999999</v>
      </c>
    </row>
    <row r="468" spans="1:34" x14ac:dyDescent="0.3">
      <c r="A468" s="1">
        <v>1466</v>
      </c>
      <c r="B468" s="2">
        <v>45195</v>
      </c>
      <c r="C468" s="1" t="s">
        <v>21</v>
      </c>
      <c r="D468" s="1" t="s">
        <v>53</v>
      </c>
      <c r="E468" s="1" t="s">
        <v>28</v>
      </c>
      <c r="F468" s="1">
        <v>599.16</v>
      </c>
      <c r="G468" s="1" t="s">
        <v>278</v>
      </c>
      <c r="H468" s="2">
        <v>36036</v>
      </c>
      <c r="I468" s="2">
        <v>45209</v>
      </c>
      <c r="J468" s="1">
        <v>7.16</v>
      </c>
      <c r="K468" s="4">
        <f t="shared" si="14"/>
        <v>42.899855999999993</v>
      </c>
      <c r="L468" s="4">
        <f t="shared" si="15"/>
        <v>556.26014399999997</v>
      </c>
      <c r="O468">
        <v>1633</v>
      </c>
      <c r="P468">
        <v>45644</v>
      </c>
      <c r="Q468" t="str">
        <v>Central</v>
      </c>
      <c r="R468" t="str">
        <v>Table</v>
      </c>
      <c r="S468" t="str">
        <v>Furniture</v>
      </c>
      <c r="T468">
        <v>4920.09</v>
      </c>
      <c r="U468" t="str">
        <v>Sylvia Landry</v>
      </c>
      <c r="V468">
        <v>35642</v>
      </c>
      <c r="W468">
        <v>45645</v>
      </c>
      <c r="X468">
        <v>33.64</v>
      </c>
      <c r="Y468">
        <v>1655.1182760000002</v>
      </c>
      <c r="Z468">
        <v>3264.971724</v>
      </c>
      <c r="AC468" t="str">
        <v>Table</v>
      </c>
      <c r="AD468">
        <v>2350.2783399999998</v>
      </c>
      <c r="AF468">
        <v>1631</v>
      </c>
      <c r="AG468" t="str">
        <v>Bed</v>
      </c>
      <c r="AH468">
        <v>3521.8584809999998</v>
      </c>
    </row>
    <row r="469" spans="1:34" x14ac:dyDescent="0.3">
      <c r="A469" s="1">
        <v>1467</v>
      </c>
      <c r="B469" s="2">
        <v>44414</v>
      </c>
      <c r="C469" s="1" t="s">
        <v>26</v>
      </c>
      <c r="D469" s="1" t="s">
        <v>55</v>
      </c>
      <c r="E469" s="1" t="s">
        <v>31</v>
      </c>
      <c r="F469" s="1">
        <v>3973.82</v>
      </c>
      <c r="G469" s="1" t="s">
        <v>107</v>
      </c>
      <c r="H469" s="2">
        <v>26671</v>
      </c>
      <c r="I469" s="2">
        <v>44423</v>
      </c>
      <c r="J469" s="1">
        <v>32.340000000000003</v>
      </c>
      <c r="K469" s="4">
        <f t="shared" si="14"/>
        <v>1285.1333880000002</v>
      </c>
      <c r="L469" s="4">
        <f t="shared" si="15"/>
        <v>2688.686612</v>
      </c>
      <c r="O469">
        <v>1634</v>
      </c>
      <c r="P469">
        <v>44307</v>
      </c>
      <c r="Q469" t="str">
        <v>South</v>
      </c>
      <c r="R469" t="str">
        <v>Wardrobe</v>
      </c>
      <c r="S469" t="str">
        <v>Furniture</v>
      </c>
      <c r="T469">
        <v>2036.85</v>
      </c>
      <c r="U469" t="str">
        <v>Brian Carson</v>
      </c>
      <c r="V469">
        <v>30232</v>
      </c>
      <c r="W469">
        <v>44315</v>
      </c>
      <c r="X469">
        <v>45.65</v>
      </c>
      <c r="Y469">
        <v>929.82202499999983</v>
      </c>
      <c r="Z469">
        <v>1107.027975</v>
      </c>
      <c r="AC469" t="str">
        <v>Table</v>
      </c>
      <c r="AD469">
        <v>3264.971724</v>
      </c>
      <c r="AF469">
        <v>1632</v>
      </c>
      <c r="AG469" t="str">
        <v>Table</v>
      </c>
      <c r="AH469">
        <v>2350.2783399999998</v>
      </c>
    </row>
    <row r="470" spans="1:34" x14ac:dyDescent="0.3">
      <c r="A470" s="1">
        <v>1468</v>
      </c>
      <c r="B470" s="2">
        <v>45292</v>
      </c>
      <c r="C470" s="1" t="s">
        <v>10</v>
      </c>
      <c r="D470" s="1" t="s">
        <v>65</v>
      </c>
      <c r="E470" s="1" t="s">
        <v>19</v>
      </c>
      <c r="F470" s="1">
        <v>3282.15</v>
      </c>
      <c r="G470" s="1" t="s">
        <v>59</v>
      </c>
      <c r="H470" s="2">
        <v>25166</v>
      </c>
      <c r="I470" s="2">
        <v>45294</v>
      </c>
      <c r="J470" s="1">
        <v>46.01</v>
      </c>
      <c r="K470" s="4">
        <f t="shared" si="14"/>
        <v>1510.117215</v>
      </c>
      <c r="L470" s="4">
        <f t="shared" si="15"/>
        <v>1772.0327850000001</v>
      </c>
      <c r="O470">
        <v>1636</v>
      </c>
      <c r="P470">
        <v>45358</v>
      </c>
      <c r="Q470" t="str">
        <v>North</v>
      </c>
      <c r="R470" t="str">
        <v>Wheat</v>
      </c>
      <c r="S470" t="str">
        <v>Groceries</v>
      </c>
      <c r="T470">
        <v>2263.83</v>
      </c>
      <c r="U470" t="str">
        <v>David Blevins</v>
      </c>
      <c r="V470">
        <v>30410</v>
      </c>
      <c r="W470">
        <v>45367</v>
      </c>
      <c r="X470">
        <v>22.05</v>
      </c>
      <c r="Y470">
        <v>499.17451499999999</v>
      </c>
      <c r="Z470">
        <v>1764.655485</v>
      </c>
      <c r="AC470" t="str">
        <v>Wardrobe</v>
      </c>
      <c r="AD470">
        <v>1107.027975</v>
      </c>
      <c r="AF470">
        <v>1633</v>
      </c>
      <c r="AG470" t="str">
        <v>Table</v>
      </c>
      <c r="AH470">
        <v>3264.971724</v>
      </c>
    </row>
    <row r="471" spans="1:34" x14ac:dyDescent="0.3">
      <c r="A471" s="1">
        <v>1469</v>
      </c>
      <c r="B471" s="2">
        <v>45516</v>
      </c>
      <c r="C471" s="1" t="s">
        <v>35</v>
      </c>
      <c r="D471" s="1" t="s">
        <v>44</v>
      </c>
      <c r="E471" s="1" t="s">
        <v>16</v>
      </c>
      <c r="F471" s="1">
        <v>542.1</v>
      </c>
      <c r="G471" s="1" t="s">
        <v>104</v>
      </c>
      <c r="H471" s="2">
        <v>24852</v>
      </c>
      <c r="I471" s="2">
        <v>45527</v>
      </c>
      <c r="J471" s="1">
        <v>0.99</v>
      </c>
      <c r="K471" s="4">
        <f t="shared" si="14"/>
        <v>5.3667899999999999</v>
      </c>
      <c r="L471" s="4">
        <f t="shared" si="15"/>
        <v>536.73320999999999</v>
      </c>
      <c r="O471">
        <v>1638</v>
      </c>
      <c r="P471">
        <v>45552</v>
      </c>
      <c r="Q471" t="str">
        <v>North</v>
      </c>
      <c r="R471" t="str">
        <v>Milk</v>
      </c>
      <c r="S471" t="str">
        <v>Groceries</v>
      </c>
      <c r="T471">
        <v>2138.29</v>
      </c>
      <c r="U471" t="str">
        <v>Beth Landry</v>
      </c>
      <c r="V471">
        <v>34954</v>
      </c>
      <c r="W471">
        <v>45558</v>
      </c>
      <c r="X471">
        <v>4.1399999999999997</v>
      </c>
      <c r="Y471">
        <v>88.525205999999997</v>
      </c>
      <c r="Z471">
        <v>2049.7647940000002</v>
      </c>
      <c r="AC471" t="str">
        <v>Wheat</v>
      </c>
      <c r="AD471">
        <v>1764.655485</v>
      </c>
      <c r="AF471">
        <v>1634</v>
      </c>
      <c r="AG471" t="str">
        <v>Wardrobe</v>
      </c>
      <c r="AH471">
        <v>1107.027975</v>
      </c>
    </row>
    <row r="472" spans="1:34" x14ac:dyDescent="0.3">
      <c r="A472" s="1">
        <v>1470</v>
      </c>
      <c r="B472" s="2">
        <v>45209</v>
      </c>
      <c r="C472" s="1" t="s">
        <v>14</v>
      </c>
      <c r="D472" s="1" t="s">
        <v>36</v>
      </c>
      <c r="E472" s="1" t="s">
        <v>28</v>
      </c>
      <c r="F472" s="1">
        <v>1541</v>
      </c>
      <c r="G472" s="1" t="s">
        <v>111</v>
      </c>
      <c r="H472" s="2">
        <v>34704</v>
      </c>
      <c r="I472" s="2">
        <v>45222</v>
      </c>
      <c r="J472" s="1">
        <v>33.85</v>
      </c>
      <c r="K472" s="4">
        <f t="shared" si="14"/>
        <v>521.62850000000003</v>
      </c>
      <c r="L472" s="4">
        <f t="shared" si="15"/>
        <v>1019.3715</v>
      </c>
      <c r="O472">
        <v>1639</v>
      </c>
      <c r="P472">
        <v>44586</v>
      </c>
      <c r="Q472" t="str">
        <v>South</v>
      </c>
      <c r="R472" t="str">
        <v>Camera</v>
      </c>
      <c r="S472" t="str">
        <v>Electronics</v>
      </c>
      <c r="T472">
        <v>2315.33</v>
      </c>
      <c r="U472" t="str">
        <v>Jacqueline Chen</v>
      </c>
      <c r="V472">
        <v>25163</v>
      </c>
      <c r="W472">
        <v>44597</v>
      </c>
      <c r="X472">
        <v>34.07</v>
      </c>
      <c r="Y472">
        <v>788.83293100000003</v>
      </c>
      <c r="Z472">
        <v>1526.497069</v>
      </c>
      <c r="AC472" t="str">
        <v>Milk</v>
      </c>
      <c r="AD472">
        <v>2049.7647940000002</v>
      </c>
      <c r="AF472">
        <v>1636</v>
      </c>
      <c r="AG472" t="str">
        <v>Wheat</v>
      </c>
      <c r="AH472">
        <v>1764.655485</v>
      </c>
    </row>
    <row r="473" spans="1:34" x14ac:dyDescent="0.3">
      <c r="A473" s="1">
        <v>1471</v>
      </c>
      <c r="B473" s="2">
        <v>45744</v>
      </c>
      <c r="C473" s="1" t="s">
        <v>10</v>
      </c>
      <c r="D473" s="1" t="s">
        <v>22</v>
      </c>
      <c r="E473" s="1" t="s">
        <v>19</v>
      </c>
      <c r="F473" s="1">
        <v>2582.08</v>
      </c>
      <c r="G473" s="1" t="s">
        <v>150</v>
      </c>
      <c r="H473" s="2">
        <v>31231</v>
      </c>
      <c r="I473" s="2">
        <v>45752</v>
      </c>
      <c r="J473" s="1">
        <v>38.43</v>
      </c>
      <c r="K473" s="4">
        <f t="shared" si="14"/>
        <v>992.29334399999993</v>
      </c>
      <c r="L473" s="4">
        <f t="shared" si="15"/>
        <v>1589.786656</v>
      </c>
      <c r="O473">
        <v>1640</v>
      </c>
      <c r="P473">
        <v>45661</v>
      </c>
      <c r="Q473" t="str">
        <v>Central</v>
      </c>
      <c r="R473" t="str">
        <v>Milk</v>
      </c>
      <c r="S473" t="str">
        <v>Groceries</v>
      </c>
      <c r="T473">
        <v>3804.9</v>
      </c>
      <c r="U473" t="str">
        <v>David Blevins</v>
      </c>
      <c r="V473">
        <v>30410</v>
      </c>
      <c r="W473">
        <v>45663</v>
      </c>
      <c r="X473">
        <v>6.91</v>
      </c>
      <c r="Y473">
        <v>262.91858999999999</v>
      </c>
      <c r="Z473">
        <v>3541.9814100000003</v>
      </c>
      <c r="AC473" t="str">
        <v>Camera</v>
      </c>
      <c r="AD473">
        <v>1526.497069</v>
      </c>
      <c r="AF473">
        <v>1638</v>
      </c>
      <c r="AG473" t="str">
        <v>Milk</v>
      </c>
      <c r="AH473">
        <v>2049.7647940000002</v>
      </c>
    </row>
    <row r="474" spans="1:34" x14ac:dyDescent="0.3">
      <c r="A474" s="1">
        <v>1472</v>
      </c>
      <c r="B474" s="2">
        <v>45397</v>
      </c>
      <c r="C474" s="1" t="s">
        <v>35</v>
      </c>
      <c r="D474" s="1" t="s">
        <v>11</v>
      </c>
      <c r="E474" s="1" t="s">
        <v>12</v>
      </c>
      <c r="F474" s="1">
        <v>4856.3100000000004</v>
      </c>
      <c r="G474" s="1" t="s">
        <v>279</v>
      </c>
      <c r="H474" s="2">
        <v>38934</v>
      </c>
      <c r="I474" s="2">
        <v>45405</v>
      </c>
      <c r="J474" s="1">
        <v>11.87</v>
      </c>
      <c r="K474" s="4">
        <f t="shared" si="14"/>
        <v>576.44399699999997</v>
      </c>
      <c r="L474" s="4">
        <f t="shared" si="15"/>
        <v>4279.8660030000001</v>
      </c>
      <c r="O474">
        <v>1641</v>
      </c>
      <c r="P474">
        <v>45770</v>
      </c>
      <c r="Q474" t="str">
        <v>East</v>
      </c>
      <c r="R474" t="str">
        <v>Wheat</v>
      </c>
      <c r="S474" t="str">
        <v>Groceries</v>
      </c>
      <c r="T474">
        <v>1233.6500000000001</v>
      </c>
      <c r="U474" t="str">
        <v>Douglas Williams</v>
      </c>
      <c r="V474">
        <v>38826</v>
      </c>
      <c r="W474">
        <v>45782</v>
      </c>
      <c r="X474">
        <v>7.16</v>
      </c>
      <c r="Y474">
        <v>88.329340000000002</v>
      </c>
      <c r="Z474">
        <v>1145.3206600000001</v>
      </c>
      <c r="AC474" t="str">
        <v>Milk</v>
      </c>
      <c r="AD474">
        <v>3541.9814100000003</v>
      </c>
      <c r="AF474">
        <v>1639</v>
      </c>
      <c r="AG474" t="str">
        <v>Camera</v>
      </c>
      <c r="AH474">
        <v>1526.497069</v>
      </c>
    </row>
    <row r="475" spans="1:34" x14ac:dyDescent="0.3">
      <c r="A475" s="1">
        <v>1473</v>
      </c>
      <c r="B475" s="2">
        <v>44625</v>
      </c>
      <c r="C475" s="1" t="s">
        <v>26</v>
      </c>
      <c r="D475" s="1" t="s">
        <v>47</v>
      </c>
      <c r="E475" s="1" t="s">
        <v>12</v>
      </c>
      <c r="F475" s="1">
        <v>3734</v>
      </c>
      <c r="G475" s="1" t="s">
        <v>279</v>
      </c>
      <c r="H475" s="2">
        <v>38934</v>
      </c>
      <c r="I475" s="2">
        <v>44634</v>
      </c>
      <c r="J475" s="1">
        <v>37.909999999999997</v>
      </c>
      <c r="K475" s="4">
        <f t="shared" si="14"/>
        <v>1415.5593999999999</v>
      </c>
      <c r="L475" s="4">
        <f t="shared" si="15"/>
        <v>2318.4405999999999</v>
      </c>
      <c r="O475">
        <v>1642</v>
      </c>
      <c r="P475">
        <v>45094</v>
      </c>
      <c r="Q475" t="str">
        <v>Central</v>
      </c>
      <c r="R475" t="str">
        <v>Wheat</v>
      </c>
      <c r="S475" t="str">
        <v>Groceries</v>
      </c>
      <c r="T475">
        <v>2282.48</v>
      </c>
      <c r="U475" t="str">
        <v>Regina Gay</v>
      </c>
      <c r="V475">
        <v>34571</v>
      </c>
      <c r="W475">
        <v>45095</v>
      </c>
      <c r="X475">
        <v>1.72</v>
      </c>
      <c r="Y475">
        <v>39.258656000000002</v>
      </c>
      <c r="Z475">
        <v>2243.221344</v>
      </c>
      <c r="AC475" t="str">
        <v>Wheat</v>
      </c>
      <c r="AD475">
        <v>1145.3206600000001</v>
      </c>
      <c r="AF475">
        <v>1640</v>
      </c>
      <c r="AG475" t="str">
        <v>Milk</v>
      </c>
      <c r="AH475">
        <v>3541.9814100000003</v>
      </c>
    </row>
    <row r="476" spans="1:34" x14ac:dyDescent="0.3">
      <c r="A476" s="1">
        <v>1474</v>
      </c>
      <c r="B476" s="2">
        <v>45823</v>
      </c>
      <c r="C476" s="1" t="s">
        <v>10</v>
      </c>
      <c r="D476" s="1" t="s">
        <v>22</v>
      </c>
      <c r="E476" s="1" t="s">
        <v>19</v>
      </c>
      <c r="F476" s="1">
        <v>366.94</v>
      </c>
      <c r="G476" s="1" t="s">
        <v>191</v>
      </c>
      <c r="H476" s="2">
        <v>37495</v>
      </c>
      <c r="I476" s="2">
        <v>45829</v>
      </c>
      <c r="J476" s="1">
        <v>48.35</v>
      </c>
      <c r="K476" s="4">
        <f t="shared" si="14"/>
        <v>177.41549000000001</v>
      </c>
      <c r="L476" s="4">
        <f t="shared" si="15"/>
        <v>189.52450999999999</v>
      </c>
      <c r="O476">
        <v>1643</v>
      </c>
      <c r="P476">
        <v>44347</v>
      </c>
      <c r="Q476" t="str">
        <v>East</v>
      </c>
      <c r="R476" t="str">
        <v>Jeans</v>
      </c>
      <c r="S476" t="str">
        <v>Clothing</v>
      </c>
      <c r="T476">
        <v>4221.93</v>
      </c>
      <c r="U476" t="str">
        <v>Derek Boyle</v>
      </c>
      <c r="V476">
        <v>27534</v>
      </c>
      <c r="W476">
        <v>44356</v>
      </c>
      <c r="X476">
        <v>31.97</v>
      </c>
      <c r="Y476">
        <v>1349.751021</v>
      </c>
      <c r="Z476">
        <v>2872.1789790000003</v>
      </c>
      <c r="AC476" t="str">
        <v>Wheat</v>
      </c>
      <c r="AD476">
        <v>2243.221344</v>
      </c>
      <c r="AF476">
        <v>1641</v>
      </c>
      <c r="AG476" t="str">
        <v>Wheat</v>
      </c>
      <c r="AH476">
        <v>1145.3206600000001</v>
      </c>
    </row>
    <row r="477" spans="1:34" x14ac:dyDescent="0.3">
      <c r="A477" s="1">
        <v>1475</v>
      </c>
      <c r="B477" s="2">
        <v>45168</v>
      </c>
      <c r="C477" s="1" t="s">
        <v>14</v>
      </c>
      <c r="D477" s="1" t="s">
        <v>33</v>
      </c>
      <c r="E477" s="1" t="s">
        <v>16</v>
      </c>
      <c r="F477" s="1">
        <v>4233.49</v>
      </c>
      <c r="G477" s="1" t="s">
        <v>190</v>
      </c>
      <c r="H477" s="2">
        <v>33354</v>
      </c>
      <c r="I477" s="2">
        <v>45172</v>
      </c>
      <c r="J477" s="1">
        <v>48.48</v>
      </c>
      <c r="K477" s="4">
        <f t="shared" si="14"/>
        <v>2052.3959519999999</v>
      </c>
      <c r="L477" s="4">
        <f t="shared" si="15"/>
        <v>2181.0940479999999</v>
      </c>
      <c r="O477">
        <v>1644</v>
      </c>
      <c r="P477">
        <v>44353</v>
      </c>
      <c r="Q477" t="str">
        <v>West</v>
      </c>
      <c r="R477" t="str">
        <v>Smartphone</v>
      </c>
      <c r="S477" t="str">
        <v>Electronics</v>
      </c>
      <c r="T477">
        <v>2669.73</v>
      </c>
      <c r="U477" t="str">
        <v>Bruce Miller</v>
      </c>
      <c r="V477">
        <v>31775</v>
      </c>
      <c r="W477">
        <v>44358</v>
      </c>
      <c r="X477">
        <v>41.87</v>
      </c>
      <c r="Y477">
        <v>1117.8159509999998</v>
      </c>
      <c r="Z477">
        <v>1551.9140490000002</v>
      </c>
      <c r="AC477" t="str">
        <v>Jeans</v>
      </c>
      <c r="AD477">
        <v>2872.1789790000003</v>
      </c>
      <c r="AF477">
        <v>1642</v>
      </c>
      <c r="AG477" t="str">
        <v>Wheat</v>
      </c>
      <c r="AH477">
        <v>2243.221344</v>
      </c>
    </row>
    <row r="478" spans="1:34" x14ac:dyDescent="0.3">
      <c r="A478" s="1">
        <v>1476</v>
      </c>
      <c r="B478" s="2">
        <v>44568</v>
      </c>
      <c r="C478" s="1" t="s">
        <v>35</v>
      </c>
      <c r="D478" s="1" t="s">
        <v>69</v>
      </c>
      <c r="E478" s="1" t="s">
        <v>12</v>
      </c>
      <c r="F478" s="1">
        <v>644.57000000000005</v>
      </c>
      <c r="G478" s="1" t="s">
        <v>194</v>
      </c>
      <c r="H478" s="2">
        <v>22210</v>
      </c>
      <c r="I478" s="2">
        <v>44576</v>
      </c>
      <c r="J478" s="1">
        <v>26.36</v>
      </c>
      <c r="K478" s="4">
        <f t="shared" si="14"/>
        <v>169.90865200000002</v>
      </c>
      <c r="L478" s="4">
        <f t="shared" si="15"/>
        <v>474.66134800000003</v>
      </c>
      <c r="O478">
        <v>1645</v>
      </c>
      <c r="P478">
        <v>44100</v>
      </c>
      <c r="Q478" t="str">
        <v>South</v>
      </c>
      <c r="R478" t="str">
        <v>Sofa</v>
      </c>
      <c r="S478" t="str">
        <v>Furniture</v>
      </c>
      <c r="T478">
        <v>1691.89</v>
      </c>
      <c r="U478" t="str">
        <v>Rebecca Fletcher</v>
      </c>
      <c r="V478">
        <v>37495</v>
      </c>
      <c r="W478">
        <v>44107</v>
      </c>
      <c r="X478">
        <v>15.04</v>
      </c>
      <c r="Y478">
        <v>254.46025599999999</v>
      </c>
      <c r="Z478">
        <v>1437.429744</v>
      </c>
      <c r="AC478" t="str">
        <v>Smartphone</v>
      </c>
      <c r="AD478">
        <v>1551.9140490000002</v>
      </c>
      <c r="AF478">
        <v>1643</v>
      </c>
      <c r="AG478" t="str">
        <v>Jeans</v>
      </c>
      <c r="AH478">
        <v>2872.1789790000003</v>
      </c>
    </row>
    <row r="479" spans="1:34" x14ac:dyDescent="0.3">
      <c r="A479" s="1">
        <v>1477</v>
      </c>
      <c r="B479" s="2">
        <v>44919</v>
      </c>
      <c r="C479" s="1" t="s">
        <v>35</v>
      </c>
      <c r="D479" s="1" t="s">
        <v>22</v>
      </c>
      <c r="E479" s="1" t="s">
        <v>19</v>
      </c>
      <c r="F479" s="1">
        <v>4592.13</v>
      </c>
      <c r="G479" s="1" t="s">
        <v>213</v>
      </c>
      <c r="H479" s="2">
        <v>34345</v>
      </c>
      <c r="I479" s="2">
        <v>44925</v>
      </c>
      <c r="J479" s="1">
        <v>11.9</v>
      </c>
      <c r="K479" s="4">
        <f t="shared" si="14"/>
        <v>546.46347000000003</v>
      </c>
      <c r="L479" s="4">
        <f t="shared" si="15"/>
        <v>4045.66653</v>
      </c>
      <c r="O479">
        <v>1647</v>
      </c>
      <c r="P479">
        <v>45397</v>
      </c>
      <c r="Q479" t="str">
        <v>West</v>
      </c>
      <c r="R479" t="str">
        <v>Wardrobe</v>
      </c>
      <c r="S479" t="str">
        <v>Furniture</v>
      </c>
      <c r="T479">
        <v>3017.29</v>
      </c>
      <c r="U479" t="str">
        <v>David Noble</v>
      </c>
      <c r="V479">
        <v>22594</v>
      </c>
      <c r="W479">
        <v>45408</v>
      </c>
      <c r="X479">
        <v>40.770000000000003</v>
      </c>
      <c r="Y479">
        <v>1230.1491329999999</v>
      </c>
      <c r="Z479">
        <v>1787.1408670000001</v>
      </c>
      <c r="AC479" t="str">
        <v>Sofa</v>
      </c>
      <c r="AD479">
        <v>1437.429744</v>
      </c>
      <c r="AF479">
        <v>1644</v>
      </c>
      <c r="AG479" t="str">
        <v>Smartphone</v>
      </c>
      <c r="AH479">
        <v>1551.9140490000002</v>
      </c>
    </row>
    <row r="480" spans="1:34" x14ac:dyDescent="0.3">
      <c r="A480" s="1">
        <v>1478</v>
      </c>
      <c r="B480" s="2">
        <v>44951</v>
      </c>
      <c r="C480" s="1" t="s">
        <v>35</v>
      </c>
      <c r="D480" s="1" t="s">
        <v>33</v>
      </c>
      <c r="E480" s="1" t="s">
        <v>16</v>
      </c>
      <c r="F480" s="1">
        <v>3161.42</v>
      </c>
      <c r="G480" s="1" t="s">
        <v>124</v>
      </c>
      <c r="H480" s="2">
        <v>30786</v>
      </c>
      <c r="I480" s="2">
        <v>44952</v>
      </c>
      <c r="J480" s="1">
        <v>47.23</v>
      </c>
      <c r="K480" s="4">
        <f t="shared" si="14"/>
        <v>1493.1386659999998</v>
      </c>
      <c r="L480" s="4">
        <f t="shared" si="15"/>
        <v>1668.2813340000002</v>
      </c>
      <c r="O480">
        <v>1649</v>
      </c>
      <c r="P480">
        <v>44132</v>
      </c>
      <c r="Q480" t="str">
        <v>Central</v>
      </c>
      <c r="R480" t="str">
        <v>Table</v>
      </c>
      <c r="S480" t="str">
        <v>Furniture</v>
      </c>
      <c r="T480">
        <v>4753.34</v>
      </c>
      <c r="U480" t="str">
        <v>Jeffery Smith</v>
      </c>
      <c r="V480">
        <v>28619</v>
      </c>
      <c r="W480">
        <v>44140</v>
      </c>
      <c r="X480">
        <v>6.29</v>
      </c>
      <c r="Y480">
        <v>298.98508600000002</v>
      </c>
      <c r="Z480">
        <v>4454.3549140000005</v>
      </c>
      <c r="AC480" t="str">
        <v>Wardrobe</v>
      </c>
      <c r="AD480">
        <v>1787.1408670000001</v>
      </c>
      <c r="AF480">
        <v>1645</v>
      </c>
      <c r="AG480" t="str">
        <v>Sofa</v>
      </c>
      <c r="AH480">
        <v>1437.429744</v>
      </c>
    </row>
    <row r="481" spans="1:34" x14ac:dyDescent="0.3">
      <c r="A481" s="1">
        <v>1479</v>
      </c>
      <c r="B481" s="2">
        <v>45434</v>
      </c>
      <c r="C481" s="1" t="s">
        <v>14</v>
      </c>
      <c r="D481" s="1" t="s">
        <v>30</v>
      </c>
      <c r="E481" s="1" t="s">
        <v>31</v>
      </c>
      <c r="F481" s="1">
        <v>1196.3599999999999</v>
      </c>
      <c r="G481" s="1" t="s">
        <v>179</v>
      </c>
      <c r="H481" s="2">
        <v>30356</v>
      </c>
      <c r="I481" s="2">
        <v>45447</v>
      </c>
      <c r="J481" s="1">
        <v>23.7</v>
      </c>
      <c r="K481" s="4">
        <f t="shared" si="14"/>
        <v>283.53731999999997</v>
      </c>
      <c r="L481" s="4">
        <f t="shared" si="15"/>
        <v>912.82267999999999</v>
      </c>
      <c r="O481">
        <v>1653</v>
      </c>
      <c r="P481">
        <v>44374</v>
      </c>
      <c r="Q481" t="str">
        <v>North</v>
      </c>
      <c r="R481" t="str">
        <v>Wardrobe</v>
      </c>
      <c r="S481" t="str">
        <v>Furniture</v>
      </c>
      <c r="T481">
        <v>1898.29</v>
      </c>
      <c r="U481" t="str">
        <v>Jimmy Lopez</v>
      </c>
      <c r="V481">
        <v>36246</v>
      </c>
      <c r="W481">
        <v>44386</v>
      </c>
      <c r="X481">
        <v>30.32</v>
      </c>
      <c r="Y481">
        <v>575.56152800000007</v>
      </c>
      <c r="Z481">
        <v>1322.7284719999998</v>
      </c>
      <c r="AC481" t="str">
        <v>Table</v>
      </c>
      <c r="AD481">
        <v>4454.3549140000005</v>
      </c>
      <c r="AF481">
        <v>1647</v>
      </c>
      <c r="AG481" t="str">
        <v>Wardrobe</v>
      </c>
      <c r="AH481">
        <v>1787.1408670000001</v>
      </c>
    </row>
    <row r="482" spans="1:34" x14ac:dyDescent="0.3">
      <c r="A482" s="1">
        <v>1480</v>
      </c>
      <c r="B482" s="2">
        <v>45117</v>
      </c>
      <c r="C482" s="1" t="s">
        <v>14</v>
      </c>
      <c r="D482" s="1" t="s">
        <v>102</v>
      </c>
      <c r="E482" s="1" t="s">
        <v>12</v>
      </c>
      <c r="F482" s="1">
        <v>4459.7700000000004</v>
      </c>
      <c r="G482" s="1" t="s">
        <v>223</v>
      </c>
      <c r="H482" s="2">
        <v>35407</v>
      </c>
      <c r="I482" s="2">
        <v>45127</v>
      </c>
      <c r="J482" s="1">
        <v>48.71</v>
      </c>
      <c r="K482" s="4">
        <f t="shared" si="14"/>
        <v>2172.3539670000005</v>
      </c>
      <c r="L482" s="4">
        <f t="shared" si="15"/>
        <v>2287.416033</v>
      </c>
      <c r="O482">
        <v>1654</v>
      </c>
      <c r="P482">
        <v>44437</v>
      </c>
      <c r="Q482" t="str">
        <v>East</v>
      </c>
      <c r="R482" t="str">
        <v>Jeans</v>
      </c>
      <c r="S482" t="str">
        <v>Clothing</v>
      </c>
      <c r="T482">
        <v>2209.92</v>
      </c>
      <c r="U482" t="str">
        <v>Timothy Castaneda</v>
      </c>
      <c r="V482">
        <v>31880</v>
      </c>
      <c r="W482">
        <v>44450</v>
      </c>
      <c r="X482">
        <v>4.3099999999999996</v>
      </c>
      <c r="Y482">
        <v>95.247551999999999</v>
      </c>
      <c r="Z482">
        <v>2114.6724480000003</v>
      </c>
      <c r="AC482" t="str">
        <v>Wardrobe</v>
      </c>
      <c r="AD482">
        <v>1322.7284719999998</v>
      </c>
      <c r="AF482">
        <v>1649</v>
      </c>
      <c r="AG482" t="str">
        <v>Table</v>
      </c>
      <c r="AH482">
        <v>4454.3549140000005</v>
      </c>
    </row>
    <row r="483" spans="1:34" x14ac:dyDescent="0.3">
      <c r="A483" s="1">
        <v>1481</v>
      </c>
      <c r="B483" s="2">
        <v>45763</v>
      </c>
      <c r="C483" s="1" t="s">
        <v>14</v>
      </c>
      <c r="D483" s="1" t="s">
        <v>15</v>
      </c>
      <c r="E483" s="1" t="s">
        <v>16</v>
      </c>
      <c r="F483" s="1">
        <v>4811.79</v>
      </c>
      <c r="G483" s="1" t="s">
        <v>94</v>
      </c>
      <c r="H483" s="2">
        <v>25516</v>
      </c>
      <c r="I483" s="2">
        <v>45774</v>
      </c>
      <c r="J483" s="1">
        <v>37.81</v>
      </c>
      <c r="K483" s="4">
        <f t="shared" si="14"/>
        <v>1819.3377990000001</v>
      </c>
      <c r="L483" s="4">
        <f t="shared" si="15"/>
        <v>2992.4522010000001</v>
      </c>
      <c r="O483">
        <v>1655</v>
      </c>
      <c r="P483">
        <v>44345</v>
      </c>
      <c r="Q483" t="str">
        <v>East</v>
      </c>
      <c r="R483" t="str">
        <v>Headphones</v>
      </c>
      <c r="S483" t="str">
        <v>Electronics</v>
      </c>
      <c r="T483">
        <v>2307.13</v>
      </c>
      <c r="U483" t="str">
        <v>Nicole Cantu</v>
      </c>
      <c r="V483">
        <v>31261</v>
      </c>
      <c r="W483">
        <v>44354</v>
      </c>
      <c r="X483">
        <v>37.06</v>
      </c>
      <c r="Y483">
        <v>855.02237800000012</v>
      </c>
      <c r="Z483">
        <v>1452.107622</v>
      </c>
      <c r="AC483" t="str">
        <v>Jeans</v>
      </c>
      <c r="AD483">
        <v>2114.6724480000003</v>
      </c>
      <c r="AF483">
        <v>1653</v>
      </c>
      <c r="AG483" t="str">
        <v>Wardrobe</v>
      </c>
      <c r="AH483">
        <v>1322.7284719999998</v>
      </c>
    </row>
    <row r="484" spans="1:34" x14ac:dyDescent="0.3">
      <c r="A484" s="1">
        <v>1482</v>
      </c>
      <c r="B484" s="2">
        <v>44567</v>
      </c>
      <c r="C484" s="1" t="s">
        <v>14</v>
      </c>
      <c r="D484" s="1" t="s">
        <v>58</v>
      </c>
      <c r="E484" s="1" t="s">
        <v>31</v>
      </c>
      <c r="F484" s="1">
        <v>4964.8</v>
      </c>
      <c r="G484" s="1" t="s">
        <v>216</v>
      </c>
      <c r="H484" s="2">
        <v>31419</v>
      </c>
      <c r="I484" s="2">
        <v>44577</v>
      </c>
      <c r="J484" s="1">
        <v>23.65</v>
      </c>
      <c r="K484" s="4">
        <f t="shared" si="14"/>
        <v>1174.1751999999999</v>
      </c>
      <c r="L484" s="4">
        <f t="shared" si="15"/>
        <v>3790.6248000000005</v>
      </c>
      <c r="O484">
        <v>1658</v>
      </c>
      <c r="P484">
        <v>44430</v>
      </c>
      <c r="Q484" t="str">
        <v>Central</v>
      </c>
      <c r="R484" t="str">
        <v>Football</v>
      </c>
      <c r="S484" t="str">
        <v>Sports</v>
      </c>
      <c r="T484">
        <v>2670.17</v>
      </c>
      <c r="U484" t="str">
        <v>Megan Wagner</v>
      </c>
      <c r="V484">
        <v>29810</v>
      </c>
      <c r="W484">
        <v>44441</v>
      </c>
      <c r="X484">
        <v>15.3</v>
      </c>
      <c r="Y484">
        <v>408.53600999999998</v>
      </c>
      <c r="Z484">
        <v>2261.6339900000003</v>
      </c>
      <c r="AC484" t="str">
        <v>Headphones</v>
      </c>
      <c r="AD484">
        <v>1452.107622</v>
      </c>
      <c r="AF484">
        <v>1654</v>
      </c>
      <c r="AG484" t="str">
        <v>Jeans</v>
      </c>
      <c r="AH484">
        <v>2114.6724480000003</v>
      </c>
    </row>
    <row r="485" spans="1:34" x14ac:dyDescent="0.3">
      <c r="A485" s="1">
        <v>1483</v>
      </c>
      <c r="B485" s="2">
        <v>44525</v>
      </c>
      <c r="C485" s="1" t="s">
        <v>21</v>
      </c>
      <c r="D485" s="1" t="s">
        <v>73</v>
      </c>
      <c r="E485" s="1" t="s">
        <v>28</v>
      </c>
      <c r="F485" s="1">
        <v>4165.84</v>
      </c>
      <c r="G485" s="1" t="s">
        <v>75</v>
      </c>
      <c r="H485" s="2">
        <v>25853</v>
      </c>
      <c r="I485" s="2">
        <v>44538</v>
      </c>
      <c r="J485" s="1">
        <v>19.77</v>
      </c>
      <c r="K485" s="4">
        <f t="shared" si="14"/>
        <v>823.58656799999994</v>
      </c>
      <c r="L485" s="4">
        <f t="shared" si="15"/>
        <v>3342.2534320000004</v>
      </c>
      <c r="O485">
        <v>1659</v>
      </c>
      <c r="P485">
        <v>45036</v>
      </c>
      <c r="Q485" t="str">
        <v>South</v>
      </c>
      <c r="R485" t="str">
        <v>T-Shirt</v>
      </c>
      <c r="S485" t="str">
        <v>Clothing</v>
      </c>
      <c r="T485">
        <v>2555.38</v>
      </c>
      <c r="U485" t="str">
        <v>Kelsey Huber</v>
      </c>
      <c r="V485">
        <v>21940</v>
      </c>
      <c r="W485">
        <v>45041</v>
      </c>
      <c r="X485">
        <v>19.41</v>
      </c>
      <c r="Y485">
        <v>495.999258</v>
      </c>
      <c r="Z485">
        <v>2059.3807420000003</v>
      </c>
      <c r="AC485" t="str">
        <v>Football</v>
      </c>
      <c r="AD485">
        <v>2261.6339900000003</v>
      </c>
      <c r="AF485">
        <v>1655</v>
      </c>
      <c r="AG485" t="str">
        <v>Headphones</v>
      </c>
      <c r="AH485">
        <v>1452.107622</v>
      </c>
    </row>
    <row r="486" spans="1:34" x14ac:dyDescent="0.3">
      <c r="A486" s="1">
        <v>1484</v>
      </c>
      <c r="B486" s="2">
        <v>45568</v>
      </c>
      <c r="C486" s="1" t="s">
        <v>35</v>
      </c>
      <c r="D486" s="1" t="s">
        <v>44</v>
      </c>
      <c r="E486" s="1" t="s">
        <v>16</v>
      </c>
      <c r="F486" s="1">
        <v>1868.61</v>
      </c>
      <c r="G486" s="1" t="s">
        <v>280</v>
      </c>
      <c r="H486" s="2">
        <v>29181</v>
      </c>
      <c r="I486" s="2">
        <v>45576</v>
      </c>
      <c r="J486" s="1">
        <v>41.34</v>
      </c>
      <c r="K486" s="4">
        <f t="shared" si="14"/>
        <v>772.48337400000003</v>
      </c>
      <c r="L486" s="4">
        <f t="shared" si="15"/>
        <v>1096.1266259999998</v>
      </c>
      <c r="O486">
        <v>1660</v>
      </c>
      <c r="P486">
        <v>44120</v>
      </c>
      <c r="Q486" t="str">
        <v>East</v>
      </c>
      <c r="R486" t="str">
        <v>Jacket</v>
      </c>
      <c r="S486" t="str">
        <v>Clothing</v>
      </c>
      <c r="T486">
        <v>4831.3999999999996</v>
      </c>
      <c r="U486" t="str">
        <v>Dorothy Thomas</v>
      </c>
      <c r="V486">
        <v>30364</v>
      </c>
      <c r="W486">
        <v>44127</v>
      </c>
      <c r="X486">
        <v>19.36</v>
      </c>
      <c r="Y486">
        <v>935.35903999999994</v>
      </c>
      <c r="Z486">
        <v>3896.0409599999998</v>
      </c>
      <c r="AC486" t="str">
        <v>T-Shirt</v>
      </c>
      <c r="AD486">
        <v>2059.3807420000003</v>
      </c>
      <c r="AF486">
        <v>1658</v>
      </c>
      <c r="AG486" t="str">
        <v>Football</v>
      </c>
      <c r="AH486">
        <v>2261.6339900000003</v>
      </c>
    </row>
    <row r="487" spans="1:34" x14ac:dyDescent="0.3">
      <c r="A487" s="1">
        <v>1485</v>
      </c>
      <c r="B487" s="2">
        <v>45096</v>
      </c>
      <c r="C487" s="1" t="s">
        <v>26</v>
      </c>
      <c r="D487" s="1" t="s">
        <v>88</v>
      </c>
      <c r="E487" s="1" t="s">
        <v>16</v>
      </c>
      <c r="F487" s="1">
        <v>960.82</v>
      </c>
      <c r="G487" s="1" t="s">
        <v>159</v>
      </c>
      <c r="H487" s="2">
        <v>38194</v>
      </c>
      <c r="I487" s="2">
        <v>45099</v>
      </c>
      <c r="J487" s="1">
        <v>40.98</v>
      </c>
      <c r="K487" s="4">
        <f t="shared" si="14"/>
        <v>393.74403599999994</v>
      </c>
      <c r="L487" s="4">
        <f t="shared" si="15"/>
        <v>567.07596400000011</v>
      </c>
      <c r="O487">
        <v>1661</v>
      </c>
      <c r="P487">
        <v>45816</v>
      </c>
      <c r="Q487" t="str">
        <v>North</v>
      </c>
      <c r="R487" t="str">
        <v>Headphones</v>
      </c>
      <c r="S487" t="str">
        <v>Electronics</v>
      </c>
      <c r="T487">
        <v>4672.3599999999997</v>
      </c>
      <c r="U487" t="str">
        <v>Lisa Vega</v>
      </c>
      <c r="V487">
        <v>34164</v>
      </c>
      <c r="W487">
        <v>45827</v>
      </c>
      <c r="X487">
        <v>14.4</v>
      </c>
      <c r="Y487">
        <v>672.81984</v>
      </c>
      <c r="Z487">
        <v>3999.5401599999996</v>
      </c>
      <c r="AC487" t="str">
        <v>Jacket</v>
      </c>
      <c r="AD487">
        <v>3896.0409599999998</v>
      </c>
      <c r="AF487">
        <v>1659</v>
      </c>
      <c r="AG487" t="str">
        <v>T-Shirt</v>
      </c>
      <c r="AH487">
        <v>2059.3807420000003</v>
      </c>
    </row>
    <row r="488" spans="1:34" x14ac:dyDescent="0.3">
      <c r="A488" s="1">
        <v>1486</v>
      </c>
      <c r="B488" s="2">
        <v>45010</v>
      </c>
      <c r="C488" s="1" t="s">
        <v>26</v>
      </c>
      <c r="D488" s="1" t="s">
        <v>44</v>
      </c>
      <c r="E488" s="1" t="s">
        <v>16</v>
      </c>
      <c r="F488" s="1">
        <v>4628</v>
      </c>
      <c r="G488" s="1" t="s">
        <v>50</v>
      </c>
      <c r="H488" s="2">
        <v>22594</v>
      </c>
      <c r="I488" s="2">
        <v>45014</v>
      </c>
      <c r="J488" s="1">
        <v>44.68</v>
      </c>
      <c r="K488" s="4">
        <f t="shared" si="14"/>
        <v>2067.7903999999999</v>
      </c>
      <c r="L488" s="4">
        <f t="shared" si="15"/>
        <v>2560.2096000000001</v>
      </c>
      <c r="O488">
        <v>1665</v>
      </c>
      <c r="P488">
        <v>44583</v>
      </c>
      <c r="Q488" t="str">
        <v>East</v>
      </c>
      <c r="R488" t="str">
        <v>Basketball</v>
      </c>
      <c r="S488" t="str">
        <v>Sports</v>
      </c>
      <c r="T488">
        <v>4882.18</v>
      </c>
      <c r="U488" t="str">
        <v>Harold Williams</v>
      </c>
      <c r="V488">
        <v>37894</v>
      </c>
      <c r="W488">
        <v>44590</v>
      </c>
      <c r="X488">
        <v>28.88</v>
      </c>
      <c r="Y488">
        <v>1409.9735840000001</v>
      </c>
      <c r="Z488">
        <v>3472.206416</v>
      </c>
      <c r="AC488" t="str">
        <v>Headphones</v>
      </c>
      <c r="AD488">
        <v>3999.5401599999996</v>
      </c>
      <c r="AF488">
        <v>1660</v>
      </c>
      <c r="AG488" t="str">
        <v>Jacket</v>
      </c>
      <c r="AH488">
        <v>3896.0409599999998</v>
      </c>
    </row>
    <row r="489" spans="1:34" x14ac:dyDescent="0.3">
      <c r="A489" s="1">
        <v>1487</v>
      </c>
      <c r="B489" s="2">
        <v>45153</v>
      </c>
      <c r="C489" s="1" t="s">
        <v>35</v>
      </c>
      <c r="D489" s="1" t="s">
        <v>30</v>
      </c>
      <c r="E489" s="1" t="s">
        <v>31</v>
      </c>
      <c r="F489" s="1">
        <v>4033.32</v>
      </c>
      <c r="G489" s="1" t="s">
        <v>187</v>
      </c>
      <c r="H489" s="2">
        <v>30778</v>
      </c>
      <c r="I489" s="2">
        <v>45162</v>
      </c>
      <c r="J489" s="1">
        <v>36.51</v>
      </c>
      <c r="K489" s="4">
        <f t="shared" si="14"/>
        <v>1472.5651319999999</v>
      </c>
      <c r="L489" s="4">
        <f t="shared" si="15"/>
        <v>2560.754868</v>
      </c>
      <c r="O489">
        <v>1667</v>
      </c>
      <c r="P489">
        <v>44932</v>
      </c>
      <c r="Q489" t="str">
        <v>Central</v>
      </c>
      <c r="R489" t="str">
        <v>Camera</v>
      </c>
      <c r="S489" t="str">
        <v>Electronics</v>
      </c>
      <c r="T489">
        <v>2188.62</v>
      </c>
      <c r="U489" t="str">
        <v>Aaron Ramirez</v>
      </c>
      <c r="V489">
        <v>23704</v>
      </c>
      <c r="W489">
        <v>44942</v>
      </c>
      <c r="X489">
        <v>30.97</v>
      </c>
      <c r="Y489">
        <v>677.81561399999987</v>
      </c>
      <c r="Z489">
        <v>1510.804386</v>
      </c>
      <c r="AC489" t="str">
        <v>Basketball</v>
      </c>
      <c r="AD489">
        <v>3472.206416</v>
      </c>
      <c r="AF489">
        <v>1661</v>
      </c>
      <c r="AG489" t="str">
        <v>Headphones</v>
      </c>
      <c r="AH489">
        <v>3999.5401599999996</v>
      </c>
    </row>
    <row r="490" spans="1:34" x14ac:dyDescent="0.3">
      <c r="A490" s="1">
        <v>1488</v>
      </c>
      <c r="B490" s="2">
        <v>45427</v>
      </c>
      <c r="C490" s="1" t="s">
        <v>14</v>
      </c>
      <c r="D490" s="1" t="s">
        <v>49</v>
      </c>
      <c r="E490" s="1" t="s">
        <v>12</v>
      </c>
      <c r="F490" s="1">
        <v>2543.13</v>
      </c>
      <c r="G490" s="1" t="s">
        <v>63</v>
      </c>
      <c r="H490" s="2">
        <v>25430</v>
      </c>
      <c r="I490" s="2">
        <v>45441</v>
      </c>
      <c r="J490" s="1">
        <v>15.97</v>
      </c>
      <c r="K490" s="4">
        <f t="shared" si="14"/>
        <v>406.13786100000004</v>
      </c>
      <c r="L490" s="4">
        <f t="shared" si="15"/>
        <v>2136.992139</v>
      </c>
      <c r="O490">
        <v>1669</v>
      </c>
      <c r="P490">
        <v>44270</v>
      </c>
      <c r="Q490" t="str">
        <v>East</v>
      </c>
      <c r="R490" t="str">
        <v>Smartphone</v>
      </c>
      <c r="S490" t="str">
        <v>Electronics</v>
      </c>
      <c r="T490">
        <v>3669.41</v>
      </c>
      <c r="U490" t="str">
        <v>Mrs. Vanessa Liu</v>
      </c>
      <c r="V490">
        <v>23988</v>
      </c>
      <c r="W490">
        <v>44284</v>
      </c>
      <c r="X490">
        <v>42.15</v>
      </c>
      <c r="Y490">
        <v>1546.6563149999999</v>
      </c>
      <c r="Z490">
        <v>2122.7536849999997</v>
      </c>
      <c r="AC490" t="str">
        <v>Camera</v>
      </c>
      <c r="AD490">
        <v>1510.804386</v>
      </c>
      <c r="AF490">
        <v>1665</v>
      </c>
      <c r="AG490" t="str">
        <v>Basketball</v>
      </c>
      <c r="AH490">
        <v>3472.206416</v>
      </c>
    </row>
    <row r="491" spans="1:34" x14ac:dyDescent="0.3">
      <c r="A491" s="1">
        <v>1489</v>
      </c>
      <c r="B491" s="2">
        <v>45218</v>
      </c>
      <c r="C491" s="1" t="s">
        <v>14</v>
      </c>
      <c r="D491" s="1" t="s">
        <v>65</v>
      </c>
      <c r="E491" s="1" t="s">
        <v>19</v>
      </c>
      <c r="F491" s="1">
        <v>640.26</v>
      </c>
      <c r="G491" s="1" t="s">
        <v>253</v>
      </c>
      <c r="H491" s="2">
        <v>27131</v>
      </c>
      <c r="I491" s="2">
        <v>45230</v>
      </c>
      <c r="J491" s="1">
        <v>21</v>
      </c>
      <c r="K491" s="4">
        <f t="shared" si="14"/>
        <v>134.4546</v>
      </c>
      <c r="L491" s="4">
        <f t="shared" si="15"/>
        <v>505.80539999999996</v>
      </c>
      <c r="O491">
        <v>1670</v>
      </c>
      <c r="P491">
        <v>45041</v>
      </c>
      <c r="Q491" t="str">
        <v>South</v>
      </c>
      <c r="R491" t="str">
        <v>Shoes</v>
      </c>
      <c r="S491" t="str">
        <v>Clothing</v>
      </c>
      <c r="T491">
        <v>2238.67</v>
      </c>
      <c r="U491" t="str">
        <v>Kyle Thomas</v>
      </c>
      <c r="V491">
        <v>29541</v>
      </c>
      <c r="W491">
        <v>45049</v>
      </c>
      <c r="X491">
        <v>12.27</v>
      </c>
      <c r="Y491">
        <v>274.68480899999997</v>
      </c>
      <c r="Z491">
        <v>1963.9851910000002</v>
      </c>
      <c r="AC491" t="str">
        <v>Smartphone</v>
      </c>
      <c r="AD491">
        <v>2122.7536849999997</v>
      </c>
      <c r="AF491">
        <v>1667</v>
      </c>
      <c r="AG491" t="str">
        <v>Camera</v>
      </c>
      <c r="AH491">
        <v>1510.804386</v>
      </c>
    </row>
    <row r="492" spans="1:34" x14ac:dyDescent="0.3">
      <c r="A492" s="1">
        <v>1490</v>
      </c>
      <c r="B492" s="2">
        <v>45262</v>
      </c>
      <c r="C492" s="1" t="s">
        <v>35</v>
      </c>
      <c r="D492" s="1" t="s">
        <v>55</v>
      </c>
      <c r="E492" s="1" t="s">
        <v>31</v>
      </c>
      <c r="F492" s="1">
        <v>3779.96</v>
      </c>
      <c r="G492" s="1" t="s">
        <v>281</v>
      </c>
      <c r="H492" s="2">
        <v>37927</v>
      </c>
      <c r="I492" s="2">
        <v>45266</v>
      </c>
      <c r="J492" s="1">
        <v>32.18</v>
      </c>
      <c r="K492" s="4">
        <f t="shared" si="14"/>
        <v>1216.391128</v>
      </c>
      <c r="L492" s="4">
        <f t="shared" si="15"/>
        <v>2563.5688719999998</v>
      </c>
      <c r="O492">
        <v>1673</v>
      </c>
      <c r="P492">
        <v>44190</v>
      </c>
      <c r="Q492" t="str">
        <v>Central</v>
      </c>
      <c r="R492" t="str">
        <v>Wheat</v>
      </c>
      <c r="S492" t="str">
        <v>Groceries</v>
      </c>
      <c r="T492">
        <v>1502.05</v>
      </c>
      <c r="U492" t="str">
        <v>Joe Rivera</v>
      </c>
      <c r="V492">
        <v>25821</v>
      </c>
      <c r="W492">
        <v>44201</v>
      </c>
      <c r="X492">
        <v>10.3</v>
      </c>
      <c r="Y492">
        <v>154.71115</v>
      </c>
      <c r="Z492">
        <v>1347.3388499999999</v>
      </c>
      <c r="AC492" t="str">
        <v>Shoes</v>
      </c>
      <c r="AD492">
        <v>1963.9851910000002</v>
      </c>
      <c r="AF492">
        <v>1669</v>
      </c>
      <c r="AG492" t="str">
        <v>Smartphone</v>
      </c>
      <c r="AH492">
        <v>2122.7536849999997</v>
      </c>
    </row>
    <row r="493" spans="1:34" x14ac:dyDescent="0.3">
      <c r="A493" s="1">
        <v>1491</v>
      </c>
      <c r="B493" s="2">
        <v>44682</v>
      </c>
      <c r="C493" s="1" t="s">
        <v>21</v>
      </c>
      <c r="D493" s="1" t="s">
        <v>24</v>
      </c>
      <c r="E493" s="1" t="s">
        <v>19</v>
      </c>
      <c r="F493" s="1">
        <v>2268.23</v>
      </c>
      <c r="G493" s="1" t="s">
        <v>226</v>
      </c>
      <c r="H493" s="2">
        <v>33332</v>
      </c>
      <c r="I493" s="2">
        <v>44689</v>
      </c>
      <c r="J493" s="1">
        <v>40.47</v>
      </c>
      <c r="K493" s="4">
        <f t="shared" si="14"/>
        <v>917.95268099999998</v>
      </c>
      <c r="L493" s="4">
        <f t="shared" si="15"/>
        <v>1350.277319</v>
      </c>
      <c r="O493">
        <v>1677</v>
      </c>
      <c r="P493">
        <v>44508</v>
      </c>
      <c r="Q493" t="str">
        <v>Central</v>
      </c>
      <c r="R493" t="str">
        <v>Cap</v>
      </c>
      <c r="S493" t="str">
        <v>Clothing</v>
      </c>
      <c r="T493">
        <v>4727.7700000000004</v>
      </c>
      <c r="U493" t="str">
        <v>Kevin Miller</v>
      </c>
      <c r="V493">
        <v>30321</v>
      </c>
      <c r="W493">
        <v>44513</v>
      </c>
      <c r="X493">
        <v>7.46</v>
      </c>
      <c r="Y493">
        <v>352.69164200000006</v>
      </c>
      <c r="Z493">
        <v>4375.0783580000007</v>
      </c>
      <c r="AC493" t="str">
        <v>Wheat</v>
      </c>
      <c r="AD493">
        <v>1347.3388499999999</v>
      </c>
      <c r="AF493">
        <v>1670</v>
      </c>
      <c r="AG493" t="str">
        <v>Shoes</v>
      </c>
      <c r="AH493">
        <v>1963.9851910000002</v>
      </c>
    </row>
    <row r="494" spans="1:34" x14ac:dyDescent="0.3">
      <c r="A494" s="1">
        <v>1492</v>
      </c>
      <c r="B494" s="2">
        <v>44582</v>
      </c>
      <c r="C494" s="1" t="s">
        <v>35</v>
      </c>
      <c r="D494" s="1" t="s">
        <v>69</v>
      </c>
      <c r="E494" s="1" t="s">
        <v>31</v>
      </c>
      <c r="F494" s="1">
        <v>857.98</v>
      </c>
      <c r="G494" s="1" t="s">
        <v>202</v>
      </c>
      <c r="H494" s="2">
        <v>24802</v>
      </c>
      <c r="I494" s="2">
        <v>44595</v>
      </c>
      <c r="J494" s="1">
        <v>8.44</v>
      </c>
      <c r="K494" s="4">
        <f t="shared" si="14"/>
        <v>72.413511999999997</v>
      </c>
      <c r="L494" s="4">
        <f t="shared" si="15"/>
        <v>785.56648800000005</v>
      </c>
      <c r="O494">
        <v>1679</v>
      </c>
      <c r="P494">
        <v>44505</v>
      </c>
      <c r="Q494" t="str">
        <v>Central</v>
      </c>
      <c r="R494" t="str">
        <v>Jacket</v>
      </c>
      <c r="S494" t="str">
        <v>Clothing</v>
      </c>
      <c r="T494">
        <v>4303.21</v>
      </c>
      <c r="U494" t="str">
        <v>Melissa Holt</v>
      </c>
      <c r="V494">
        <v>29381</v>
      </c>
      <c r="W494">
        <v>44512</v>
      </c>
      <c r="X494">
        <v>33.68</v>
      </c>
      <c r="Y494">
        <v>1449.321128</v>
      </c>
      <c r="Z494">
        <v>2853.888872</v>
      </c>
      <c r="AC494" t="str">
        <v>Cap</v>
      </c>
      <c r="AD494">
        <v>4375.0783580000007</v>
      </c>
      <c r="AF494">
        <v>1673</v>
      </c>
      <c r="AG494" t="str">
        <v>Wheat</v>
      </c>
      <c r="AH494">
        <v>1347.3388499999999</v>
      </c>
    </row>
    <row r="495" spans="1:34" x14ac:dyDescent="0.3">
      <c r="A495" s="1">
        <v>1493</v>
      </c>
      <c r="B495" s="2">
        <v>44415</v>
      </c>
      <c r="C495" s="1" t="s">
        <v>14</v>
      </c>
      <c r="D495" s="1" t="s">
        <v>38</v>
      </c>
      <c r="E495" s="1" t="s">
        <v>28</v>
      </c>
      <c r="F495" s="1">
        <v>4476.6400000000003</v>
      </c>
      <c r="G495" s="1" t="s">
        <v>221</v>
      </c>
      <c r="H495" s="2">
        <v>35658</v>
      </c>
      <c r="I495" s="2">
        <v>44417</v>
      </c>
      <c r="J495" s="1">
        <v>13.84</v>
      </c>
      <c r="K495" s="4">
        <f t="shared" si="14"/>
        <v>619.56697600000007</v>
      </c>
      <c r="L495" s="4">
        <f t="shared" si="15"/>
        <v>3857.0730240000003</v>
      </c>
      <c r="O495">
        <v>1680</v>
      </c>
      <c r="P495">
        <v>45161</v>
      </c>
      <c r="Q495" t="str">
        <v>Central</v>
      </c>
      <c r="R495" t="str">
        <v>T-Shirt</v>
      </c>
      <c r="S495" t="str">
        <v>Clothing</v>
      </c>
      <c r="T495">
        <v>4991.41</v>
      </c>
      <c r="U495" t="str">
        <v>Jeffrey Harris</v>
      </c>
      <c r="V495">
        <v>35336</v>
      </c>
      <c r="W495">
        <v>45167</v>
      </c>
      <c r="X495">
        <v>41.94</v>
      </c>
      <c r="Y495">
        <v>2093.3973539999997</v>
      </c>
      <c r="Z495">
        <v>2898.0126460000001</v>
      </c>
      <c r="AC495" t="str">
        <v>Jacket</v>
      </c>
      <c r="AD495">
        <v>2853.888872</v>
      </c>
      <c r="AF495">
        <v>1677</v>
      </c>
      <c r="AG495" t="str">
        <v>Cap</v>
      </c>
      <c r="AH495">
        <v>4375.0783580000007</v>
      </c>
    </row>
    <row r="496" spans="1:34" x14ac:dyDescent="0.3">
      <c r="A496" s="1">
        <v>1494</v>
      </c>
      <c r="B496" s="2">
        <v>44484</v>
      </c>
      <c r="C496" s="1" t="s">
        <v>10</v>
      </c>
      <c r="D496" s="1" t="s">
        <v>88</v>
      </c>
      <c r="E496" s="1" t="s">
        <v>16</v>
      </c>
      <c r="F496" s="1">
        <v>3755.32</v>
      </c>
      <c r="G496" s="1" t="s">
        <v>282</v>
      </c>
      <c r="H496" s="2">
        <v>38073</v>
      </c>
      <c r="I496" s="2">
        <v>44489</v>
      </c>
      <c r="J496" s="1">
        <v>39.659999999999997</v>
      </c>
      <c r="K496" s="4">
        <f t="shared" si="14"/>
        <v>1489.3599119999999</v>
      </c>
      <c r="L496" s="4">
        <f t="shared" si="15"/>
        <v>2265.9600880000003</v>
      </c>
      <c r="O496">
        <v>1681</v>
      </c>
      <c r="P496">
        <v>44233</v>
      </c>
      <c r="Q496" t="str">
        <v>East</v>
      </c>
      <c r="R496" t="str">
        <v>Shoes</v>
      </c>
      <c r="S496" t="str">
        <v>Sports</v>
      </c>
      <c r="T496">
        <v>3113.17</v>
      </c>
      <c r="U496" t="str">
        <v>Andrew Weaver</v>
      </c>
      <c r="V496">
        <v>33394</v>
      </c>
      <c r="W496">
        <v>44244</v>
      </c>
      <c r="X496">
        <v>1.17</v>
      </c>
      <c r="Y496">
        <v>36.424088999999995</v>
      </c>
      <c r="Z496">
        <v>3076.745911</v>
      </c>
      <c r="AC496" t="str">
        <v>T-Shirt</v>
      </c>
      <c r="AD496">
        <v>2898.0126460000001</v>
      </c>
      <c r="AF496">
        <v>1679</v>
      </c>
      <c r="AG496" t="str">
        <v>Jacket</v>
      </c>
      <c r="AH496">
        <v>2853.888872</v>
      </c>
    </row>
    <row r="497" spans="1:34" x14ac:dyDescent="0.3">
      <c r="A497" s="1">
        <v>1495</v>
      </c>
      <c r="B497" s="2">
        <v>45829</v>
      </c>
      <c r="C497" s="1" t="s">
        <v>21</v>
      </c>
      <c r="D497" s="1" t="s">
        <v>11</v>
      </c>
      <c r="E497" s="1" t="s">
        <v>12</v>
      </c>
      <c r="F497" s="1">
        <v>4164.7700000000004</v>
      </c>
      <c r="G497" s="1" t="s">
        <v>264</v>
      </c>
      <c r="H497" s="2">
        <v>30232</v>
      </c>
      <c r="I497" s="2">
        <v>45832</v>
      </c>
      <c r="J497" s="1">
        <v>40.119999999999997</v>
      </c>
      <c r="K497" s="4">
        <f t="shared" si="14"/>
        <v>1670.9057240000002</v>
      </c>
      <c r="L497" s="4">
        <f t="shared" si="15"/>
        <v>2493.8642760000002</v>
      </c>
      <c r="O497">
        <v>1683</v>
      </c>
      <c r="P497">
        <v>44229</v>
      </c>
      <c r="Q497" t="str">
        <v>Central</v>
      </c>
      <c r="R497" t="str">
        <v>Tablet</v>
      </c>
      <c r="S497" t="str">
        <v>Electronics</v>
      </c>
      <c r="T497">
        <v>2109.39</v>
      </c>
      <c r="U497" t="str">
        <v>Donald Harris</v>
      </c>
      <c r="V497">
        <v>23920</v>
      </c>
      <c r="W497">
        <v>44235</v>
      </c>
      <c r="X497">
        <v>19.059999999999999</v>
      </c>
      <c r="Y497">
        <v>402.04973399999994</v>
      </c>
      <c r="Z497">
        <v>1707.3402659999999</v>
      </c>
      <c r="AC497" t="str">
        <v>Shoes</v>
      </c>
      <c r="AD497">
        <v>3076.745911</v>
      </c>
      <c r="AF497">
        <v>1680</v>
      </c>
      <c r="AG497" t="str">
        <v>T-Shirt</v>
      </c>
      <c r="AH497">
        <v>2898.0126460000001</v>
      </c>
    </row>
    <row r="498" spans="1:34" x14ac:dyDescent="0.3">
      <c r="A498" s="1">
        <v>1496</v>
      </c>
      <c r="B498" s="2">
        <v>45316</v>
      </c>
      <c r="C498" s="1" t="s">
        <v>35</v>
      </c>
      <c r="D498" s="1" t="s">
        <v>102</v>
      </c>
      <c r="E498" s="1" t="s">
        <v>12</v>
      </c>
      <c r="F498" s="1">
        <v>897.52</v>
      </c>
      <c r="G498" s="1" t="s">
        <v>108</v>
      </c>
      <c r="H498" s="2">
        <v>33413</v>
      </c>
      <c r="I498" s="2">
        <v>45326</v>
      </c>
      <c r="J498" s="1">
        <v>8.91</v>
      </c>
      <c r="K498" s="4">
        <f t="shared" si="14"/>
        <v>79.969031999999999</v>
      </c>
      <c r="L498" s="4">
        <f t="shared" si="15"/>
        <v>817.55096800000001</v>
      </c>
      <c r="O498">
        <v>1684</v>
      </c>
      <c r="P498">
        <v>45114</v>
      </c>
      <c r="Q498" t="str">
        <v>South</v>
      </c>
      <c r="R498" t="str">
        <v>Milk</v>
      </c>
      <c r="S498" t="str">
        <v>Groceries</v>
      </c>
      <c r="T498">
        <v>3439.5</v>
      </c>
      <c r="U498" t="str">
        <v>Mrs. Vanessa Henson</v>
      </c>
      <c r="V498">
        <v>32375</v>
      </c>
      <c r="W498">
        <v>45126</v>
      </c>
      <c r="X498">
        <v>16.34</v>
      </c>
      <c r="Y498">
        <v>562.01429999999993</v>
      </c>
      <c r="Z498">
        <v>2877.4857000000002</v>
      </c>
      <c r="AC498" t="str">
        <v>Tablet</v>
      </c>
      <c r="AD498">
        <v>1707.3402659999999</v>
      </c>
      <c r="AF498">
        <v>1681</v>
      </c>
      <c r="AG498" t="str">
        <v>Shoes</v>
      </c>
      <c r="AH498">
        <v>3076.745911</v>
      </c>
    </row>
    <row r="499" spans="1:34" x14ac:dyDescent="0.3">
      <c r="A499" s="1">
        <v>1497</v>
      </c>
      <c r="B499" s="2">
        <v>44840</v>
      </c>
      <c r="C499" s="1" t="s">
        <v>35</v>
      </c>
      <c r="D499" s="1" t="s">
        <v>73</v>
      </c>
      <c r="E499" s="1" t="s">
        <v>28</v>
      </c>
      <c r="F499" s="1">
        <v>4921.43</v>
      </c>
      <c r="G499" s="1" t="s">
        <v>67</v>
      </c>
      <c r="H499" s="2">
        <v>34016</v>
      </c>
      <c r="I499" s="2">
        <v>44843</v>
      </c>
      <c r="J499" s="1">
        <v>16.77</v>
      </c>
      <c r="K499" s="4">
        <f t="shared" si="14"/>
        <v>825.32381099999998</v>
      </c>
      <c r="L499" s="4">
        <f t="shared" si="15"/>
        <v>4096.1061890000001</v>
      </c>
      <c r="O499">
        <v>1685</v>
      </c>
      <c r="P499">
        <v>44226</v>
      </c>
      <c r="Q499" t="str">
        <v>North</v>
      </c>
      <c r="R499" t="str">
        <v>Laptop</v>
      </c>
      <c r="S499" t="str">
        <v>Electronics</v>
      </c>
      <c r="T499">
        <v>3971.47</v>
      </c>
      <c r="U499" t="str">
        <v>Jonathan Gillespie MD</v>
      </c>
      <c r="V499">
        <v>23838</v>
      </c>
      <c r="W499">
        <v>44227</v>
      </c>
      <c r="X499">
        <v>0.9</v>
      </c>
      <c r="Y499">
        <v>35.743230000000004</v>
      </c>
      <c r="Z499">
        <v>3935.7267699999998</v>
      </c>
      <c r="AC499" t="str">
        <v>Milk</v>
      </c>
      <c r="AD499">
        <v>2877.4857000000002</v>
      </c>
      <c r="AF499">
        <v>1683</v>
      </c>
      <c r="AG499" t="str">
        <v>Tablet</v>
      </c>
      <c r="AH499">
        <v>1707.3402659999999</v>
      </c>
    </row>
    <row r="500" spans="1:34" x14ac:dyDescent="0.3">
      <c r="A500" s="1">
        <v>1498</v>
      </c>
      <c r="B500" s="2">
        <v>44528</v>
      </c>
      <c r="C500" s="1" t="s">
        <v>14</v>
      </c>
      <c r="D500" s="1" t="s">
        <v>18</v>
      </c>
      <c r="E500" s="1" t="s">
        <v>19</v>
      </c>
      <c r="F500" s="1">
        <v>216.97</v>
      </c>
      <c r="G500" s="1" t="s">
        <v>265</v>
      </c>
      <c r="H500" s="2">
        <v>38899</v>
      </c>
      <c r="I500" s="2">
        <v>44537</v>
      </c>
      <c r="J500" s="1">
        <v>41.44</v>
      </c>
      <c r="K500" s="4">
        <f t="shared" si="14"/>
        <v>89.912368000000001</v>
      </c>
      <c r="L500" s="4">
        <f t="shared" si="15"/>
        <v>127.057632</v>
      </c>
      <c r="O500">
        <v>1687</v>
      </c>
      <c r="P500">
        <v>45763</v>
      </c>
      <c r="Q500" t="str">
        <v>South</v>
      </c>
      <c r="R500" t="str">
        <v>Shoes</v>
      </c>
      <c r="S500" t="str">
        <v>Sports</v>
      </c>
      <c r="T500">
        <v>2262.52</v>
      </c>
      <c r="U500" t="str">
        <v>Angela Wilkins</v>
      </c>
      <c r="V500">
        <v>30474</v>
      </c>
      <c r="W500">
        <v>45775</v>
      </c>
      <c r="X500">
        <v>4.95</v>
      </c>
      <c r="Y500">
        <v>111.99474000000001</v>
      </c>
      <c r="Z500">
        <v>2150.5252599999999</v>
      </c>
      <c r="AC500" t="str">
        <v>Laptop</v>
      </c>
      <c r="AD500">
        <v>3935.7267699999998</v>
      </c>
      <c r="AF500">
        <v>1684</v>
      </c>
      <c r="AG500" t="str">
        <v>Milk</v>
      </c>
      <c r="AH500">
        <v>2877.4857000000002</v>
      </c>
    </row>
    <row r="501" spans="1:34" x14ac:dyDescent="0.3">
      <c r="A501" s="1">
        <v>1499</v>
      </c>
      <c r="B501" s="2">
        <v>44540</v>
      </c>
      <c r="C501" s="1" t="s">
        <v>10</v>
      </c>
      <c r="D501" s="1" t="s">
        <v>44</v>
      </c>
      <c r="E501" s="1" t="s">
        <v>16</v>
      </c>
      <c r="F501" s="1">
        <v>2393.89</v>
      </c>
      <c r="G501" s="1" t="s">
        <v>283</v>
      </c>
      <c r="H501" s="2">
        <v>30117</v>
      </c>
      <c r="I501" s="2">
        <v>44551</v>
      </c>
      <c r="J501" s="1">
        <v>10.87</v>
      </c>
      <c r="K501" s="4">
        <f t="shared" si="14"/>
        <v>260.21584299999995</v>
      </c>
      <c r="L501" s="4">
        <f t="shared" si="15"/>
        <v>2133.6741569999999</v>
      </c>
      <c r="O501">
        <v>1688</v>
      </c>
      <c r="P501">
        <v>44973</v>
      </c>
      <c r="Q501" t="str">
        <v>South</v>
      </c>
      <c r="R501" t="str">
        <v>T-Shirt</v>
      </c>
      <c r="S501" t="str">
        <v>Clothing</v>
      </c>
      <c r="T501">
        <v>4036.71</v>
      </c>
      <c r="U501" t="str">
        <v>Marissa Johnson</v>
      </c>
      <c r="V501">
        <v>38628</v>
      </c>
      <c r="W501">
        <v>44976</v>
      </c>
      <c r="X501">
        <v>30.2</v>
      </c>
      <c r="Y501">
        <v>1219.0864199999999</v>
      </c>
      <c r="Z501">
        <v>2817.6235800000004</v>
      </c>
      <c r="AC501" t="str">
        <v>Shoes</v>
      </c>
      <c r="AD501">
        <v>2150.5252599999999</v>
      </c>
      <c r="AF501">
        <v>1685</v>
      </c>
      <c r="AG501" t="str">
        <v>Laptop</v>
      </c>
      <c r="AH501">
        <v>3935.7267699999998</v>
      </c>
    </row>
    <row r="502" spans="1:34" x14ac:dyDescent="0.3">
      <c r="A502" s="1">
        <v>1500</v>
      </c>
      <c r="B502" s="2">
        <v>45298</v>
      </c>
      <c r="C502" s="1" t="s">
        <v>35</v>
      </c>
      <c r="D502" s="1" t="s">
        <v>88</v>
      </c>
      <c r="E502" s="1" t="s">
        <v>16</v>
      </c>
      <c r="F502" s="1">
        <v>3767.29</v>
      </c>
      <c r="G502" s="1" t="s">
        <v>215</v>
      </c>
      <c r="H502" s="2">
        <v>31386</v>
      </c>
      <c r="I502" s="2">
        <v>45310</v>
      </c>
      <c r="J502" s="1">
        <v>15.91</v>
      </c>
      <c r="K502" s="4">
        <f t="shared" si="14"/>
        <v>599.37583899999993</v>
      </c>
      <c r="L502" s="4">
        <f t="shared" si="15"/>
        <v>3167.9141610000001</v>
      </c>
      <c r="O502">
        <v>1689</v>
      </c>
      <c r="P502">
        <v>44624</v>
      </c>
      <c r="Q502" t="str">
        <v>North</v>
      </c>
      <c r="R502" t="str">
        <v>Chair</v>
      </c>
      <c r="S502" t="str">
        <v>Furniture</v>
      </c>
      <c r="T502">
        <v>2762.66</v>
      </c>
      <c r="U502" t="str">
        <v>Meagan Russell</v>
      </c>
      <c r="V502">
        <v>23309</v>
      </c>
      <c r="W502">
        <v>44631</v>
      </c>
      <c r="X502">
        <v>21.79</v>
      </c>
      <c r="Y502">
        <v>601.98361399999987</v>
      </c>
      <c r="Z502">
        <v>2160.6763860000001</v>
      </c>
      <c r="AC502" t="str">
        <v>T-Shirt</v>
      </c>
      <c r="AD502">
        <v>2817.6235800000004</v>
      </c>
      <c r="AF502">
        <v>1687</v>
      </c>
      <c r="AG502" t="str">
        <v>Shoes</v>
      </c>
      <c r="AH502">
        <v>2150.5252599999999</v>
      </c>
    </row>
    <row r="503" spans="1:34" x14ac:dyDescent="0.3">
      <c r="A503" s="1">
        <v>1501</v>
      </c>
      <c r="B503" s="2">
        <v>45230</v>
      </c>
      <c r="C503" s="1" t="s">
        <v>21</v>
      </c>
      <c r="D503" s="1" t="s">
        <v>30</v>
      </c>
      <c r="E503" s="1" t="s">
        <v>31</v>
      </c>
      <c r="F503" s="1">
        <v>1246.26</v>
      </c>
      <c r="G503" s="1" t="s">
        <v>155</v>
      </c>
      <c r="H503" s="2">
        <v>27688</v>
      </c>
      <c r="I503" s="2">
        <v>45232</v>
      </c>
      <c r="J503" s="1">
        <v>7.94</v>
      </c>
      <c r="K503" s="4">
        <f t="shared" si="14"/>
        <v>98.953043999999991</v>
      </c>
      <c r="L503" s="4">
        <f t="shared" si="15"/>
        <v>1147.3069559999999</v>
      </c>
      <c r="O503">
        <v>1690</v>
      </c>
      <c r="P503">
        <v>44526</v>
      </c>
      <c r="Q503" t="str">
        <v>North</v>
      </c>
      <c r="R503" t="str">
        <v>Camera</v>
      </c>
      <c r="S503" t="str">
        <v>Electronics</v>
      </c>
      <c r="T503">
        <v>2795.54</v>
      </c>
      <c r="U503" t="str">
        <v>Wesley Olson</v>
      </c>
      <c r="V503">
        <v>27166</v>
      </c>
      <c r="W503">
        <v>44537</v>
      </c>
      <c r="X503">
        <v>14.81</v>
      </c>
      <c r="Y503">
        <v>414.019474</v>
      </c>
      <c r="Z503">
        <v>2381.5205259999998</v>
      </c>
      <c r="AC503" t="str">
        <v>Chair</v>
      </c>
      <c r="AD503">
        <v>2160.6763860000001</v>
      </c>
      <c r="AF503">
        <v>1688</v>
      </c>
      <c r="AG503" t="str">
        <v>T-Shirt</v>
      </c>
      <c r="AH503">
        <v>2817.6235800000004</v>
      </c>
    </row>
    <row r="504" spans="1:34" x14ac:dyDescent="0.3">
      <c r="A504" s="1">
        <v>1502</v>
      </c>
      <c r="B504" s="2">
        <v>44328</v>
      </c>
      <c r="C504" s="1" t="s">
        <v>10</v>
      </c>
      <c r="D504" s="1" t="s">
        <v>22</v>
      </c>
      <c r="E504" s="1" t="s">
        <v>19</v>
      </c>
      <c r="F504" s="1">
        <v>1825.7</v>
      </c>
      <c r="G504" s="1" t="s">
        <v>284</v>
      </c>
      <c r="H504" s="2">
        <v>34338</v>
      </c>
      <c r="I504" s="2">
        <v>44340</v>
      </c>
      <c r="J504" s="1">
        <v>34.07</v>
      </c>
      <c r="K504" s="4">
        <f t="shared" si="14"/>
        <v>622.01598999999999</v>
      </c>
      <c r="L504" s="4">
        <f t="shared" si="15"/>
        <v>1203.6840099999999</v>
      </c>
      <c r="O504">
        <v>1691</v>
      </c>
      <c r="P504">
        <v>44396</v>
      </c>
      <c r="Q504" t="str">
        <v>South</v>
      </c>
      <c r="R504" t="str">
        <v>Laptop</v>
      </c>
      <c r="S504" t="str">
        <v>Electronics</v>
      </c>
      <c r="T504">
        <v>2136.2600000000002</v>
      </c>
      <c r="U504" t="str">
        <v>Brian Carson</v>
      </c>
      <c r="V504">
        <v>30232</v>
      </c>
      <c r="W504">
        <v>44404</v>
      </c>
      <c r="X504">
        <v>4</v>
      </c>
      <c r="Y504">
        <v>85.450400000000016</v>
      </c>
      <c r="Z504">
        <v>2050.8096</v>
      </c>
      <c r="AC504" t="str">
        <v>Camera</v>
      </c>
      <c r="AD504">
        <v>2381.5205259999998</v>
      </c>
      <c r="AF504">
        <v>1689</v>
      </c>
      <c r="AG504" t="str">
        <v>Chair</v>
      </c>
      <c r="AH504">
        <v>2160.6763860000001</v>
      </c>
    </row>
    <row r="505" spans="1:34" x14ac:dyDescent="0.3">
      <c r="A505" s="1">
        <v>1503</v>
      </c>
      <c r="B505" s="2">
        <v>44961</v>
      </c>
      <c r="C505" s="1" t="s">
        <v>26</v>
      </c>
      <c r="D505" s="1" t="s">
        <v>38</v>
      </c>
      <c r="E505" s="1" t="s">
        <v>28</v>
      </c>
      <c r="F505" s="1">
        <v>1119.8599999999999</v>
      </c>
      <c r="G505" s="1" t="s">
        <v>166</v>
      </c>
      <c r="H505" s="2">
        <v>27879</v>
      </c>
      <c r="I505" s="2">
        <v>44968</v>
      </c>
      <c r="J505" s="1">
        <v>7.51</v>
      </c>
      <c r="K505" s="4">
        <f t="shared" si="14"/>
        <v>84.101485999999994</v>
      </c>
      <c r="L505" s="4">
        <f t="shared" si="15"/>
        <v>1035.7585139999999</v>
      </c>
      <c r="O505">
        <v>1692</v>
      </c>
      <c r="P505">
        <v>45302</v>
      </c>
      <c r="Q505" t="str">
        <v>South</v>
      </c>
      <c r="R505" t="str">
        <v>Rice</v>
      </c>
      <c r="S505" t="str">
        <v>Groceries</v>
      </c>
      <c r="T505">
        <v>4150.93</v>
      </c>
      <c r="U505" t="str">
        <v>Cynthia Brown</v>
      </c>
      <c r="V505">
        <v>35407</v>
      </c>
      <c r="W505">
        <v>45315</v>
      </c>
      <c r="X505">
        <v>46.04</v>
      </c>
      <c r="Y505">
        <v>1911.088172</v>
      </c>
      <c r="Z505">
        <v>2239.8418280000005</v>
      </c>
      <c r="AC505" t="str">
        <v>Laptop</v>
      </c>
      <c r="AD505">
        <v>2050.8096</v>
      </c>
      <c r="AF505">
        <v>1690</v>
      </c>
      <c r="AG505" t="str">
        <v>Camera</v>
      </c>
      <c r="AH505">
        <v>2381.5205259999998</v>
      </c>
    </row>
    <row r="506" spans="1:34" x14ac:dyDescent="0.3">
      <c r="A506" s="1">
        <v>1504</v>
      </c>
      <c r="B506" s="2">
        <v>44975</v>
      </c>
      <c r="C506" s="1" t="s">
        <v>21</v>
      </c>
      <c r="D506" s="1" t="s">
        <v>102</v>
      </c>
      <c r="E506" s="1" t="s">
        <v>12</v>
      </c>
      <c r="F506" s="1">
        <v>1079.6199999999999</v>
      </c>
      <c r="G506" s="1" t="s">
        <v>120</v>
      </c>
      <c r="H506" s="2">
        <v>30820</v>
      </c>
      <c r="I506" s="2">
        <v>44988</v>
      </c>
      <c r="J506" s="1">
        <v>18.41</v>
      </c>
      <c r="K506" s="4">
        <f t="shared" si="14"/>
        <v>198.75804199999999</v>
      </c>
      <c r="L506" s="4">
        <f t="shared" si="15"/>
        <v>880.86195799999996</v>
      </c>
      <c r="O506">
        <v>1693</v>
      </c>
      <c r="P506">
        <v>44528</v>
      </c>
      <c r="Q506" t="str">
        <v>South</v>
      </c>
      <c r="R506" t="str">
        <v>Rice</v>
      </c>
      <c r="S506" t="str">
        <v>Groceries</v>
      </c>
      <c r="T506">
        <v>3648.4</v>
      </c>
      <c r="U506" t="str">
        <v>Matthew Baird</v>
      </c>
      <c r="V506">
        <v>35658</v>
      </c>
      <c r="W506">
        <v>44542</v>
      </c>
      <c r="X506">
        <v>42.7</v>
      </c>
      <c r="Y506">
        <v>1557.8668000000002</v>
      </c>
      <c r="Z506">
        <v>2090.5331999999999</v>
      </c>
      <c r="AC506" t="str">
        <v>Rice</v>
      </c>
      <c r="AD506">
        <v>2239.8418280000005</v>
      </c>
      <c r="AF506">
        <v>1691</v>
      </c>
      <c r="AG506" t="str">
        <v>Laptop</v>
      </c>
      <c r="AH506">
        <v>2050.8096</v>
      </c>
    </row>
    <row r="507" spans="1:34" x14ac:dyDescent="0.3">
      <c r="A507" s="1">
        <v>1505</v>
      </c>
      <c r="B507" s="2">
        <v>44953</v>
      </c>
      <c r="C507" s="1" t="s">
        <v>21</v>
      </c>
      <c r="D507" s="1" t="s">
        <v>65</v>
      </c>
      <c r="E507" s="1" t="s">
        <v>19</v>
      </c>
      <c r="F507" s="1">
        <v>989.3</v>
      </c>
      <c r="G507" s="1" t="s">
        <v>236</v>
      </c>
      <c r="H507" s="2">
        <v>36099</v>
      </c>
      <c r="I507" s="2">
        <v>44967</v>
      </c>
      <c r="J507" s="1">
        <v>9.18</v>
      </c>
      <c r="K507" s="4">
        <f t="shared" si="14"/>
        <v>90.817739999999986</v>
      </c>
      <c r="L507" s="4">
        <f t="shared" si="15"/>
        <v>898.48226</v>
      </c>
      <c r="O507">
        <v>1694</v>
      </c>
      <c r="P507">
        <v>45503</v>
      </c>
      <c r="Q507" t="str">
        <v>East</v>
      </c>
      <c r="R507" t="str">
        <v>Milk</v>
      </c>
      <c r="S507" t="str">
        <v>Groceries</v>
      </c>
      <c r="T507">
        <v>4655.5200000000004</v>
      </c>
      <c r="U507" t="str">
        <v>Katie Parker</v>
      </c>
      <c r="V507">
        <v>37961</v>
      </c>
      <c r="W507">
        <v>45516</v>
      </c>
      <c r="X507">
        <v>14.23</v>
      </c>
      <c r="Y507">
        <v>662.48049600000013</v>
      </c>
      <c r="Z507">
        <v>3993.0395040000003</v>
      </c>
      <c r="AC507" t="str">
        <v>Rice</v>
      </c>
      <c r="AD507">
        <v>2090.5331999999999</v>
      </c>
      <c r="AF507">
        <v>1692</v>
      </c>
      <c r="AG507" t="str">
        <v>Rice</v>
      </c>
      <c r="AH507">
        <v>2239.8418280000005</v>
      </c>
    </row>
    <row r="508" spans="1:34" x14ac:dyDescent="0.3">
      <c r="A508" s="1">
        <v>1506</v>
      </c>
      <c r="B508" s="2">
        <v>44372</v>
      </c>
      <c r="C508" s="1" t="s">
        <v>10</v>
      </c>
      <c r="D508" s="1" t="s">
        <v>18</v>
      </c>
      <c r="E508" s="1" t="s">
        <v>19</v>
      </c>
      <c r="F508" s="1">
        <v>4408.54</v>
      </c>
      <c r="G508" s="1" t="s">
        <v>208</v>
      </c>
      <c r="H508" s="2">
        <v>32188</v>
      </c>
      <c r="I508" s="2">
        <v>44382</v>
      </c>
      <c r="J508" s="1">
        <v>12.47</v>
      </c>
      <c r="K508" s="4">
        <f t="shared" si="14"/>
        <v>549.74493800000005</v>
      </c>
      <c r="L508" s="4">
        <f t="shared" si="15"/>
        <v>3858.7950620000001</v>
      </c>
      <c r="O508">
        <v>1695</v>
      </c>
      <c r="P508">
        <v>44766</v>
      </c>
      <c r="Q508" t="str">
        <v>West</v>
      </c>
      <c r="R508" t="str">
        <v>Sofa</v>
      </c>
      <c r="S508" t="str">
        <v>Furniture</v>
      </c>
      <c r="T508">
        <v>1621.73</v>
      </c>
      <c r="U508" t="str">
        <v>Martha Harris</v>
      </c>
      <c r="V508">
        <v>27455</v>
      </c>
      <c r="W508">
        <v>44773</v>
      </c>
      <c r="X508">
        <v>28.48</v>
      </c>
      <c r="Y508">
        <v>461.86870399999998</v>
      </c>
      <c r="Z508">
        <v>1159.861296</v>
      </c>
      <c r="AC508" t="str">
        <v>Milk</v>
      </c>
      <c r="AD508">
        <v>3993.0395040000003</v>
      </c>
      <c r="AF508">
        <v>1693</v>
      </c>
      <c r="AG508" t="str">
        <v>Rice</v>
      </c>
      <c r="AH508">
        <v>2090.5331999999999</v>
      </c>
    </row>
    <row r="509" spans="1:34" x14ac:dyDescent="0.3">
      <c r="A509" s="1">
        <v>1507</v>
      </c>
      <c r="B509" s="2">
        <v>45596</v>
      </c>
      <c r="C509" s="1" t="s">
        <v>21</v>
      </c>
      <c r="D509" s="1" t="s">
        <v>33</v>
      </c>
      <c r="E509" s="1" t="s">
        <v>16</v>
      </c>
      <c r="F509" s="1">
        <v>308.79000000000002</v>
      </c>
      <c r="G509" s="1" t="s">
        <v>117</v>
      </c>
      <c r="H509" s="2">
        <v>23513</v>
      </c>
      <c r="I509" s="2">
        <v>45603</v>
      </c>
      <c r="J509" s="1">
        <v>15.92</v>
      </c>
      <c r="K509" s="4">
        <f t="shared" si="14"/>
        <v>49.159368000000008</v>
      </c>
      <c r="L509" s="4">
        <f t="shared" si="15"/>
        <v>259.63063199999999</v>
      </c>
      <c r="O509">
        <v>1696</v>
      </c>
      <c r="P509">
        <v>44546</v>
      </c>
      <c r="Q509" t="str">
        <v>North</v>
      </c>
      <c r="R509" t="str">
        <v>Table</v>
      </c>
      <c r="S509" t="str">
        <v>Furniture</v>
      </c>
      <c r="T509">
        <v>4970.46</v>
      </c>
      <c r="U509" t="str">
        <v>Jackie Foster</v>
      </c>
      <c r="V509">
        <v>22796</v>
      </c>
      <c r="W509">
        <v>44554</v>
      </c>
      <c r="X509">
        <v>7.16</v>
      </c>
      <c r="Y509">
        <v>355.88493599999998</v>
      </c>
      <c r="Z509">
        <v>4614.5750639999997</v>
      </c>
      <c r="AC509" t="str">
        <v>Sofa</v>
      </c>
      <c r="AD509">
        <v>1159.861296</v>
      </c>
      <c r="AF509">
        <v>1694</v>
      </c>
      <c r="AG509" t="str">
        <v>Milk</v>
      </c>
      <c r="AH509">
        <v>3993.0395040000003</v>
      </c>
    </row>
    <row r="510" spans="1:34" x14ac:dyDescent="0.3">
      <c r="A510" s="1">
        <v>1508</v>
      </c>
      <c r="B510" s="2">
        <v>44487</v>
      </c>
      <c r="C510" s="1" t="s">
        <v>14</v>
      </c>
      <c r="D510" s="1" t="s">
        <v>15</v>
      </c>
      <c r="E510" s="1" t="s">
        <v>16</v>
      </c>
      <c r="F510" s="1">
        <v>2775.54</v>
      </c>
      <c r="G510" s="1" t="s">
        <v>129</v>
      </c>
      <c r="H510" s="2">
        <v>26668</v>
      </c>
      <c r="I510" s="2">
        <v>44494</v>
      </c>
      <c r="J510" s="1">
        <v>22.41</v>
      </c>
      <c r="K510" s="4">
        <f t="shared" si="14"/>
        <v>621.998514</v>
      </c>
      <c r="L510" s="4">
        <f t="shared" si="15"/>
        <v>2153.5414860000001</v>
      </c>
      <c r="O510">
        <v>1697</v>
      </c>
      <c r="P510">
        <v>44208</v>
      </c>
      <c r="Q510" t="str">
        <v>East</v>
      </c>
      <c r="R510" t="str">
        <v>Football</v>
      </c>
      <c r="S510" t="str">
        <v>Sports</v>
      </c>
      <c r="T510">
        <v>3077.28</v>
      </c>
      <c r="U510" t="str">
        <v>Donald Mckenzie</v>
      </c>
      <c r="V510">
        <v>33482</v>
      </c>
      <c r="W510">
        <v>44211</v>
      </c>
      <c r="X510">
        <v>8.57</v>
      </c>
      <c r="Y510">
        <v>263.72289599999999</v>
      </c>
      <c r="Z510">
        <v>2813.5571040000004</v>
      </c>
      <c r="AC510" t="str">
        <v>Table</v>
      </c>
      <c r="AD510">
        <v>4614.5750639999997</v>
      </c>
      <c r="AF510">
        <v>1695</v>
      </c>
      <c r="AG510" t="str">
        <v>Sofa</v>
      </c>
      <c r="AH510">
        <v>1159.861296</v>
      </c>
    </row>
    <row r="511" spans="1:34" x14ac:dyDescent="0.3">
      <c r="A511" s="1">
        <v>1509</v>
      </c>
      <c r="B511" s="2">
        <v>44557</v>
      </c>
      <c r="C511" s="1" t="s">
        <v>21</v>
      </c>
      <c r="D511" s="1" t="s">
        <v>36</v>
      </c>
      <c r="E511" s="1" t="s">
        <v>28</v>
      </c>
      <c r="F511" s="1">
        <v>2170.37</v>
      </c>
      <c r="G511" s="1" t="s">
        <v>285</v>
      </c>
      <c r="H511" s="2">
        <v>26988</v>
      </c>
      <c r="I511" s="2">
        <v>44559</v>
      </c>
      <c r="J511" s="1">
        <v>27.89</v>
      </c>
      <c r="K511" s="4">
        <f t="shared" si="14"/>
        <v>605.31619299999988</v>
      </c>
      <c r="L511" s="4">
        <f t="shared" si="15"/>
        <v>1565.053807</v>
      </c>
      <c r="O511">
        <v>1698</v>
      </c>
      <c r="P511">
        <v>45490</v>
      </c>
      <c r="Q511" t="str">
        <v>West</v>
      </c>
      <c r="R511" t="str">
        <v>Table</v>
      </c>
      <c r="S511" t="str">
        <v>Furniture</v>
      </c>
      <c r="T511">
        <v>4876.51</v>
      </c>
      <c r="U511" t="str">
        <v>Antonio David</v>
      </c>
      <c r="V511">
        <v>24580</v>
      </c>
      <c r="W511">
        <v>45501</v>
      </c>
      <c r="X511">
        <v>10.16</v>
      </c>
      <c r="Y511">
        <v>495.453416</v>
      </c>
      <c r="Z511">
        <v>4381.0565839999999</v>
      </c>
      <c r="AC511" t="str">
        <v>Football</v>
      </c>
      <c r="AD511">
        <v>2813.5571040000004</v>
      </c>
      <c r="AF511">
        <v>1696</v>
      </c>
      <c r="AG511" t="str">
        <v>Table</v>
      </c>
      <c r="AH511">
        <v>4614.5750639999997</v>
      </c>
    </row>
    <row r="512" spans="1:34" x14ac:dyDescent="0.3">
      <c r="A512" s="1">
        <v>1510</v>
      </c>
      <c r="B512" s="2">
        <v>44078</v>
      </c>
      <c r="C512" s="1" t="s">
        <v>14</v>
      </c>
      <c r="D512" s="1" t="s">
        <v>61</v>
      </c>
      <c r="E512" s="1" t="s">
        <v>19</v>
      </c>
      <c r="F512" s="1">
        <v>948.94</v>
      </c>
      <c r="G512" s="1" t="s">
        <v>173</v>
      </c>
      <c r="H512" s="2">
        <v>22016</v>
      </c>
      <c r="I512" s="2">
        <v>44090</v>
      </c>
      <c r="J512" s="1">
        <v>21.04</v>
      </c>
      <c r="K512" s="4">
        <f t="shared" si="14"/>
        <v>199.65697600000001</v>
      </c>
      <c r="L512" s="4">
        <f t="shared" si="15"/>
        <v>749.28302400000007</v>
      </c>
      <c r="O512">
        <v>1702</v>
      </c>
      <c r="P512">
        <v>44907</v>
      </c>
      <c r="Q512" t="str">
        <v>North</v>
      </c>
      <c r="R512" t="str">
        <v>Laptop</v>
      </c>
      <c r="S512" t="str">
        <v>Electronics</v>
      </c>
      <c r="T512">
        <v>1928.08</v>
      </c>
      <c r="U512" t="str">
        <v>Nicole Church</v>
      </c>
      <c r="V512">
        <v>24348</v>
      </c>
      <c r="W512">
        <v>44908</v>
      </c>
      <c r="X512">
        <v>2.2200000000000002</v>
      </c>
      <c r="Y512">
        <v>42.803376</v>
      </c>
      <c r="Z512">
        <v>1885.2766239999999</v>
      </c>
      <c r="AC512" t="str">
        <v>Table</v>
      </c>
      <c r="AD512">
        <v>4381.0565839999999</v>
      </c>
      <c r="AF512">
        <v>1697</v>
      </c>
      <c r="AG512" t="str">
        <v>Football</v>
      </c>
      <c r="AH512">
        <v>2813.5571040000004</v>
      </c>
    </row>
    <row r="513" spans="1:34" x14ac:dyDescent="0.3">
      <c r="A513" s="1">
        <v>1511</v>
      </c>
      <c r="B513" s="2">
        <v>44328</v>
      </c>
      <c r="C513" s="1" t="s">
        <v>26</v>
      </c>
      <c r="D513" s="1" t="s">
        <v>55</v>
      </c>
      <c r="E513" s="1" t="s">
        <v>31</v>
      </c>
      <c r="F513" s="1">
        <v>3452.36</v>
      </c>
      <c r="G513" s="1" t="s">
        <v>17</v>
      </c>
      <c r="H513" s="2">
        <v>26484</v>
      </c>
      <c r="I513" s="2">
        <v>44333</v>
      </c>
      <c r="J513" s="1">
        <v>26.13</v>
      </c>
      <c r="K513" s="4">
        <f t="shared" si="14"/>
        <v>902.1016679999999</v>
      </c>
      <c r="L513" s="4">
        <f t="shared" si="15"/>
        <v>2550.2583320000003</v>
      </c>
      <c r="O513">
        <v>1704</v>
      </c>
      <c r="P513">
        <v>44120</v>
      </c>
      <c r="Q513" t="str">
        <v>South</v>
      </c>
      <c r="R513" t="str">
        <v>Wardrobe</v>
      </c>
      <c r="S513" t="str">
        <v>Furniture</v>
      </c>
      <c r="T513">
        <v>1451.27</v>
      </c>
      <c r="U513" t="str">
        <v>Harry Holmes</v>
      </c>
      <c r="V513">
        <v>25712</v>
      </c>
      <c r="W513">
        <v>44128</v>
      </c>
      <c r="X513">
        <v>24.93</v>
      </c>
      <c r="Y513">
        <v>361.80161099999998</v>
      </c>
      <c r="Z513">
        <v>1089.4683890000001</v>
      </c>
      <c r="AC513" t="str">
        <v>Laptop</v>
      </c>
      <c r="AD513">
        <v>1885.2766239999999</v>
      </c>
      <c r="AF513">
        <v>1698</v>
      </c>
      <c r="AG513" t="str">
        <v>Table</v>
      </c>
      <c r="AH513">
        <v>4381.0565839999999</v>
      </c>
    </row>
    <row r="514" spans="1:34" x14ac:dyDescent="0.3">
      <c r="A514" s="1">
        <v>1512</v>
      </c>
      <c r="B514" s="2">
        <v>44119</v>
      </c>
      <c r="C514" s="1" t="s">
        <v>35</v>
      </c>
      <c r="D514" s="1" t="s">
        <v>24</v>
      </c>
      <c r="E514" s="1" t="s">
        <v>19</v>
      </c>
      <c r="F514" s="1">
        <v>4036.97</v>
      </c>
      <c r="G514" s="1" t="s">
        <v>228</v>
      </c>
      <c r="H514" s="2">
        <v>25811</v>
      </c>
      <c r="I514" s="2">
        <v>44128</v>
      </c>
      <c r="J514" s="1">
        <v>10.38</v>
      </c>
      <c r="K514" s="4">
        <f t="shared" si="14"/>
        <v>419.037486</v>
      </c>
      <c r="L514" s="4">
        <f t="shared" si="15"/>
        <v>3617.9325139999996</v>
      </c>
      <c r="O514">
        <v>1705</v>
      </c>
      <c r="P514">
        <v>45019</v>
      </c>
      <c r="Q514" t="str">
        <v>South</v>
      </c>
      <c r="R514" t="str">
        <v>Jacket</v>
      </c>
      <c r="S514" t="str">
        <v>Clothing</v>
      </c>
      <c r="T514">
        <v>4397.05</v>
      </c>
      <c r="U514" t="str">
        <v>Laura Wood</v>
      </c>
      <c r="V514">
        <v>31419</v>
      </c>
      <c r="W514">
        <v>45022</v>
      </c>
      <c r="X514">
        <v>18.420000000000002</v>
      </c>
      <c r="Y514">
        <v>809.9366100000002</v>
      </c>
      <c r="Z514">
        <v>3587.11339</v>
      </c>
      <c r="AC514" t="str">
        <v>Wardrobe</v>
      </c>
      <c r="AD514">
        <v>1089.4683890000001</v>
      </c>
      <c r="AF514">
        <v>1702</v>
      </c>
      <c r="AG514" t="str">
        <v>Laptop</v>
      </c>
      <c r="AH514">
        <v>1885.2766239999999</v>
      </c>
    </row>
    <row r="515" spans="1:34" x14ac:dyDescent="0.3">
      <c r="A515" s="1">
        <v>1513</v>
      </c>
      <c r="B515" s="2">
        <v>44590</v>
      </c>
      <c r="C515" s="1" t="s">
        <v>35</v>
      </c>
      <c r="D515" s="1" t="s">
        <v>24</v>
      </c>
      <c r="E515" s="1" t="s">
        <v>19</v>
      </c>
      <c r="F515" s="1">
        <v>492.46</v>
      </c>
      <c r="G515" s="1" t="s">
        <v>213</v>
      </c>
      <c r="H515" s="2">
        <v>34345</v>
      </c>
      <c r="I515" s="2">
        <v>44602</v>
      </c>
      <c r="J515" s="1">
        <v>44.35</v>
      </c>
      <c r="K515" s="4">
        <f t="shared" ref="K515:K578" si="16">F515*J515%</f>
        <v>218.40600999999998</v>
      </c>
      <c r="L515" s="4">
        <f t="shared" ref="L515:L578" si="17">F515-K515</f>
        <v>274.05399</v>
      </c>
      <c r="O515">
        <v>1706</v>
      </c>
      <c r="P515">
        <v>45165</v>
      </c>
      <c r="Q515" t="str">
        <v>Central</v>
      </c>
      <c r="R515" t="str">
        <v>Sofa</v>
      </c>
      <c r="S515" t="str">
        <v>Furniture</v>
      </c>
      <c r="T515">
        <v>3244.23</v>
      </c>
      <c r="U515" t="str">
        <v>Benjamin Smith</v>
      </c>
      <c r="V515">
        <v>38073</v>
      </c>
      <c r="W515">
        <v>45171</v>
      </c>
      <c r="X515">
        <v>48.8</v>
      </c>
      <c r="Y515">
        <v>1583.18424</v>
      </c>
      <c r="Z515">
        <v>1661.04576</v>
      </c>
      <c r="AC515" t="str">
        <v>Jacket</v>
      </c>
      <c r="AD515">
        <v>3587.11339</v>
      </c>
      <c r="AF515">
        <v>1704</v>
      </c>
      <c r="AG515" t="str">
        <v>Wardrobe</v>
      </c>
      <c r="AH515">
        <v>1089.4683890000001</v>
      </c>
    </row>
    <row r="516" spans="1:34" x14ac:dyDescent="0.3">
      <c r="A516" s="1">
        <v>1514</v>
      </c>
      <c r="B516" s="2">
        <v>44426</v>
      </c>
      <c r="C516" s="1" t="s">
        <v>35</v>
      </c>
      <c r="D516" s="1" t="s">
        <v>53</v>
      </c>
      <c r="E516" s="1" t="s">
        <v>28</v>
      </c>
      <c r="F516" s="1">
        <v>4324.25</v>
      </c>
      <c r="G516" s="1" t="s">
        <v>267</v>
      </c>
      <c r="H516" s="2">
        <v>38039</v>
      </c>
      <c r="I516" s="2">
        <v>44439</v>
      </c>
      <c r="J516" s="1">
        <v>17.28</v>
      </c>
      <c r="K516" s="4">
        <f t="shared" si="16"/>
        <v>747.23040000000003</v>
      </c>
      <c r="L516" s="4">
        <f t="shared" si="17"/>
        <v>3577.0196000000001</v>
      </c>
      <c r="O516">
        <v>1708</v>
      </c>
      <c r="P516">
        <v>45285</v>
      </c>
      <c r="Q516" t="str">
        <v>East</v>
      </c>
      <c r="R516" t="str">
        <v>Cap</v>
      </c>
      <c r="S516" t="str">
        <v>Clothing</v>
      </c>
      <c r="T516">
        <v>4234.68</v>
      </c>
      <c r="U516" t="str">
        <v>Kevin Rosario</v>
      </c>
      <c r="V516">
        <v>36012</v>
      </c>
      <c r="W516">
        <v>45299</v>
      </c>
      <c r="X516">
        <v>44.06</v>
      </c>
      <c r="Y516">
        <v>1865.8000080000004</v>
      </c>
      <c r="Z516">
        <v>2368.8799920000001</v>
      </c>
      <c r="AC516" t="str">
        <v>Sofa</v>
      </c>
      <c r="AD516">
        <v>1661.04576</v>
      </c>
      <c r="AF516">
        <v>1705</v>
      </c>
      <c r="AG516" t="str">
        <v>Jacket</v>
      </c>
      <c r="AH516">
        <v>3587.11339</v>
      </c>
    </row>
    <row r="517" spans="1:34" x14ac:dyDescent="0.3">
      <c r="A517" s="1">
        <v>1515</v>
      </c>
      <c r="B517" s="2">
        <v>44823</v>
      </c>
      <c r="C517" s="1" t="s">
        <v>21</v>
      </c>
      <c r="D517" s="1" t="s">
        <v>11</v>
      </c>
      <c r="E517" s="1" t="s">
        <v>12</v>
      </c>
      <c r="F517" s="1">
        <v>1005.2</v>
      </c>
      <c r="G517" s="1" t="s">
        <v>286</v>
      </c>
      <c r="H517" s="2">
        <v>33430</v>
      </c>
      <c r="I517" s="2">
        <v>44828</v>
      </c>
      <c r="J517" s="1">
        <v>17.05</v>
      </c>
      <c r="K517" s="4">
        <f t="shared" si="16"/>
        <v>171.38660000000002</v>
      </c>
      <c r="L517" s="4">
        <f t="shared" si="17"/>
        <v>833.8134</v>
      </c>
      <c r="O517">
        <v>1710</v>
      </c>
      <c r="P517">
        <v>44386</v>
      </c>
      <c r="Q517" t="str">
        <v>North</v>
      </c>
      <c r="R517" t="str">
        <v>Wardrobe</v>
      </c>
      <c r="S517" t="str">
        <v>Furniture</v>
      </c>
      <c r="T517">
        <v>4680.0200000000004</v>
      </c>
      <c r="U517" t="str">
        <v>Sylvia Landry</v>
      </c>
      <c r="V517">
        <v>35642</v>
      </c>
      <c r="W517">
        <v>44400</v>
      </c>
      <c r="X517">
        <v>13.82</v>
      </c>
      <c r="Y517">
        <v>646.77876400000002</v>
      </c>
      <c r="Z517">
        <v>4033.2412360000003</v>
      </c>
      <c r="AC517" t="str">
        <v>Cap</v>
      </c>
      <c r="AD517">
        <v>2368.8799920000001</v>
      </c>
      <c r="AF517">
        <v>1706</v>
      </c>
      <c r="AG517" t="str">
        <v>Sofa</v>
      </c>
      <c r="AH517">
        <v>1661.04576</v>
      </c>
    </row>
    <row r="518" spans="1:34" x14ac:dyDescent="0.3">
      <c r="A518" s="1">
        <v>1516</v>
      </c>
      <c r="B518" s="2">
        <v>45407</v>
      </c>
      <c r="C518" s="1" t="s">
        <v>35</v>
      </c>
      <c r="D518" s="1" t="s">
        <v>53</v>
      </c>
      <c r="E518" s="1" t="s">
        <v>28</v>
      </c>
      <c r="F518" s="1">
        <v>4842.41</v>
      </c>
      <c r="G518" s="1" t="s">
        <v>111</v>
      </c>
      <c r="H518" s="2">
        <v>34704</v>
      </c>
      <c r="I518" s="2">
        <v>45416</v>
      </c>
      <c r="J518" s="1">
        <v>30.21</v>
      </c>
      <c r="K518" s="4">
        <f t="shared" si="16"/>
        <v>1462.8920610000002</v>
      </c>
      <c r="L518" s="4">
        <f t="shared" si="17"/>
        <v>3379.5179389999994</v>
      </c>
      <c r="O518">
        <v>1711</v>
      </c>
      <c r="P518">
        <v>44813</v>
      </c>
      <c r="Q518" t="str">
        <v>North</v>
      </c>
      <c r="R518" t="str">
        <v>Wheat</v>
      </c>
      <c r="S518" t="str">
        <v>Groceries</v>
      </c>
      <c r="T518">
        <v>2860.6</v>
      </c>
      <c r="U518" t="str">
        <v>Margaret Reynolds</v>
      </c>
      <c r="V518">
        <v>38118</v>
      </c>
      <c r="W518">
        <v>44826</v>
      </c>
      <c r="X518">
        <v>25.1</v>
      </c>
      <c r="Y518">
        <v>718.01059999999995</v>
      </c>
      <c r="Z518">
        <v>2142.5893999999998</v>
      </c>
      <c r="AC518" t="str">
        <v>Wardrobe</v>
      </c>
      <c r="AD518">
        <v>4033.2412360000003</v>
      </c>
      <c r="AF518">
        <v>1708</v>
      </c>
      <c r="AG518" t="str">
        <v>Cap</v>
      </c>
      <c r="AH518">
        <v>2368.8799920000001</v>
      </c>
    </row>
    <row r="519" spans="1:34" x14ac:dyDescent="0.3">
      <c r="A519" s="1">
        <v>1517</v>
      </c>
      <c r="B519" s="2">
        <v>45136</v>
      </c>
      <c r="C519" s="1" t="s">
        <v>10</v>
      </c>
      <c r="D519" s="1" t="s">
        <v>40</v>
      </c>
      <c r="E519" s="1" t="s">
        <v>16</v>
      </c>
      <c r="F519" s="1">
        <v>997.82</v>
      </c>
      <c r="G519" s="1" t="s">
        <v>141</v>
      </c>
      <c r="H519" s="2">
        <v>35559</v>
      </c>
      <c r="I519" s="2">
        <v>45144</v>
      </c>
      <c r="J519" s="1">
        <v>10.050000000000001</v>
      </c>
      <c r="K519" s="4">
        <f t="shared" si="16"/>
        <v>100.28091000000001</v>
      </c>
      <c r="L519" s="4">
        <f t="shared" si="17"/>
        <v>897.53908999999999</v>
      </c>
      <c r="O519">
        <v>1714</v>
      </c>
      <c r="P519">
        <v>44594</v>
      </c>
      <c r="Q519" t="str">
        <v>Central</v>
      </c>
      <c r="R519" t="str">
        <v>Smartphone</v>
      </c>
      <c r="S519" t="str">
        <v>Electronics</v>
      </c>
      <c r="T519">
        <v>3533.67</v>
      </c>
      <c r="U519" t="str">
        <v>Vanessa Johnson</v>
      </c>
      <c r="V519">
        <v>21923</v>
      </c>
      <c r="W519">
        <v>44607</v>
      </c>
      <c r="X519">
        <v>1.1299999999999999</v>
      </c>
      <c r="Y519">
        <v>39.930470999999997</v>
      </c>
      <c r="Z519">
        <v>3493.7395289999999</v>
      </c>
      <c r="AC519" t="str">
        <v>Wheat</v>
      </c>
      <c r="AD519">
        <v>2142.5893999999998</v>
      </c>
      <c r="AF519">
        <v>1710</v>
      </c>
      <c r="AG519" t="str">
        <v>Wardrobe</v>
      </c>
      <c r="AH519">
        <v>4033.2412360000003</v>
      </c>
    </row>
    <row r="520" spans="1:34" x14ac:dyDescent="0.3">
      <c r="A520" s="1">
        <v>1518</v>
      </c>
      <c r="B520" s="2">
        <v>44854</v>
      </c>
      <c r="C520" s="1" t="s">
        <v>35</v>
      </c>
      <c r="D520" s="1" t="s">
        <v>73</v>
      </c>
      <c r="E520" s="1" t="s">
        <v>28</v>
      </c>
      <c r="F520" s="1">
        <v>1656.3</v>
      </c>
      <c r="G520" s="1" t="s">
        <v>287</v>
      </c>
      <c r="H520" s="2">
        <v>36329</v>
      </c>
      <c r="I520" s="2">
        <v>44867</v>
      </c>
      <c r="J520" s="1">
        <v>34.54</v>
      </c>
      <c r="K520" s="4">
        <f t="shared" si="16"/>
        <v>572.08601999999996</v>
      </c>
      <c r="L520" s="4">
        <f t="shared" si="17"/>
        <v>1084.21398</v>
      </c>
      <c r="O520">
        <v>1715</v>
      </c>
      <c r="P520">
        <v>45049</v>
      </c>
      <c r="Q520" t="str">
        <v>North</v>
      </c>
      <c r="R520" t="str">
        <v>Basketball</v>
      </c>
      <c r="S520" t="str">
        <v>Sports</v>
      </c>
      <c r="T520">
        <v>2679.23</v>
      </c>
      <c r="U520" t="str">
        <v>Melissa Moreno</v>
      </c>
      <c r="V520">
        <v>25579</v>
      </c>
      <c r="W520">
        <v>45059</v>
      </c>
      <c r="X520">
        <v>19.5</v>
      </c>
      <c r="Y520">
        <v>522.44984999999997</v>
      </c>
      <c r="Z520">
        <v>2156.78015</v>
      </c>
      <c r="AC520" t="str">
        <v>Smartphone</v>
      </c>
      <c r="AD520">
        <v>3493.7395289999999</v>
      </c>
      <c r="AF520">
        <v>1711</v>
      </c>
      <c r="AG520" t="str">
        <v>Wheat</v>
      </c>
      <c r="AH520">
        <v>2142.5893999999998</v>
      </c>
    </row>
    <row r="521" spans="1:34" x14ac:dyDescent="0.3">
      <c r="A521" s="1">
        <v>1519</v>
      </c>
      <c r="B521" s="2">
        <v>44420</v>
      </c>
      <c r="C521" s="1" t="s">
        <v>10</v>
      </c>
      <c r="D521" s="1" t="s">
        <v>49</v>
      </c>
      <c r="E521" s="1" t="s">
        <v>12</v>
      </c>
      <c r="F521" s="1">
        <v>3717.54</v>
      </c>
      <c r="G521" s="1" t="s">
        <v>197</v>
      </c>
      <c r="H521" s="2">
        <v>26001</v>
      </c>
      <c r="I521" s="2">
        <v>44430</v>
      </c>
      <c r="J521" s="1">
        <v>27.61</v>
      </c>
      <c r="K521" s="4">
        <f t="shared" si="16"/>
        <v>1026.4127940000001</v>
      </c>
      <c r="L521" s="4">
        <f t="shared" si="17"/>
        <v>2691.1272060000001</v>
      </c>
      <c r="O521">
        <v>1716</v>
      </c>
      <c r="P521">
        <v>45214</v>
      </c>
      <c r="Q521" t="str">
        <v>South</v>
      </c>
      <c r="R521" t="str">
        <v>Shoes</v>
      </c>
      <c r="S521" t="str">
        <v>Clothing</v>
      </c>
      <c r="T521">
        <v>4121.55</v>
      </c>
      <c r="U521" t="str">
        <v>Jason Gomez</v>
      </c>
      <c r="V521">
        <v>32685</v>
      </c>
      <c r="W521">
        <v>45223</v>
      </c>
      <c r="X521">
        <v>35.71</v>
      </c>
      <c r="Y521">
        <v>1471.8055050000003</v>
      </c>
      <c r="Z521">
        <v>2649.7444949999999</v>
      </c>
      <c r="AC521" t="str">
        <v>Basketball</v>
      </c>
      <c r="AD521">
        <v>2156.78015</v>
      </c>
      <c r="AF521">
        <v>1714</v>
      </c>
      <c r="AG521" t="str">
        <v>Smartphone</v>
      </c>
      <c r="AH521">
        <v>3493.7395289999999</v>
      </c>
    </row>
    <row r="522" spans="1:34" x14ac:dyDescent="0.3">
      <c r="A522" s="1">
        <v>1520</v>
      </c>
      <c r="B522" s="2">
        <v>44433</v>
      </c>
      <c r="C522" s="1" t="s">
        <v>26</v>
      </c>
      <c r="D522" s="1" t="s">
        <v>22</v>
      </c>
      <c r="E522" s="1" t="s">
        <v>19</v>
      </c>
      <c r="F522" s="1">
        <v>2034.68</v>
      </c>
      <c r="G522" s="1" t="s">
        <v>112</v>
      </c>
      <c r="H522" s="2">
        <v>38171</v>
      </c>
      <c r="I522" s="2">
        <v>44443</v>
      </c>
      <c r="J522" s="1">
        <v>30.93</v>
      </c>
      <c r="K522" s="4">
        <f t="shared" si="16"/>
        <v>629.32652400000006</v>
      </c>
      <c r="L522" s="4">
        <f t="shared" si="17"/>
        <v>1405.353476</v>
      </c>
      <c r="O522">
        <v>1717</v>
      </c>
      <c r="P522">
        <v>44535</v>
      </c>
      <c r="Q522" t="str">
        <v>South</v>
      </c>
      <c r="R522" t="str">
        <v>Eggs</v>
      </c>
      <c r="S522" t="str">
        <v>Groceries</v>
      </c>
      <c r="T522">
        <v>3582.34</v>
      </c>
      <c r="U522" t="str">
        <v>Melissa Moreno</v>
      </c>
      <c r="V522">
        <v>25579</v>
      </c>
      <c r="W522">
        <v>44540</v>
      </c>
      <c r="X522">
        <v>14.14</v>
      </c>
      <c r="Y522">
        <v>506.54287600000004</v>
      </c>
      <c r="Z522">
        <v>3075.7971240000002</v>
      </c>
      <c r="AC522" t="str">
        <v>Shoes</v>
      </c>
      <c r="AD522">
        <v>2649.7444949999999</v>
      </c>
      <c r="AF522">
        <v>1715</v>
      </c>
      <c r="AG522" t="str">
        <v>Basketball</v>
      </c>
      <c r="AH522">
        <v>2156.78015</v>
      </c>
    </row>
    <row r="523" spans="1:34" x14ac:dyDescent="0.3">
      <c r="A523" s="1">
        <v>1521</v>
      </c>
      <c r="B523" s="2">
        <v>44931</v>
      </c>
      <c r="C523" s="1" t="s">
        <v>26</v>
      </c>
      <c r="D523" s="1" t="s">
        <v>73</v>
      </c>
      <c r="E523" s="1" t="s">
        <v>28</v>
      </c>
      <c r="F523" s="1">
        <v>1919.95</v>
      </c>
      <c r="G523" s="1" t="s">
        <v>288</v>
      </c>
      <c r="H523" s="2">
        <v>29810</v>
      </c>
      <c r="I523" s="2">
        <v>44934</v>
      </c>
      <c r="J523" s="1">
        <v>19.54</v>
      </c>
      <c r="K523" s="4">
        <f t="shared" si="16"/>
        <v>375.15823</v>
      </c>
      <c r="L523" s="4">
        <f t="shared" si="17"/>
        <v>1544.79177</v>
      </c>
      <c r="O523">
        <v>1718</v>
      </c>
      <c r="P523">
        <v>45287</v>
      </c>
      <c r="Q523" t="str">
        <v>South</v>
      </c>
      <c r="R523" t="str">
        <v>Headphones</v>
      </c>
      <c r="S523" t="str">
        <v>Electronics</v>
      </c>
      <c r="T523">
        <v>3131.27</v>
      </c>
      <c r="U523" t="str">
        <v>Aaron Smith</v>
      </c>
      <c r="V523">
        <v>23470</v>
      </c>
      <c r="W523">
        <v>45298</v>
      </c>
      <c r="X523">
        <v>45.69</v>
      </c>
      <c r="Y523">
        <v>1430.6772629999998</v>
      </c>
      <c r="Z523">
        <v>1700.5927370000002</v>
      </c>
      <c r="AC523" t="str">
        <v>Eggs</v>
      </c>
      <c r="AD523">
        <v>3075.7971240000002</v>
      </c>
      <c r="AF523">
        <v>1716</v>
      </c>
      <c r="AG523" t="str">
        <v>Shoes</v>
      </c>
      <c r="AH523">
        <v>2649.7444949999999</v>
      </c>
    </row>
    <row r="524" spans="1:34" x14ac:dyDescent="0.3">
      <c r="A524" s="1">
        <v>1522</v>
      </c>
      <c r="B524" s="2">
        <v>44205</v>
      </c>
      <c r="C524" s="1" t="s">
        <v>35</v>
      </c>
      <c r="D524" s="1" t="s">
        <v>49</v>
      </c>
      <c r="E524" s="1" t="s">
        <v>12</v>
      </c>
      <c r="F524" s="1">
        <v>512.12</v>
      </c>
      <c r="G524" s="1" t="s">
        <v>289</v>
      </c>
      <c r="H524" s="2">
        <v>21923</v>
      </c>
      <c r="I524" s="2">
        <v>44219</v>
      </c>
      <c r="J524" s="1">
        <v>11.52</v>
      </c>
      <c r="K524" s="4">
        <f t="shared" si="16"/>
        <v>58.996223999999998</v>
      </c>
      <c r="L524" s="4">
        <f t="shared" si="17"/>
        <v>453.12377600000002</v>
      </c>
      <c r="O524">
        <v>1720</v>
      </c>
      <c r="P524">
        <v>44377</v>
      </c>
      <c r="Q524" t="str">
        <v>Central</v>
      </c>
      <c r="R524" t="str">
        <v>Basketball</v>
      </c>
      <c r="S524" t="str">
        <v>Sports</v>
      </c>
      <c r="T524">
        <v>3653.64</v>
      </c>
      <c r="U524" t="str">
        <v>Daniel Pennington</v>
      </c>
      <c r="V524">
        <v>34765</v>
      </c>
      <c r="W524">
        <v>44380</v>
      </c>
      <c r="X524">
        <v>14.62</v>
      </c>
      <c r="Y524">
        <v>534.16216799999995</v>
      </c>
      <c r="Z524">
        <v>3119.477832</v>
      </c>
      <c r="AC524" t="str">
        <v>Headphones</v>
      </c>
      <c r="AD524">
        <v>1700.5927370000002</v>
      </c>
      <c r="AF524">
        <v>1717</v>
      </c>
      <c r="AG524" t="str">
        <v>Eggs</v>
      </c>
      <c r="AH524">
        <v>3075.7971240000002</v>
      </c>
    </row>
    <row r="525" spans="1:34" x14ac:dyDescent="0.3">
      <c r="A525" s="1">
        <v>1523</v>
      </c>
      <c r="B525" s="2">
        <v>44336</v>
      </c>
      <c r="C525" s="1" t="s">
        <v>26</v>
      </c>
      <c r="D525" s="1" t="s">
        <v>38</v>
      </c>
      <c r="E525" s="1" t="s">
        <v>28</v>
      </c>
      <c r="F525" s="1">
        <v>4331.62</v>
      </c>
      <c r="G525" s="1" t="s">
        <v>169</v>
      </c>
      <c r="H525" s="2">
        <v>37894</v>
      </c>
      <c r="I525" s="2">
        <v>44338</v>
      </c>
      <c r="J525" s="1">
        <v>42.1</v>
      </c>
      <c r="K525" s="4">
        <f t="shared" si="16"/>
        <v>1823.61202</v>
      </c>
      <c r="L525" s="4">
        <f t="shared" si="17"/>
        <v>2508.0079799999999</v>
      </c>
      <c r="O525">
        <v>1721</v>
      </c>
      <c r="P525">
        <v>44779</v>
      </c>
      <c r="Q525" t="str">
        <v>South</v>
      </c>
      <c r="R525" t="str">
        <v>Jacket</v>
      </c>
      <c r="S525" t="str">
        <v>Clothing</v>
      </c>
      <c r="T525">
        <v>4120.01</v>
      </c>
      <c r="U525" t="str">
        <v>Tracy Benton</v>
      </c>
      <c r="V525">
        <v>30117</v>
      </c>
      <c r="W525">
        <v>44782</v>
      </c>
      <c r="X525">
        <v>1.46</v>
      </c>
      <c r="Y525">
        <v>60.152146000000002</v>
      </c>
      <c r="Z525">
        <v>4059.8578540000003</v>
      </c>
      <c r="AC525" t="str">
        <v>Basketball</v>
      </c>
      <c r="AD525">
        <v>3119.477832</v>
      </c>
      <c r="AF525">
        <v>1718</v>
      </c>
      <c r="AG525" t="str">
        <v>Headphones</v>
      </c>
      <c r="AH525">
        <v>1700.5927370000002</v>
      </c>
    </row>
    <row r="526" spans="1:34" x14ac:dyDescent="0.3">
      <c r="A526" s="1">
        <v>1524</v>
      </c>
      <c r="B526" s="2">
        <v>45705</v>
      </c>
      <c r="C526" s="1" t="s">
        <v>21</v>
      </c>
      <c r="D526" s="1" t="s">
        <v>53</v>
      </c>
      <c r="E526" s="1" t="s">
        <v>28</v>
      </c>
      <c r="F526" s="1">
        <v>3743.49</v>
      </c>
      <c r="G526" s="1" t="s">
        <v>113</v>
      </c>
      <c r="H526" s="2">
        <v>25579</v>
      </c>
      <c r="I526" s="2">
        <v>45707</v>
      </c>
      <c r="J526" s="1">
        <v>41.5</v>
      </c>
      <c r="K526" s="4">
        <f t="shared" si="16"/>
        <v>1553.5483499999998</v>
      </c>
      <c r="L526" s="4">
        <f t="shared" si="17"/>
        <v>2189.9416499999998</v>
      </c>
      <c r="O526">
        <v>1722</v>
      </c>
      <c r="P526">
        <v>44813</v>
      </c>
      <c r="Q526" t="str">
        <v>North</v>
      </c>
      <c r="R526" t="str">
        <v>Headphones</v>
      </c>
      <c r="S526" t="str">
        <v>Electronics</v>
      </c>
      <c r="T526">
        <v>1738.91</v>
      </c>
      <c r="U526" t="str">
        <v>Colin Garcia</v>
      </c>
      <c r="V526">
        <v>37783</v>
      </c>
      <c r="W526">
        <v>44820</v>
      </c>
      <c r="X526">
        <v>3.04</v>
      </c>
      <c r="Y526">
        <v>52.862864000000002</v>
      </c>
      <c r="Z526">
        <v>1686.0471360000001</v>
      </c>
      <c r="AC526" t="str">
        <v>Jacket</v>
      </c>
      <c r="AD526">
        <v>4059.8578540000003</v>
      </c>
      <c r="AF526">
        <v>1720</v>
      </c>
      <c r="AG526" t="str">
        <v>Basketball</v>
      </c>
      <c r="AH526">
        <v>3119.477832</v>
      </c>
    </row>
    <row r="527" spans="1:34" x14ac:dyDescent="0.3">
      <c r="A527" s="1">
        <v>1525</v>
      </c>
      <c r="B527" s="2">
        <v>44123</v>
      </c>
      <c r="C527" s="1" t="s">
        <v>35</v>
      </c>
      <c r="D527" s="1" t="s">
        <v>11</v>
      </c>
      <c r="E527" s="1" t="s">
        <v>12</v>
      </c>
      <c r="F527" s="1">
        <v>2623.35</v>
      </c>
      <c r="G527" s="1" t="s">
        <v>63</v>
      </c>
      <c r="H527" s="2">
        <v>25430</v>
      </c>
      <c r="I527" s="2">
        <v>44133</v>
      </c>
      <c r="J527" s="1">
        <v>33.46</v>
      </c>
      <c r="K527" s="4">
        <f t="shared" si="16"/>
        <v>877.77291000000002</v>
      </c>
      <c r="L527" s="4">
        <f t="shared" si="17"/>
        <v>1745.5770899999998</v>
      </c>
      <c r="O527">
        <v>1723</v>
      </c>
      <c r="P527">
        <v>45657</v>
      </c>
      <c r="Q527" t="str">
        <v>South</v>
      </c>
      <c r="R527" t="str">
        <v>Wardrobe</v>
      </c>
      <c r="S527" t="str">
        <v>Furniture</v>
      </c>
      <c r="T527">
        <v>3158.37</v>
      </c>
      <c r="U527" t="str">
        <v>Derek Boyle</v>
      </c>
      <c r="V527">
        <v>27534</v>
      </c>
      <c r="W527">
        <v>45666</v>
      </c>
      <c r="X527">
        <v>49.54</v>
      </c>
      <c r="Y527">
        <v>1564.6564980000001</v>
      </c>
      <c r="Z527">
        <v>1593.7135019999998</v>
      </c>
      <c r="AC527" t="str">
        <v>Headphones</v>
      </c>
      <c r="AD527">
        <v>1686.0471360000001</v>
      </c>
      <c r="AF527">
        <v>1721</v>
      </c>
      <c r="AG527" t="str">
        <v>Jacket</v>
      </c>
      <c r="AH527">
        <v>4059.8578540000003</v>
      </c>
    </row>
    <row r="528" spans="1:34" x14ac:dyDescent="0.3">
      <c r="A528" s="1">
        <v>1526</v>
      </c>
      <c r="B528" s="2">
        <v>44476</v>
      </c>
      <c r="C528" s="1" t="s">
        <v>26</v>
      </c>
      <c r="D528" s="1" t="s">
        <v>27</v>
      </c>
      <c r="E528" s="1" t="s">
        <v>28</v>
      </c>
      <c r="F528" s="1">
        <v>651.98</v>
      </c>
      <c r="G528" s="1" t="s">
        <v>190</v>
      </c>
      <c r="H528" s="2">
        <v>33354</v>
      </c>
      <c r="I528" s="2">
        <v>44487</v>
      </c>
      <c r="J528" s="1">
        <v>41.88</v>
      </c>
      <c r="K528" s="4">
        <f t="shared" si="16"/>
        <v>273.04922400000004</v>
      </c>
      <c r="L528" s="4">
        <f t="shared" si="17"/>
        <v>378.93077599999998</v>
      </c>
      <c r="O528">
        <v>1724</v>
      </c>
      <c r="P528">
        <v>44535</v>
      </c>
      <c r="Q528" t="str">
        <v>West</v>
      </c>
      <c r="R528" t="str">
        <v>Shoes</v>
      </c>
      <c r="S528" t="str">
        <v>Clothing</v>
      </c>
      <c r="T528">
        <v>3256.95</v>
      </c>
      <c r="U528" t="str">
        <v>Patricia Burton</v>
      </c>
      <c r="V528">
        <v>24673</v>
      </c>
      <c r="W528">
        <v>44546</v>
      </c>
      <c r="X528">
        <v>10.63</v>
      </c>
      <c r="Y528">
        <v>346.21378499999997</v>
      </c>
      <c r="Z528">
        <v>2910.7362149999999</v>
      </c>
      <c r="AC528" t="str">
        <v>Wardrobe</v>
      </c>
      <c r="AD528">
        <v>1593.7135019999998</v>
      </c>
      <c r="AF528">
        <v>1722</v>
      </c>
      <c r="AG528" t="str">
        <v>Headphones</v>
      </c>
      <c r="AH528">
        <v>1686.0471360000001</v>
      </c>
    </row>
    <row r="529" spans="1:34" x14ac:dyDescent="0.3">
      <c r="A529" s="1">
        <v>1527</v>
      </c>
      <c r="B529" s="2">
        <v>44847</v>
      </c>
      <c r="C529" s="1" t="s">
        <v>26</v>
      </c>
      <c r="D529" s="1" t="s">
        <v>30</v>
      </c>
      <c r="E529" s="1" t="s">
        <v>31</v>
      </c>
      <c r="F529" s="1">
        <v>2401.7800000000002</v>
      </c>
      <c r="G529" s="1" t="s">
        <v>154</v>
      </c>
      <c r="H529" s="2">
        <v>32146</v>
      </c>
      <c r="I529" s="2">
        <v>44849</v>
      </c>
      <c r="J529" s="1">
        <v>21.01</v>
      </c>
      <c r="K529" s="4">
        <f t="shared" si="16"/>
        <v>504.61397800000009</v>
      </c>
      <c r="L529" s="4">
        <f t="shared" si="17"/>
        <v>1897.1660220000001</v>
      </c>
      <c r="O529">
        <v>1725</v>
      </c>
      <c r="P529">
        <v>44333</v>
      </c>
      <c r="Q529" t="str">
        <v>North</v>
      </c>
      <c r="R529" t="str">
        <v>Tennis Racket</v>
      </c>
      <c r="S529" t="str">
        <v>Sports</v>
      </c>
      <c r="T529">
        <v>1874.15</v>
      </c>
      <c r="U529" t="str">
        <v>Lynn Johnson</v>
      </c>
      <c r="V529">
        <v>37189</v>
      </c>
      <c r="W529">
        <v>44339</v>
      </c>
      <c r="X529">
        <v>4.95</v>
      </c>
      <c r="Y529">
        <v>92.770425000000003</v>
      </c>
      <c r="Z529">
        <v>1781.3795750000002</v>
      </c>
      <c r="AC529" t="str">
        <v>Shoes</v>
      </c>
      <c r="AD529">
        <v>2910.7362149999999</v>
      </c>
      <c r="AF529">
        <v>1723</v>
      </c>
      <c r="AG529" t="str">
        <v>Wardrobe</v>
      </c>
      <c r="AH529">
        <v>1593.7135019999998</v>
      </c>
    </row>
    <row r="530" spans="1:34" x14ac:dyDescent="0.3">
      <c r="A530" s="1">
        <v>1528</v>
      </c>
      <c r="B530" s="2">
        <v>44800</v>
      </c>
      <c r="C530" s="1" t="s">
        <v>35</v>
      </c>
      <c r="D530" s="1" t="s">
        <v>15</v>
      </c>
      <c r="E530" s="1" t="s">
        <v>16</v>
      </c>
      <c r="F530" s="1">
        <v>4140.24</v>
      </c>
      <c r="G530" s="1" t="s">
        <v>290</v>
      </c>
      <c r="H530" s="2">
        <v>31764</v>
      </c>
      <c r="I530" s="2">
        <v>44810</v>
      </c>
      <c r="J530" s="1">
        <v>30.47</v>
      </c>
      <c r="K530" s="4">
        <f t="shared" si="16"/>
        <v>1261.5311279999999</v>
      </c>
      <c r="L530" s="4">
        <f t="shared" si="17"/>
        <v>2878.7088720000002</v>
      </c>
      <c r="O530">
        <v>1727</v>
      </c>
      <c r="P530">
        <v>45086</v>
      </c>
      <c r="Q530" t="str">
        <v>North</v>
      </c>
      <c r="R530" t="str">
        <v>Tablet</v>
      </c>
      <c r="S530" t="str">
        <v>Electronics</v>
      </c>
      <c r="T530">
        <v>3947.62</v>
      </c>
      <c r="U530" t="str">
        <v>Melissa Hubbard</v>
      </c>
      <c r="V530">
        <v>31231</v>
      </c>
      <c r="W530">
        <v>45090</v>
      </c>
      <c r="X530">
        <v>19.93</v>
      </c>
      <c r="Y530">
        <v>786.76066600000001</v>
      </c>
      <c r="Z530">
        <v>3160.8593339999998</v>
      </c>
      <c r="AC530" t="str">
        <v>Tennis Racket</v>
      </c>
      <c r="AD530">
        <v>1781.3795750000002</v>
      </c>
      <c r="AF530">
        <v>1724</v>
      </c>
      <c r="AG530" t="str">
        <v>Shoes</v>
      </c>
      <c r="AH530">
        <v>2910.7362149999999</v>
      </c>
    </row>
    <row r="531" spans="1:34" x14ac:dyDescent="0.3">
      <c r="A531" s="1">
        <v>1529</v>
      </c>
      <c r="B531" s="2">
        <v>44511</v>
      </c>
      <c r="C531" s="1" t="s">
        <v>21</v>
      </c>
      <c r="D531" s="1" t="s">
        <v>30</v>
      </c>
      <c r="E531" s="1" t="s">
        <v>31</v>
      </c>
      <c r="F531" s="1">
        <v>620.05999999999995</v>
      </c>
      <c r="G531" s="1" t="s">
        <v>188</v>
      </c>
      <c r="H531" s="2">
        <v>31467</v>
      </c>
      <c r="I531" s="2">
        <v>44514</v>
      </c>
      <c r="J531" s="1">
        <v>43.35</v>
      </c>
      <c r="K531" s="4">
        <f t="shared" si="16"/>
        <v>268.79600999999997</v>
      </c>
      <c r="L531" s="4">
        <f t="shared" si="17"/>
        <v>351.26398999999998</v>
      </c>
      <c r="O531">
        <v>1729</v>
      </c>
      <c r="P531">
        <v>45680</v>
      </c>
      <c r="Q531" t="str">
        <v>South</v>
      </c>
      <c r="R531" t="str">
        <v>Table</v>
      </c>
      <c r="S531" t="str">
        <v>Furniture</v>
      </c>
      <c r="T531">
        <v>1844.63</v>
      </c>
      <c r="U531" t="str">
        <v>Lisa Hill</v>
      </c>
      <c r="V531">
        <v>23469</v>
      </c>
      <c r="W531">
        <v>45688</v>
      </c>
      <c r="X531">
        <v>42.25</v>
      </c>
      <c r="Y531">
        <v>779.35617500000001</v>
      </c>
      <c r="Z531">
        <v>1065.2738250000002</v>
      </c>
      <c r="AC531" t="str">
        <v>Tablet</v>
      </c>
      <c r="AD531">
        <v>3160.8593339999998</v>
      </c>
      <c r="AF531">
        <v>1725</v>
      </c>
      <c r="AG531" t="str">
        <v>Tennis Racket</v>
      </c>
      <c r="AH531">
        <v>1781.3795750000002</v>
      </c>
    </row>
    <row r="532" spans="1:34" x14ac:dyDescent="0.3">
      <c r="A532" s="1">
        <v>1530</v>
      </c>
      <c r="B532" s="2">
        <v>44286</v>
      </c>
      <c r="C532" s="1" t="s">
        <v>26</v>
      </c>
      <c r="D532" s="1" t="s">
        <v>61</v>
      </c>
      <c r="E532" s="1" t="s">
        <v>19</v>
      </c>
      <c r="F532" s="1">
        <v>4265.28</v>
      </c>
      <c r="G532" s="1" t="s">
        <v>80</v>
      </c>
      <c r="H532" s="2">
        <v>31578</v>
      </c>
      <c r="I532" s="2">
        <v>44287</v>
      </c>
      <c r="J532" s="1">
        <v>41.11</v>
      </c>
      <c r="K532" s="4">
        <f t="shared" si="16"/>
        <v>1753.456608</v>
      </c>
      <c r="L532" s="4">
        <f t="shared" si="17"/>
        <v>2511.8233919999998</v>
      </c>
      <c r="O532">
        <v>1730</v>
      </c>
      <c r="P532">
        <v>45873</v>
      </c>
      <c r="Q532" t="str">
        <v>Central</v>
      </c>
      <c r="R532" t="str">
        <v>Wardrobe</v>
      </c>
      <c r="S532" t="str">
        <v>Furniture</v>
      </c>
      <c r="T532">
        <v>4539.5600000000004</v>
      </c>
      <c r="U532" t="str">
        <v>Jerry Smith</v>
      </c>
      <c r="V532">
        <v>26027</v>
      </c>
      <c r="W532">
        <v>45879</v>
      </c>
      <c r="X532">
        <v>44.93</v>
      </c>
      <c r="Y532">
        <v>2039.6243080000002</v>
      </c>
      <c r="Z532">
        <v>2499.935692</v>
      </c>
      <c r="AC532" t="str">
        <v>Table</v>
      </c>
      <c r="AD532">
        <v>1065.2738250000002</v>
      </c>
      <c r="AF532">
        <v>1727</v>
      </c>
      <c r="AG532" t="str">
        <v>Tablet</v>
      </c>
      <c r="AH532">
        <v>3160.8593339999998</v>
      </c>
    </row>
    <row r="533" spans="1:34" x14ac:dyDescent="0.3">
      <c r="A533" s="1">
        <v>1531</v>
      </c>
      <c r="B533" s="2">
        <v>45495</v>
      </c>
      <c r="C533" s="1" t="s">
        <v>14</v>
      </c>
      <c r="D533" s="1" t="s">
        <v>36</v>
      </c>
      <c r="E533" s="1" t="s">
        <v>28</v>
      </c>
      <c r="F533" s="1">
        <v>1451.33</v>
      </c>
      <c r="G533" s="1" t="s">
        <v>149</v>
      </c>
      <c r="H533" s="2">
        <v>26155</v>
      </c>
      <c r="I533" s="2">
        <v>45498</v>
      </c>
      <c r="J533" s="1">
        <v>13.34</v>
      </c>
      <c r="K533" s="4">
        <f t="shared" si="16"/>
        <v>193.60742199999999</v>
      </c>
      <c r="L533" s="4">
        <f t="shared" si="17"/>
        <v>1257.7225779999999</v>
      </c>
      <c r="O533">
        <v>1731</v>
      </c>
      <c r="P533">
        <v>45007</v>
      </c>
      <c r="Q533" t="str">
        <v>North</v>
      </c>
      <c r="R533" t="str">
        <v>Jacket</v>
      </c>
      <c r="S533" t="str">
        <v>Clothing</v>
      </c>
      <c r="T533">
        <v>2167.87</v>
      </c>
      <c r="U533" t="str">
        <v>Danielle Perry</v>
      </c>
      <c r="V533">
        <v>37674</v>
      </c>
      <c r="W533">
        <v>45013</v>
      </c>
      <c r="X533">
        <v>43.08</v>
      </c>
      <c r="Y533">
        <v>933.91839599999992</v>
      </c>
      <c r="Z533">
        <v>1233.9516039999999</v>
      </c>
      <c r="AC533" t="str">
        <v>Wardrobe</v>
      </c>
      <c r="AD533">
        <v>2499.935692</v>
      </c>
      <c r="AF533">
        <v>1729</v>
      </c>
      <c r="AG533" t="str">
        <v>Table</v>
      </c>
      <c r="AH533">
        <v>1065.2738250000002</v>
      </c>
    </row>
    <row r="534" spans="1:34" x14ac:dyDescent="0.3">
      <c r="A534" s="1">
        <v>1532</v>
      </c>
      <c r="B534" s="2">
        <v>44104</v>
      </c>
      <c r="C534" s="1" t="s">
        <v>26</v>
      </c>
      <c r="D534" s="1" t="s">
        <v>27</v>
      </c>
      <c r="E534" s="1" t="s">
        <v>28</v>
      </c>
      <c r="F534" s="1">
        <v>4840.1400000000003</v>
      </c>
      <c r="G534" s="1" t="s">
        <v>291</v>
      </c>
      <c r="H534" s="2">
        <v>36645</v>
      </c>
      <c r="I534" s="2">
        <v>44111</v>
      </c>
      <c r="J534" s="1">
        <v>37.380000000000003</v>
      </c>
      <c r="K534" s="4">
        <f t="shared" si="16"/>
        <v>1809.2443320000002</v>
      </c>
      <c r="L534" s="4">
        <f t="shared" si="17"/>
        <v>3030.8956680000001</v>
      </c>
      <c r="O534">
        <v>1732</v>
      </c>
      <c r="P534">
        <v>45568</v>
      </c>
      <c r="Q534" t="str">
        <v>East</v>
      </c>
      <c r="R534" t="str">
        <v>Wheat</v>
      </c>
      <c r="S534" t="str">
        <v>Groceries</v>
      </c>
      <c r="T534">
        <v>4749.59</v>
      </c>
      <c r="U534" t="str">
        <v>Mark Swanson</v>
      </c>
      <c r="V534">
        <v>36099</v>
      </c>
      <c r="W534">
        <v>45579</v>
      </c>
      <c r="X534">
        <v>25.38</v>
      </c>
      <c r="Y534">
        <v>1205.4459419999998</v>
      </c>
      <c r="Z534">
        <v>3544.1440580000003</v>
      </c>
      <c r="AC534" t="str">
        <v>Jacket</v>
      </c>
      <c r="AD534">
        <v>1233.9516039999999</v>
      </c>
      <c r="AF534">
        <v>1730</v>
      </c>
      <c r="AG534" t="str">
        <v>Wardrobe</v>
      </c>
      <c r="AH534">
        <v>2499.935692</v>
      </c>
    </row>
    <row r="535" spans="1:34" x14ac:dyDescent="0.3">
      <c r="A535" s="1">
        <v>1533</v>
      </c>
      <c r="B535" s="2">
        <v>45442</v>
      </c>
      <c r="C535" s="1" t="s">
        <v>10</v>
      </c>
      <c r="D535" s="1" t="s">
        <v>44</v>
      </c>
      <c r="E535" s="1" t="s">
        <v>16</v>
      </c>
      <c r="F535" s="1">
        <v>342.76</v>
      </c>
      <c r="G535" s="1" t="s">
        <v>224</v>
      </c>
      <c r="H535" s="2">
        <v>35405</v>
      </c>
      <c r="I535" s="2">
        <v>45450</v>
      </c>
      <c r="J535" s="1">
        <v>4.42</v>
      </c>
      <c r="K535" s="4">
        <f t="shared" si="16"/>
        <v>15.149991999999997</v>
      </c>
      <c r="L535" s="4">
        <f t="shared" si="17"/>
        <v>327.61000799999999</v>
      </c>
      <c r="O535">
        <v>1733</v>
      </c>
      <c r="P535">
        <v>44153</v>
      </c>
      <c r="Q535" t="str">
        <v>East</v>
      </c>
      <c r="R535" t="str">
        <v>Wheat</v>
      </c>
      <c r="S535" t="str">
        <v>Groceries</v>
      </c>
      <c r="T535">
        <v>2900.73</v>
      </c>
      <c r="U535" t="str">
        <v>April Wilson</v>
      </c>
      <c r="V535">
        <v>23039</v>
      </c>
      <c r="W535">
        <v>44165</v>
      </c>
      <c r="X535">
        <v>29.58</v>
      </c>
      <c r="Y535">
        <v>858.035934</v>
      </c>
      <c r="Z535">
        <v>2042.694066</v>
      </c>
      <c r="AC535" t="str">
        <v>Wheat</v>
      </c>
      <c r="AD535">
        <v>3544.1440580000003</v>
      </c>
      <c r="AF535">
        <v>1731</v>
      </c>
      <c r="AG535" t="str">
        <v>Jacket</v>
      </c>
      <c r="AH535">
        <v>1233.9516039999999</v>
      </c>
    </row>
    <row r="536" spans="1:34" x14ac:dyDescent="0.3">
      <c r="A536" s="1">
        <v>1534</v>
      </c>
      <c r="B536" s="2">
        <v>45712</v>
      </c>
      <c r="C536" s="1" t="s">
        <v>26</v>
      </c>
      <c r="D536" s="1" t="s">
        <v>88</v>
      </c>
      <c r="E536" s="1" t="s">
        <v>16</v>
      </c>
      <c r="F536" s="1">
        <v>344.01</v>
      </c>
      <c r="G536" s="1" t="s">
        <v>156</v>
      </c>
      <c r="H536" s="2">
        <v>38693</v>
      </c>
      <c r="I536" s="2">
        <v>45713</v>
      </c>
      <c r="J536" s="1">
        <v>49.39</v>
      </c>
      <c r="K536" s="4">
        <f t="shared" si="16"/>
        <v>169.90653900000001</v>
      </c>
      <c r="L536" s="4">
        <f t="shared" si="17"/>
        <v>174.10346099999998</v>
      </c>
      <c r="O536">
        <v>1734</v>
      </c>
      <c r="P536">
        <v>45350</v>
      </c>
      <c r="Q536" t="str">
        <v>North</v>
      </c>
      <c r="R536" t="str">
        <v>Cap</v>
      </c>
      <c r="S536" t="str">
        <v>Clothing</v>
      </c>
      <c r="T536">
        <v>4400.9399999999996</v>
      </c>
      <c r="U536" t="str">
        <v>Garrett Delgado</v>
      </c>
      <c r="V536">
        <v>38510</v>
      </c>
      <c r="W536">
        <v>45359</v>
      </c>
      <c r="X536">
        <v>45.6</v>
      </c>
      <c r="Y536">
        <v>2006.82864</v>
      </c>
      <c r="Z536">
        <v>2394.1113599999999</v>
      </c>
      <c r="AC536" t="str">
        <v>Wheat</v>
      </c>
      <c r="AD536">
        <v>2042.694066</v>
      </c>
      <c r="AF536">
        <v>1732</v>
      </c>
      <c r="AG536" t="str">
        <v>Wheat</v>
      </c>
      <c r="AH536">
        <v>3544.1440580000003</v>
      </c>
    </row>
    <row r="537" spans="1:34" x14ac:dyDescent="0.3">
      <c r="A537" s="1">
        <v>1535</v>
      </c>
      <c r="B537" s="2">
        <v>45849</v>
      </c>
      <c r="C537" s="1" t="s">
        <v>26</v>
      </c>
      <c r="D537" s="1" t="s">
        <v>15</v>
      </c>
      <c r="E537" s="1" t="s">
        <v>16</v>
      </c>
      <c r="F537" s="1">
        <v>2039.1</v>
      </c>
      <c r="G537" s="1" t="s">
        <v>264</v>
      </c>
      <c r="H537" s="2">
        <v>30232</v>
      </c>
      <c r="I537" s="2">
        <v>45851</v>
      </c>
      <c r="J537" s="1">
        <v>27.95</v>
      </c>
      <c r="K537" s="4">
        <f t="shared" si="16"/>
        <v>569.92844999999988</v>
      </c>
      <c r="L537" s="4">
        <f t="shared" si="17"/>
        <v>1469.17155</v>
      </c>
      <c r="O537">
        <v>1735</v>
      </c>
      <c r="P537">
        <v>44139</v>
      </c>
      <c r="Q537" t="str">
        <v>West</v>
      </c>
      <c r="R537" t="str">
        <v>Milk</v>
      </c>
      <c r="S537" t="str">
        <v>Groceries</v>
      </c>
      <c r="T537">
        <v>4781.58</v>
      </c>
      <c r="U537" t="str">
        <v>Elizabeth Lee MD</v>
      </c>
      <c r="V537">
        <v>25948</v>
      </c>
      <c r="W537">
        <v>44145</v>
      </c>
      <c r="X537">
        <v>23.78</v>
      </c>
      <c r="Y537">
        <v>1137.059724</v>
      </c>
      <c r="Z537">
        <v>3644.5202760000002</v>
      </c>
      <c r="AC537" t="str">
        <v>Cap</v>
      </c>
      <c r="AD537">
        <v>2394.1113599999999</v>
      </c>
      <c r="AF537">
        <v>1733</v>
      </c>
      <c r="AG537" t="str">
        <v>Wheat</v>
      </c>
      <c r="AH537">
        <v>2042.694066</v>
      </c>
    </row>
    <row r="538" spans="1:34" x14ac:dyDescent="0.3">
      <c r="A538" s="1">
        <v>1536</v>
      </c>
      <c r="B538" s="2">
        <v>44997</v>
      </c>
      <c r="C538" s="1" t="s">
        <v>10</v>
      </c>
      <c r="D538" s="1" t="s">
        <v>69</v>
      </c>
      <c r="E538" s="1" t="s">
        <v>31</v>
      </c>
      <c r="F538" s="1">
        <v>3137.31</v>
      </c>
      <c r="G538" s="1" t="s">
        <v>174</v>
      </c>
      <c r="H538" s="2">
        <v>38118</v>
      </c>
      <c r="I538" s="2">
        <v>45008</v>
      </c>
      <c r="J538" s="1">
        <v>43.28</v>
      </c>
      <c r="K538" s="4">
        <f t="shared" si="16"/>
        <v>1357.8277680000001</v>
      </c>
      <c r="L538" s="4">
        <f t="shared" si="17"/>
        <v>1779.4822319999998</v>
      </c>
      <c r="O538">
        <v>1736</v>
      </c>
      <c r="P538">
        <v>45336</v>
      </c>
      <c r="Q538" t="str">
        <v>North</v>
      </c>
      <c r="R538" t="str">
        <v>Headphones</v>
      </c>
      <c r="S538" t="str">
        <v>Electronics</v>
      </c>
      <c r="T538">
        <v>4708.16</v>
      </c>
      <c r="U538" t="str">
        <v>Justin Martinez</v>
      </c>
      <c r="V538">
        <v>28555</v>
      </c>
      <c r="W538">
        <v>45347</v>
      </c>
      <c r="X538">
        <v>20.18</v>
      </c>
      <c r="Y538">
        <v>950.10668799999996</v>
      </c>
      <c r="Z538">
        <v>3758.053312</v>
      </c>
      <c r="AC538" t="str">
        <v>Milk</v>
      </c>
      <c r="AD538">
        <v>3644.5202760000002</v>
      </c>
      <c r="AF538">
        <v>1734</v>
      </c>
      <c r="AG538" t="str">
        <v>Cap</v>
      </c>
      <c r="AH538">
        <v>2394.1113599999999</v>
      </c>
    </row>
    <row r="539" spans="1:34" x14ac:dyDescent="0.3">
      <c r="A539" s="1">
        <v>1537</v>
      </c>
      <c r="B539" s="2">
        <v>45670</v>
      </c>
      <c r="C539" s="1" t="s">
        <v>21</v>
      </c>
      <c r="D539" s="1" t="s">
        <v>22</v>
      </c>
      <c r="E539" s="1" t="s">
        <v>19</v>
      </c>
      <c r="F539" s="1">
        <v>4731.1400000000003</v>
      </c>
      <c r="G539" s="1" t="s">
        <v>292</v>
      </c>
      <c r="H539" s="2">
        <v>27118</v>
      </c>
      <c r="I539" s="2">
        <v>45683</v>
      </c>
      <c r="J539" s="1">
        <v>4</v>
      </c>
      <c r="K539" s="4">
        <f t="shared" si="16"/>
        <v>189.24560000000002</v>
      </c>
      <c r="L539" s="4">
        <f t="shared" si="17"/>
        <v>4541.8944000000001</v>
      </c>
      <c r="O539">
        <v>1737</v>
      </c>
      <c r="P539">
        <v>44907</v>
      </c>
      <c r="Q539" t="str">
        <v>North</v>
      </c>
      <c r="R539" t="str">
        <v>Wheat</v>
      </c>
      <c r="S539" t="str">
        <v>Groceries</v>
      </c>
      <c r="T539">
        <v>3127.56</v>
      </c>
      <c r="U539" t="str">
        <v>Christopher Campbell</v>
      </c>
      <c r="V539">
        <v>26082</v>
      </c>
      <c r="W539">
        <v>44920</v>
      </c>
      <c r="X539">
        <v>11.71</v>
      </c>
      <c r="Y539">
        <v>366.23727600000001</v>
      </c>
      <c r="Z539">
        <v>2761.3227240000001</v>
      </c>
      <c r="AC539" t="str">
        <v>Headphones</v>
      </c>
      <c r="AD539">
        <v>3758.053312</v>
      </c>
      <c r="AF539">
        <v>1735</v>
      </c>
      <c r="AG539" t="str">
        <v>Milk</v>
      </c>
      <c r="AH539">
        <v>3644.5202760000002</v>
      </c>
    </row>
    <row r="540" spans="1:34" x14ac:dyDescent="0.3">
      <c r="A540" s="1">
        <v>1538</v>
      </c>
      <c r="B540" s="2">
        <v>45003</v>
      </c>
      <c r="C540" s="1" t="s">
        <v>35</v>
      </c>
      <c r="D540" s="1" t="s">
        <v>36</v>
      </c>
      <c r="E540" s="1" t="s">
        <v>28</v>
      </c>
      <c r="F540" s="1">
        <v>4083.61</v>
      </c>
      <c r="G540" s="1" t="s">
        <v>293</v>
      </c>
      <c r="H540" s="2">
        <v>26379</v>
      </c>
      <c r="I540" s="2">
        <v>45017</v>
      </c>
      <c r="J540" s="1">
        <v>7.1</v>
      </c>
      <c r="K540" s="4">
        <f t="shared" si="16"/>
        <v>289.93630999999999</v>
      </c>
      <c r="L540" s="4">
        <f t="shared" si="17"/>
        <v>3793.6736900000001</v>
      </c>
      <c r="O540">
        <v>1739</v>
      </c>
      <c r="P540">
        <v>45610</v>
      </c>
      <c r="Q540" t="str">
        <v>Central</v>
      </c>
      <c r="R540" t="str">
        <v>T-Shirt</v>
      </c>
      <c r="S540" t="str">
        <v>Clothing</v>
      </c>
      <c r="T540">
        <v>4516.29</v>
      </c>
      <c r="U540" t="str">
        <v>Nathaniel Gonzalez</v>
      </c>
      <c r="V540">
        <v>31082</v>
      </c>
      <c r="W540">
        <v>45613</v>
      </c>
      <c r="X540">
        <v>25.53</v>
      </c>
      <c r="Y540">
        <v>1153.0088370000001</v>
      </c>
      <c r="Z540">
        <v>3363.2811629999997</v>
      </c>
      <c r="AC540" t="str">
        <v>Wheat</v>
      </c>
      <c r="AD540">
        <v>2761.3227240000001</v>
      </c>
      <c r="AF540">
        <v>1736</v>
      </c>
      <c r="AG540" t="str">
        <v>Headphones</v>
      </c>
      <c r="AH540">
        <v>3758.053312</v>
      </c>
    </row>
    <row r="541" spans="1:34" x14ac:dyDescent="0.3">
      <c r="A541" s="1">
        <v>1539</v>
      </c>
      <c r="B541" s="2">
        <v>44926</v>
      </c>
      <c r="C541" s="1" t="s">
        <v>21</v>
      </c>
      <c r="D541" s="1" t="s">
        <v>55</v>
      </c>
      <c r="E541" s="1" t="s">
        <v>31</v>
      </c>
      <c r="F541" s="1">
        <v>1595.77</v>
      </c>
      <c r="G541" s="1" t="s">
        <v>74</v>
      </c>
      <c r="H541" s="2">
        <v>31224</v>
      </c>
      <c r="I541" s="2">
        <v>44933</v>
      </c>
      <c r="J541" s="1">
        <v>47.83</v>
      </c>
      <c r="K541" s="4">
        <f t="shared" si="16"/>
        <v>763.25679100000002</v>
      </c>
      <c r="L541" s="4">
        <f t="shared" si="17"/>
        <v>832.51320899999996</v>
      </c>
      <c r="O541">
        <v>1740</v>
      </c>
      <c r="P541">
        <v>45856</v>
      </c>
      <c r="Q541" t="str">
        <v>West</v>
      </c>
      <c r="R541" t="str">
        <v>Tablet</v>
      </c>
      <c r="S541" t="str">
        <v>Electronics</v>
      </c>
      <c r="T541">
        <v>2521.89</v>
      </c>
      <c r="U541" t="str">
        <v>Holly Wolfe</v>
      </c>
      <c r="V541">
        <v>38934</v>
      </c>
      <c r="W541">
        <v>45864</v>
      </c>
      <c r="X541">
        <v>18.59</v>
      </c>
      <c r="Y541">
        <v>468.81935099999998</v>
      </c>
      <c r="Z541">
        <v>2053.0706489999998</v>
      </c>
      <c r="AC541" t="str">
        <v>T-Shirt</v>
      </c>
      <c r="AD541">
        <v>3363.2811629999997</v>
      </c>
      <c r="AF541">
        <v>1737</v>
      </c>
      <c r="AG541" t="str">
        <v>Wheat</v>
      </c>
      <c r="AH541">
        <v>2761.3227240000001</v>
      </c>
    </row>
    <row r="542" spans="1:34" x14ac:dyDescent="0.3">
      <c r="A542" s="1">
        <v>1540</v>
      </c>
      <c r="B542" s="2">
        <v>44137</v>
      </c>
      <c r="C542" s="1" t="s">
        <v>26</v>
      </c>
      <c r="D542" s="1" t="s">
        <v>36</v>
      </c>
      <c r="E542" s="1" t="s">
        <v>28</v>
      </c>
      <c r="F542" s="1">
        <v>2078.6</v>
      </c>
      <c r="G542" s="1" t="s">
        <v>294</v>
      </c>
      <c r="H542" s="2">
        <v>36037</v>
      </c>
      <c r="I542" s="2">
        <v>44149</v>
      </c>
      <c r="J542" s="1">
        <v>41.62</v>
      </c>
      <c r="K542" s="4">
        <f t="shared" si="16"/>
        <v>865.11331999999993</v>
      </c>
      <c r="L542" s="4">
        <f t="shared" si="17"/>
        <v>1213.48668</v>
      </c>
      <c r="O542">
        <v>1742</v>
      </c>
      <c r="P542">
        <v>45859</v>
      </c>
      <c r="Q542" t="str">
        <v>East</v>
      </c>
      <c r="R542" t="str">
        <v>Tennis Racket</v>
      </c>
      <c r="S542" t="str">
        <v>Sports</v>
      </c>
      <c r="T542">
        <v>3946.68</v>
      </c>
      <c r="U542" t="str">
        <v>James Stevens</v>
      </c>
      <c r="V542">
        <v>30778</v>
      </c>
      <c r="W542">
        <v>45865</v>
      </c>
      <c r="X542">
        <v>40.43</v>
      </c>
      <c r="Y542">
        <v>1595.6427239999998</v>
      </c>
      <c r="Z542">
        <v>2351.037276</v>
      </c>
      <c r="AC542" t="str">
        <v>Tablet</v>
      </c>
      <c r="AD542">
        <v>2053.0706489999998</v>
      </c>
      <c r="AF542">
        <v>1739</v>
      </c>
      <c r="AG542" t="str">
        <v>T-Shirt</v>
      </c>
      <c r="AH542">
        <v>3363.2811629999997</v>
      </c>
    </row>
    <row r="543" spans="1:34" x14ac:dyDescent="0.3">
      <c r="A543" s="1">
        <v>1541</v>
      </c>
      <c r="B543" s="2">
        <v>45380</v>
      </c>
      <c r="C543" s="1" t="s">
        <v>21</v>
      </c>
      <c r="D543" s="1" t="s">
        <v>40</v>
      </c>
      <c r="E543" s="1" t="s">
        <v>16</v>
      </c>
      <c r="F543" s="1">
        <v>3053.54</v>
      </c>
      <c r="G543" s="1" t="s">
        <v>101</v>
      </c>
      <c r="H543" s="2">
        <v>31331</v>
      </c>
      <c r="I543" s="2">
        <v>45386</v>
      </c>
      <c r="J543" s="1">
        <v>0.66</v>
      </c>
      <c r="K543" s="4">
        <f t="shared" si="16"/>
        <v>20.153364</v>
      </c>
      <c r="L543" s="4">
        <f t="shared" si="17"/>
        <v>3033.3866360000002</v>
      </c>
      <c r="O543">
        <v>1743</v>
      </c>
      <c r="P543">
        <v>44234</v>
      </c>
      <c r="Q543" t="str">
        <v>East</v>
      </c>
      <c r="R543" t="str">
        <v>Camera</v>
      </c>
      <c r="S543" t="str">
        <v>Electronics</v>
      </c>
      <c r="T543">
        <v>2930.76</v>
      </c>
      <c r="U543" t="str">
        <v>Justin Robinson</v>
      </c>
      <c r="V543">
        <v>35629</v>
      </c>
      <c r="W543">
        <v>44247</v>
      </c>
      <c r="X543">
        <v>29.79</v>
      </c>
      <c r="Y543">
        <v>873.0734040000001</v>
      </c>
      <c r="Z543">
        <v>2057.686596</v>
      </c>
      <c r="AC543" t="str">
        <v>Tennis Racket</v>
      </c>
      <c r="AD543">
        <v>2351.037276</v>
      </c>
      <c r="AF543">
        <v>1740</v>
      </c>
      <c r="AG543" t="str">
        <v>Tablet</v>
      </c>
      <c r="AH543">
        <v>2053.0706489999998</v>
      </c>
    </row>
    <row r="544" spans="1:34" x14ac:dyDescent="0.3">
      <c r="A544" s="1">
        <v>1542</v>
      </c>
      <c r="B544" s="2">
        <v>44107</v>
      </c>
      <c r="C544" s="1" t="s">
        <v>35</v>
      </c>
      <c r="D544" s="1" t="s">
        <v>55</v>
      </c>
      <c r="E544" s="1" t="s">
        <v>31</v>
      </c>
      <c r="F544" s="1">
        <v>3842.31</v>
      </c>
      <c r="G544" s="1" t="s">
        <v>275</v>
      </c>
      <c r="H544" s="2">
        <v>38510</v>
      </c>
      <c r="I544" s="2">
        <v>44115</v>
      </c>
      <c r="J544" s="1">
        <v>7.26</v>
      </c>
      <c r="K544" s="4">
        <f t="shared" si="16"/>
        <v>278.951706</v>
      </c>
      <c r="L544" s="4">
        <f t="shared" si="17"/>
        <v>3563.3582940000001</v>
      </c>
      <c r="O544">
        <v>1745</v>
      </c>
      <c r="P544">
        <v>45477</v>
      </c>
      <c r="Q544" t="str">
        <v>West</v>
      </c>
      <c r="R544" t="str">
        <v>Laptop</v>
      </c>
      <c r="S544" t="str">
        <v>Electronics</v>
      </c>
      <c r="T544">
        <v>1967.8</v>
      </c>
      <c r="U544" t="str">
        <v>William Bell</v>
      </c>
      <c r="V544">
        <v>31569</v>
      </c>
      <c r="W544">
        <v>45486</v>
      </c>
      <c r="X544">
        <v>32.020000000000003</v>
      </c>
      <c r="Y544">
        <v>630.08956000000012</v>
      </c>
      <c r="Z544">
        <v>1337.7104399999998</v>
      </c>
      <c r="AC544" t="str">
        <v>Camera</v>
      </c>
      <c r="AD544">
        <v>2057.686596</v>
      </c>
      <c r="AF544">
        <v>1742</v>
      </c>
      <c r="AG544" t="str">
        <v>Tennis Racket</v>
      </c>
      <c r="AH544">
        <v>2351.037276</v>
      </c>
    </row>
    <row r="545" spans="1:34" x14ac:dyDescent="0.3">
      <c r="A545" s="1">
        <v>1543</v>
      </c>
      <c r="B545" s="2">
        <v>45180</v>
      </c>
      <c r="C545" s="1" t="s">
        <v>26</v>
      </c>
      <c r="D545" s="1" t="s">
        <v>33</v>
      </c>
      <c r="E545" s="1" t="s">
        <v>16</v>
      </c>
      <c r="F545" s="1">
        <v>3234.76</v>
      </c>
      <c r="G545" s="1" t="s">
        <v>260</v>
      </c>
      <c r="H545" s="2">
        <v>38628</v>
      </c>
      <c r="I545" s="2">
        <v>45184</v>
      </c>
      <c r="J545" s="1">
        <v>43.21</v>
      </c>
      <c r="K545" s="4">
        <f t="shared" si="16"/>
        <v>1397.7397960000001</v>
      </c>
      <c r="L545" s="4">
        <f t="shared" si="17"/>
        <v>1837.0202040000001</v>
      </c>
      <c r="O545">
        <v>1747</v>
      </c>
      <c r="P545">
        <v>45233</v>
      </c>
      <c r="Q545" t="str">
        <v>South</v>
      </c>
      <c r="R545" t="str">
        <v>Headphones</v>
      </c>
      <c r="S545" t="str">
        <v>Electronics</v>
      </c>
      <c r="T545">
        <v>1925.73</v>
      </c>
      <c r="U545" t="str">
        <v>Pamela Randall</v>
      </c>
      <c r="V545">
        <v>30356</v>
      </c>
      <c r="W545">
        <v>45239</v>
      </c>
      <c r="X545">
        <v>21.89</v>
      </c>
      <c r="Y545">
        <v>421.54229700000002</v>
      </c>
      <c r="Z545">
        <v>1504.1877030000001</v>
      </c>
      <c r="AC545" t="str">
        <v>Laptop</v>
      </c>
      <c r="AD545">
        <v>1337.7104399999998</v>
      </c>
      <c r="AF545">
        <v>1743</v>
      </c>
      <c r="AG545" t="str">
        <v>Camera</v>
      </c>
      <c r="AH545">
        <v>2057.686596</v>
      </c>
    </row>
    <row r="546" spans="1:34" x14ac:dyDescent="0.3">
      <c r="A546" s="1">
        <v>1544</v>
      </c>
      <c r="B546" s="2">
        <v>45705</v>
      </c>
      <c r="C546" s="1" t="s">
        <v>35</v>
      </c>
      <c r="D546" s="1" t="s">
        <v>24</v>
      </c>
      <c r="E546" s="1" t="s">
        <v>19</v>
      </c>
      <c r="F546" s="1">
        <v>741.45</v>
      </c>
      <c r="G546" s="1" t="s">
        <v>246</v>
      </c>
      <c r="H546" s="2">
        <v>25815</v>
      </c>
      <c r="I546" s="2">
        <v>45711</v>
      </c>
      <c r="J546" s="1">
        <v>42.1</v>
      </c>
      <c r="K546" s="4">
        <f t="shared" si="16"/>
        <v>312.15045000000003</v>
      </c>
      <c r="L546" s="4">
        <f t="shared" si="17"/>
        <v>429.29955000000001</v>
      </c>
      <c r="O546">
        <v>1748</v>
      </c>
      <c r="P546">
        <v>45877</v>
      </c>
      <c r="Q546" t="str">
        <v>East</v>
      </c>
      <c r="R546" t="str">
        <v>Smartphone</v>
      </c>
      <c r="S546" t="str">
        <v>Electronics</v>
      </c>
      <c r="T546">
        <v>4083.89</v>
      </c>
      <c r="U546" t="str">
        <v>Robert Edwards</v>
      </c>
      <c r="V546">
        <v>32330</v>
      </c>
      <c r="W546">
        <v>45879</v>
      </c>
      <c r="X546">
        <v>38.56</v>
      </c>
      <c r="Y546">
        <v>1574.7479839999999</v>
      </c>
      <c r="Z546">
        <v>2509.1420159999998</v>
      </c>
      <c r="AC546" t="str">
        <v>Headphones</v>
      </c>
      <c r="AD546">
        <v>1504.1877030000001</v>
      </c>
      <c r="AF546">
        <v>1745</v>
      </c>
      <c r="AG546" t="str">
        <v>Laptop</v>
      </c>
      <c r="AH546">
        <v>1337.7104399999998</v>
      </c>
    </row>
    <row r="547" spans="1:34" x14ac:dyDescent="0.3">
      <c r="A547" s="1">
        <v>1545</v>
      </c>
      <c r="B547" s="2">
        <v>44914</v>
      </c>
      <c r="C547" s="1" t="s">
        <v>10</v>
      </c>
      <c r="D547" s="1" t="s">
        <v>15</v>
      </c>
      <c r="E547" s="1" t="s">
        <v>16</v>
      </c>
      <c r="F547" s="1">
        <v>758.42</v>
      </c>
      <c r="G547" s="1" t="s">
        <v>268</v>
      </c>
      <c r="H547" s="2">
        <v>25103</v>
      </c>
      <c r="I547" s="2">
        <v>44918</v>
      </c>
      <c r="J547" s="1">
        <v>29.58</v>
      </c>
      <c r="K547" s="4">
        <f t="shared" si="16"/>
        <v>224.34063599999999</v>
      </c>
      <c r="L547" s="4">
        <f t="shared" si="17"/>
        <v>534.07936399999994</v>
      </c>
      <c r="O547">
        <v>1749</v>
      </c>
      <c r="P547">
        <v>45202</v>
      </c>
      <c r="Q547" t="str">
        <v>East</v>
      </c>
      <c r="R547" t="str">
        <v>Cap</v>
      </c>
      <c r="S547" t="str">
        <v>Clothing</v>
      </c>
      <c r="T547">
        <v>3999.39</v>
      </c>
      <c r="U547" t="str">
        <v>Andrew Weaver</v>
      </c>
      <c r="V547">
        <v>33394</v>
      </c>
      <c r="W547">
        <v>45207</v>
      </c>
      <c r="X547">
        <v>48.78</v>
      </c>
      <c r="Y547">
        <v>1950.9024420000001</v>
      </c>
      <c r="Z547">
        <v>2048.4875579999998</v>
      </c>
      <c r="AC547" t="str">
        <v>Smartphone</v>
      </c>
      <c r="AD547">
        <v>2509.1420159999998</v>
      </c>
      <c r="AF547">
        <v>1747</v>
      </c>
      <c r="AG547" t="str">
        <v>Headphones</v>
      </c>
      <c r="AH547">
        <v>1504.1877030000001</v>
      </c>
    </row>
    <row r="548" spans="1:34" x14ac:dyDescent="0.3">
      <c r="A548" s="1">
        <v>1546</v>
      </c>
      <c r="B548" s="2">
        <v>45115</v>
      </c>
      <c r="C548" s="1" t="s">
        <v>10</v>
      </c>
      <c r="D548" s="1" t="s">
        <v>65</v>
      </c>
      <c r="E548" s="1" t="s">
        <v>19</v>
      </c>
      <c r="F548" s="1">
        <v>2231.37</v>
      </c>
      <c r="G548" s="1" t="s">
        <v>43</v>
      </c>
      <c r="H548" s="2">
        <v>30054</v>
      </c>
      <c r="I548" s="2">
        <v>45119</v>
      </c>
      <c r="J548" s="1">
        <v>27.76</v>
      </c>
      <c r="K548" s="4">
        <f t="shared" si="16"/>
        <v>619.42831200000001</v>
      </c>
      <c r="L548" s="4">
        <f t="shared" si="17"/>
        <v>1611.9416879999999</v>
      </c>
      <c r="O548">
        <v>1750</v>
      </c>
      <c r="P548">
        <v>44989</v>
      </c>
      <c r="Q548" t="str">
        <v>South</v>
      </c>
      <c r="R548" t="str">
        <v>Chair</v>
      </c>
      <c r="S548" t="str">
        <v>Furniture</v>
      </c>
      <c r="T548">
        <v>1126.92</v>
      </c>
      <c r="U548" t="str">
        <v>Lisa Clark</v>
      </c>
      <c r="V548">
        <v>27879</v>
      </c>
      <c r="W548">
        <v>44990</v>
      </c>
      <c r="X548">
        <v>7.35</v>
      </c>
      <c r="Y548">
        <v>82.828620000000001</v>
      </c>
      <c r="Z548">
        <v>1044.0913800000001</v>
      </c>
      <c r="AC548" t="str">
        <v>Cap</v>
      </c>
      <c r="AD548">
        <v>2048.4875579999998</v>
      </c>
      <c r="AF548">
        <v>1748</v>
      </c>
      <c r="AG548" t="str">
        <v>Smartphone</v>
      </c>
      <c r="AH548">
        <v>2509.1420159999998</v>
      </c>
    </row>
    <row r="549" spans="1:34" x14ac:dyDescent="0.3">
      <c r="A549" s="1">
        <v>1547</v>
      </c>
      <c r="B549" s="2">
        <v>44852</v>
      </c>
      <c r="C549" s="1" t="s">
        <v>21</v>
      </c>
      <c r="D549" s="1" t="s">
        <v>49</v>
      </c>
      <c r="E549" s="1" t="s">
        <v>12</v>
      </c>
      <c r="F549" s="1">
        <v>3146.45</v>
      </c>
      <c r="G549" s="1" t="s">
        <v>260</v>
      </c>
      <c r="H549" s="2">
        <v>38628</v>
      </c>
      <c r="I549" s="2">
        <v>44856</v>
      </c>
      <c r="J549" s="1">
        <v>22.43</v>
      </c>
      <c r="K549" s="4">
        <f t="shared" si="16"/>
        <v>705.74873500000001</v>
      </c>
      <c r="L549" s="4">
        <f t="shared" si="17"/>
        <v>2440.7012649999997</v>
      </c>
      <c r="O549">
        <v>1751</v>
      </c>
      <c r="P549">
        <v>44450</v>
      </c>
      <c r="Q549" t="str">
        <v>West</v>
      </c>
      <c r="R549" t="str">
        <v>Tablet</v>
      </c>
      <c r="S549" t="str">
        <v>Electronics</v>
      </c>
      <c r="T549">
        <v>2959.72</v>
      </c>
      <c r="U549" t="str">
        <v>Jesse Green</v>
      </c>
      <c r="V549">
        <v>36087</v>
      </c>
      <c r="W549">
        <v>44453</v>
      </c>
      <c r="X549">
        <v>13.94</v>
      </c>
      <c r="Y549">
        <v>412.58496799999995</v>
      </c>
      <c r="Z549">
        <v>2547.1350319999997</v>
      </c>
      <c r="AC549" t="str">
        <v>Chair</v>
      </c>
      <c r="AD549">
        <v>1044.0913800000001</v>
      </c>
      <c r="AF549">
        <v>1749</v>
      </c>
      <c r="AG549" t="str">
        <v>Cap</v>
      </c>
      <c r="AH549">
        <v>2048.4875579999998</v>
      </c>
    </row>
    <row r="550" spans="1:34" x14ac:dyDescent="0.3">
      <c r="A550" s="1">
        <v>1548</v>
      </c>
      <c r="B550" s="2">
        <v>45135</v>
      </c>
      <c r="C550" s="1" t="s">
        <v>10</v>
      </c>
      <c r="D550" s="1" t="s">
        <v>47</v>
      </c>
      <c r="E550" s="1" t="s">
        <v>12</v>
      </c>
      <c r="F550" s="1">
        <v>2867.29</v>
      </c>
      <c r="G550" s="1" t="s">
        <v>238</v>
      </c>
      <c r="H550" s="2">
        <v>31880</v>
      </c>
      <c r="I550" s="2">
        <v>45144</v>
      </c>
      <c r="J550" s="1">
        <v>27.85</v>
      </c>
      <c r="K550" s="4">
        <f t="shared" si="16"/>
        <v>798.54026500000009</v>
      </c>
      <c r="L550" s="4">
        <f t="shared" si="17"/>
        <v>2068.7497349999999</v>
      </c>
      <c r="O550">
        <v>1752</v>
      </c>
      <c r="P550">
        <v>44174</v>
      </c>
      <c r="Q550" t="str">
        <v>West</v>
      </c>
      <c r="R550" t="str">
        <v>Cap</v>
      </c>
      <c r="S550" t="str">
        <v>Clothing</v>
      </c>
      <c r="T550">
        <v>3761.77</v>
      </c>
      <c r="U550" t="str">
        <v>Kurt Cabrera</v>
      </c>
      <c r="V550">
        <v>28065</v>
      </c>
      <c r="W550">
        <v>44188</v>
      </c>
      <c r="X550">
        <v>24.9</v>
      </c>
      <c r="Y550">
        <v>936.68073000000004</v>
      </c>
      <c r="Z550">
        <v>2825.0892699999999</v>
      </c>
      <c r="AC550" t="str">
        <v>Tablet</v>
      </c>
      <c r="AD550">
        <v>2547.1350319999997</v>
      </c>
      <c r="AF550">
        <v>1750</v>
      </c>
      <c r="AG550" t="str">
        <v>Chair</v>
      </c>
      <c r="AH550">
        <v>1044.0913800000001</v>
      </c>
    </row>
    <row r="551" spans="1:34" x14ac:dyDescent="0.3">
      <c r="A551" s="1">
        <v>1549</v>
      </c>
      <c r="B551" s="2">
        <v>45554</v>
      </c>
      <c r="C551" s="1" t="s">
        <v>10</v>
      </c>
      <c r="D551" s="1" t="s">
        <v>69</v>
      </c>
      <c r="E551" s="1" t="s">
        <v>31</v>
      </c>
      <c r="F551" s="1">
        <v>3780.34</v>
      </c>
      <c r="G551" s="1" t="s">
        <v>80</v>
      </c>
      <c r="H551" s="2">
        <v>31578</v>
      </c>
      <c r="I551" s="2">
        <v>45562</v>
      </c>
      <c r="J551" s="1">
        <v>24.49</v>
      </c>
      <c r="K551" s="4">
        <f t="shared" si="16"/>
        <v>925.80526599999996</v>
      </c>
      <c r="L551" s="4">
        <f t="shared" si="17"/>
        <v>2854.5347340000003</v>
      </c>
      <c r="O551">
        <v>1753</v>
      </c>
      <c r="P551">
        <v>44883</v>
      </c>
      <c r="Q551" t="str">
        <v>South</v>
      </c>
      <c r="R551" t="str">
        <v>Shoes</v>
      </c>
      <c r="S551" t="str">
        <v>Clothing</v>
      </c>
      <c r="T551">
        <v>4614.51</v>
      </c>
      <c r="U551" t="str">
        <v>Nicole Cantu</v>
      </c>
      <c r="V551">
        <v>31261</v>
      </c>
      <c r="W551">
        <v>44896</v>
      </c>
      <c r="X551">
        <v>34.75</v>
      </c>
      <c r="Y551">
        <v>1603.5422249999999</v>
      </c>
      <c r="Z551">
        <v>3010.9677750000001</v>
      </c>
      <c r="AC551" t="str">
        <v>Cap</v>
      </c>
      <c r="AD551">
        <v>2825.0892699999999</v>
      </c>
      <c r="AF551">
        <v>1751</v>
      </c>
      <c r="AG551" t="str">
        <v>Tablet</v>
      </c>
      <c r="AH551">
        <v>2547.1350319999997</v>
      </c>
    </row>
    <row r="552" spans="1:34" x14ac:dyDescent="0.3">
      <c r="A552" s="1">
        <v>1550</v>
      </c>
      <c r="B552" s="2">
        <v>44477</v>
      </c>
      <c r="C552" s="1" t="s">
        <v>21</v>
      </c>
      <c r="D552" s="1" t="s">
        <v>11</v>
      </c>
      <c r="E552" s="1" t="s">
        <v>12</v>
      </c>
      <c r="F552" s="1">
        <v>710.65</v>
      </c>
      <c r="G552" s="1" t="s">
        <v>151</v>
      </c>
      <c r="H552" s="2">
        <v>34427</v>
      </c>
      <c r="I552" s="2">
        <v>44489</v>
      </c>
      <c r="J552" s="1">
        <v>37.58</v>
      </c>
      <c r="K552" s="4">
        <f t="shared" si="16"/>
        <v>267.06226999999996</v>
      </c>
      <c r="L552" s="4">
        <f t="shared" si="17"/>
        <v>443.58773000000002</v>
      </c>
      <c r="O552">
        <v>1754</v>
      </c>
      <c r="P552">
        <v>45139</v>
      </c>
      <c r="Q552" t="str">
        <v>North</v>
      </c>
      <c r="R552" t="str">
        <v>Rice</v>
      </c>
      <c r="S552" t="str">
        <v>Groceries</v>
      </c>
      <c r="T552">
        <v>3877.12</v>
      </c>
      <c r="U552" t="str">
        <v>David Raymond</v>
      </c>
      <c r="V552">
        <v>32196</v>
      </c>
      <c r="W552">
        <v>45145</v>
      </c>
      <c r="X552">
        <v>34.380000000000003</v>
      </c>
      <c r="Y552">
        <v>1332.9538560000001</v>
      </c>
      <c r="Z552">
        <v>2544.1661439999998</v>
      </c>
      <c r="AC552" t="str">
        <v>Shoes</v>
      </c>
      <c r="AD552">
        <v>3010.9677750000001</v>
      </c>
      <c r="AF552">
        <v>1752</v>
      </c>
      <c r="AG552" t="str">
        <v>Cap</v>
      </c>
      <c r="AH552">
        <v>2825.0892699999999</v>
      </c>
    </row>
    <row r="553" spans="1:34" x14ac:dyDescent="0.3">
      <c r="A553" s="1">
        <v>1551</v>
      </c>
      <c r="B553" s="2">
        <v>45270</v>
      </c>
      <c r="C553" s="1" t="s">
        <v>35</v>
      </c>
      <c r="D553" s="1" t="s">
        <v>24</v>
      </c>
      <c r="E553" s="1" t="s">
        <v>19</v>
      </c>
      <c r="F553" s="1">
        <v>2344.4299999999998</v>
      </c>
      <c r="G553" s="1" t="s">
        <v>135</v>
      </c>
      <c r="H553" s="2">
        <v>38018</v>
      </c>
      <c r="I553" s="2">
        <v>45273</v>
      </c>
      <c r="J553" s="1">
        <v>39.96</v>
      </c>
      <c r="K553" s="4">
        <f t="shared" si="16"/>
        <v>936.83422799999994</v>
      </c>
      <c r="L553" s="4">
        <f t="shared" si="17"/>
        <v>1407.5957719999999</v>
      </c>
      <c r="O553">
        <v>1755</v>
      </c>
      <c r="P553">
        <v>45562</v>
      </c>
      <c r="Q553" t="str">
        <v>North</v>
      </c>
      <c r="R553" t="str">
        <v>Shoes</v>
      </c>
      <c r="S553" t="str">
        <v>Sports</v>
      </c>
      <c r="T553">
        <v>3026.11</v>
      </c>
      <c r="U553" t="str">
        <v>Olivia Griffin</v>
      </c>
      <c r="V553">
        <v>29040</v>
      </c>
      <c r="W553">
        <v>45567</v>
      </c>
      <c r="X553">
        <v>16.989999999999998</v>
      </c>
      <c r="Y553">
        <v>514.13608899999997</v>
      </c>
      <c r="Z553">
        <v>2511.973911</v>
      </c>
      <c r="AC553" t="str">
        <v>Rice</v>
      </c>
      <c r="AD553">
        <v>2544.1661439999998</v>
      </c>
      <c r="AF553">
        <v>1753</v>
      </c>
      <c r="AG553" t="str">
        <v>Shoes</v>
      </c>
      <c r="AH553">
        <v>3010.9677750000001</v>
      </c>
    </row>
    <row r="554" spans="1:34" x14ac:dyDescent="0.3">
      <c r="A554" s="1">
        <v>1552</v>
      </c>
      <c r="B554" s="2">
        <v>45467</v>
      </c>
      <c r="C554" s="1" t="s">
        <v>35</v>
      </c>
      <c r="D554" s="1" t="s">
        <v>73</v>
      </c>
      <c r="E554" s="1" t="s">
        <v>28</v>
      </c>
      <c r="F554" s="1">
        <v>1735.59</v>
      </c>
      <c r="G554" s="1" t="s">
        <v>168</v>
      </c>
      <c r="H554" s="2">
        <v>37674</v>
      </c>
      <c r="I554" s="2">
        <v>45481</v>
      </c>
      <c r="J554" s="1">
        <v>35.090000000000003</v>
      </c>
      <c r="K554" s="4">
        <f t="shared" si="16"/>
        <v>609.01853100000005</v>
      </c>
      <c r="L554" s="4">
        <f t="shared" si="17"/>
        <v>1126.571469</v>
      </c>
      <c r="O554">
        <v>1756</v>
      </c>
      <c r="P554">
        <v>44801</v>
      </c>
      <c r="Q554" t="str">
        <v>South</v>
      </c>
      <c r="R554" t="str">
        <v>Chair</v>
      </c>
      <c r="S554" t="str">
        <v>Furniture</v>
      </c>
      <c r="T554">
        <v>3805.23</v>
      </c>
      <c r="U554" t="str">
        <v>Daniel Morris</v>
      </c>
      <c r="V554">
        <v>36068</v>
      </c>
      <c r="W554">
        <v>44803</v>
      </c>
      <c r="X554">
        <v>27.67</v>
      </c>
      <c r="Y554">
        <v>1052.9071409999999</v>
      </c>
      <c r="Z554">
        <v>2752.3228589999999</v>
      </c>
      <c r="AC554" t="str">
        <v>Shoes</v>
      </c>
      <c r="AD554">
        <v>2511.973911</v>
      </c>
      <c r="AF554">
        <v>1754</v>
      </c>
      <c r="AG554" t="str">
        <v>Rice</v>
      </c>
      <c r="AH554">
        <v>2544.1661439999998</v>
      </c>
    </row>
    <row r="555" spans="1:34" x14ac:dyDescent="0.3">
      <c r="A555" s="1">
        <v>1553</v>
      </c>
      <c r="B555" s="2">
        <v>44373</v>
      </c>
      <c r="C555" s="1" t="s">
        <v>26</v>
      </c>
      <c r="D555" s="1" t="s">
        <v>44</v>
      </c>
      <c r="E555" s="1" t="s">
        <v>16</v>
      </c>
      <c r="F555" s="1">
        <v>2287.91</v>
      </c>
      <c r="G555" s="1" t="s">
        <v>115</v>
      </c>
      <c r="H555" s="2">
        <v>29486</v>
      </c>
      <c r="I555" s="2">
        <v>44377</v>
      </c>
      <c r="J555" s="1">
        <v>26.95</v>
      </c>
      <c r="K555" s="4">
        <f t="shared" si="16"/>
        <v>616.59174499999995</v>
      </c>
      <c r="L555" s="4">
        <f t="shared" si="17"/>
        <v>1671.3182549999999</v>
      </c>
      <c r="O555">
        <v>1757</v>
      </c>
      <c r="P555">
        <v>45771</v>
      </c>
      <c r="Q555" t="str">
        <v>East</v>
      </c>
      <c r="R555" t="str">
        <v>Tennis Racket</v>
      </c>
      <c r="S555" t="str">
        <v>Sports</v>
      </c>
      <c r="T555">
        <v>2560.04</v>
      </c>
      <c r="U555" t="str">
        <v>Darren Coleman</v>
      </c>
      <c r="V555">
        <v>24719</v>
      </c>
      <c r="W555">
        <v>45784</v>
      </c>
      <c r="X555">
        <v>41.04</v>
      </c>
      <c r="Y555">
        <v>1050.640416</v>
      </c>
      <c r="Z555">
        <v>1509.399584</v>
      </c>
      <c r="AC555" t="str">
        <v>Chair</v>
      </c>
      <c r="AD555">
        <v>2752.3228589999999</v>
      </c>
      <c r="AF555">
        <v>1755</v>
      </c>
      <c r="AG555" t="str">
        <v>Shoes</v>
      </c>
      <c r="AH555">
        <v>2511.973911</v>
      </c>
    </row>
    <row r="556" spans="1:34" x14ac:dyDescent="0.3">
      <c r="A556" s="1">
        <v>1554</v>
      </c>
      <c r="B556" s="2">
        <v>44493</v>
      </c>
      <c r="C556" s="1" t="s">
        <v>21</v>
      </c>
      <c r="D556" s="1" t="s">
        <v>49</v>
      </c>
      <c r="E556" s="1" t="s">
        <v>12</v>
      </c>
      <c r="F556" s="1">
        <v>1994.35</v>
      </c>
      <c r="G556" s="1" t="s">
        <v>175</v>
      </c>
      <c r="H556" s="2">
        <v>36623</v>
      </c>
      <c r="I556" s="2">
        <v>44502</v>
      </c>
      <c r="J556" s="1">
        <v>19.809999999999999</v>
      </c>
      <c r="K556" s="4">
        <f t="shared" si="16"/>
        <v>395.080735</v>
      </c>
      <c r="L556" s="4">
        <f t="shared" si="17"/>
        <v>1599.2692649999999</v>
      </c>
      <c r="O556">
        <v>1758</v>
      </c>
      <c r="P556">
        <v>44125</v>
      </c>
      <c r="Q556" t="str">
        <v>North</v>
      </c>
      <c r="R556" t="str">
        <v>Jacket</v>
      </c>
      <c r="S556" t="str">
        <v>Clothing</v>
      </c>
      <c r="T556">
        <v>4390.6899999999996</v>
      </c>
      <c r="U556" t="str">
        <v>Diane Coleman</v>
      </c>
      <c r="V556">
        <v>26001</v>
      </c>
      <c r="W556">
        <v>44131</v>
      </c>
      <c r="X556">
        <v>2.13</v>
      </c>
      <c r="Y556">
        <v>93.521696999999989</v>
      </c>
      <c r="Z556">
        <v>4297.1683029999995</v>
      </c>
      <c r="AC556" t="str">
        <v>Tennis Racket</v>
      </c>
      <c r="AD556">
        <v>1509.399584</v>
      </c>
      <c r="AF556">
        <v>1756</v>
      </c>
      <c r="AG556" t="str">
        <v>Chair</v>
      </c>
      <c r="AH556">
        <v>2752.3228589999999</v>
      </c>
    </row>
    <row r="557" spans="1:34" x14ac:dyDescent="0.3">
      <c r="A557" s="1">
        <v>1555</v>
      </c>
      <c r="B557" s="2">
        <v>45185</v>
      </c>
      <c r="C557" s="1" t="s">
        <v>26</v>
      </c>
      <c r="D557" s="1" t="s">
        <v>53</v>
      </c>
      <c r="E557" s="1" t="s">
        <v>28</v>
      </c>
      <c r="F557" s="1">
        <v>1096.3800000000001</v>
      </c>
      <c r="G557" s="1" t="s">
        <v>87</v>
      </c>
      <c r="H557" s="2">
        <v>36012</v>
      </c>
      <c r="I557" s="2">
        <v>45195</v>
      </c>
      <c r="J557" s="1">
        <v>6.24</v>
      </c>
      <c r="K557" s="4">
        <f t="shared" si="16"/>
        <v>68.414112000000017</v>
      </c>
      <c r="L557" s="4">
        <f t="shared" si="17"/>
        <v>1027.9658880000002</v>
      </c>
      <c r="O557">
        <v>1759</v>
      </c>
      <c r="P557">
        <v>44527</v>
      </c>
      <c r="Q557" t="str">
        <v>South</v>
      </c>
      <c r="R557" t="str">
        <v>Football</v>
      </c>
      <c r="S557" t="str">
        <v>Sports</v>
      </c>
      <c r="T557">
        <v>2663.45</v>
      </c>
      <c r="U557" t="str">
        <v>Daniel Cabrera</v>
      </c>
      <c r="V557">
        <v>24033</v>
      </c>
      <c r="W557">
        <v>44539</v>
      </c>
      <c r="X557">
        <v>22.44</v>
      </c>
      <c r="Y557">
        <v>597.67818</v>
      </c>
      <c r="Z557">
        <v>2065.7718199999999</v>
      </c>
      <c r="AC557" t="str">
        <v>Jacket</v>
      </c>
      <c r="AD557">
        <v>4297.1683029999995</v>
      </c>
      <c r="AF557">
        <v>1757</v>
      </c>
      <c r="AG557" t="str">
        <v>Tennis Racket</v>
      </c>
      <c r="AH557">
        <v>1509.399584</v>
      </c>
    </row>
    <row r="558" spans="1:34" x14ac:dyDescent="0.3">
      <c r="A558" s="1">
        <v>1556</v>
      </c>
      <c r="B558" s="2">
        <v>44847</v>
      </c>
      <c r="C558" s="1" t="s">
        <v>14</v>
      </c>
      <c r="D558" s="1" t="s">
        <v>55</v>
      </c>
      <c r="E558" s="1" t="s">
        <v>31</v>
      </c>
      <c r="F558" s="1">
        <v>441.91</v>
      </c>
      <c r="G558" s="1" t="s">
        <v>271</v>
      </c>
      <c r="H558" s="2">
        <v>22796</v>
      </c>
      <c r="I558" s="2">
        <v>44861</v>
      </c>
      <c r="J558" s="1">
        <v>19.23</v>
      </c>
      <c r="K558" s="4">
        <f t="shared" si="16"/>
        <v>84.979292999999998</v>
      </c>
      <c r="L558" s="4">
        <f t="shared" si="17"/>
        <v>356.93070700000004</v>
      </c>
      <c r="O558">
        <v>1760</v>
      </c>
      <c r="P558">
        <v>45011</v>
      </c>
      <c r="Q558" t="str">
        <v>West</v>
      </c>
      <c r="R558" t="str">
        <v>Tennis Racket</v>
      </c>
      <c r="S558" t="str">
        <v>Sports</v>
      </c>
      <c r="T558">
        <v>4430.37</v>
      </c>
      <c r="U558" t="str">
        <v>Jerry Smith</v>
      </c>
      <c r="V558">
        <v>26027</v>
      </c>
      <c r="W558">
        <v>45025</v>
      </c>
      <c r="X558">
        <v>32.93</v>
      </c>
      <c r="Y558">
        <v>1458.9208409999999</v>
      </c>
      <c r="Z558">
        <v>2971.4491589999998</v>
      </c>
      <c r="AC558" t="str">
        <v>Football</v>
      </c>
      <c r="AD558">
        <v>2065.7718199999999</v>
      </c>
      <c r="AF558">
        <v>1758</v>
      </c>
      <c r="AG558" t="str">
        <v>Jacket</v>
      </c>
      <c r="AH558">
        <v>4297.1683029999995</v>
      </c>
    </row>
    <row r="559" spans="1:34" x14ac:dyDescent="0.3">
      <c r="A559" s="1">
        <v>1557</v>
      </c>
      <c r="B559" s="2">
        <v>45717</v>
      </c>
      <c r="C559" s="1" t="s">
        <v>14</v>
      </c>
      <c r="D559" s="1" t="s">
        <v>47</v>
      </c>
      <c r="E559" s="1" t="s">
        <v>12</v>
      </c>
      <c r="F559" s="1">
        <v>4784.0600000000004</v>
      </c>
      <c r="G559" s="1" t="s">
        <v>244</v>
      </c>
      <c r="H559" s="2">
        <v>30356</v>
      </c>
      <c r="I559" s="2">
        <v>45729</v>
      </c>
      <c r="J559" s="1">
        <v>23.56</v>
      </c>
      <c r="K559" s="4">
        <f t="shared" si="16"/>
        <v>1127.124536</v>
      </c>
      <c r="L559" s="4">
        <f t="shared" si="17"/>
        <v>3656.9354640000001</v>
      </c>
      <c r="O559">
        <v>1761</v>
      </c>
      <c r="P559">
        <v>44245</v>
      </c>
      <c r="Q559" t="str">
        <v>South</v>
      </c>
      <c r="R559" t="str">
        <v>Milk</v>
      </c>
      <c r="S559" t="str">
        <v>Groceries</v>
      </c>
      <c r="T559">
        <v>2568.0700000000002</v>
      </c>
      <c r="U559" t="str">
        <v>Kevin Coleman</v>
      </c>
      <c r="V559">
        <v>36590</v>
      </c>
      <c r="W559">
        <v>44254</v>
      </c>
      <c r="X559">
        <v>20.55</v>
      </c>
      <c r="Y559">
        <v>527.73838500000011</v>
      </c>
      <c r="Z559">
        <v>2040.3316150000001</v>
      </c>
      <c r="AC559" t="str">
        <v>Tennis Racket</v>
      </c>
      <c r="AD559">
        <v>2971.4491589999998</v>
      </c>
      <c r="AF559">
        <v>1759</v>
      </c>
      <c r="AG559" t="str">
        <v>Football</v>
      </c>
      <c r="AH559">
        <v>2065.7718199999999</v>
      </c>
    </row>
    <row r="560" spans="1:34" x14ac:dyDescent="0.3">
      <c r="A560" s="1">
        <v>1558</v>
      </c>
      <c r="B560" s="2">
        <v>44837</v>
      </c>
      <c r="C560" s="1" t="s">
        <v>21</v>
      </c>
      <c r="D560" s="1" t="s">
        <v>38</v>
      </c>
      <c r="E560" s="1" t="s">
        <v>28</v>
      </c>
      <c r="F560" s="1">
        <v>930.18</v>
      </c>
      <c r="G560" s="1" t="s">
        <v>97</v>
      </c>
      <c r="H560" s="2">
        <v>24706</v>
      </c>
      <c r="I560" s="2">
        <v>44842</v>
      </c>
      <c r="J560" s="1">
        <v>23.94</v>
      </c>
      <c r="K560" s="4">
        <f t="shared" si="16"/>
        <v>222.685092</v>
      </c>
      <c r="L560" s="4">
        <f t="shared" si="17"/>
        <v>707.4949079999999</v>
      </c>
      <c r="O560">
        <v>1764</v>
      </c>
      <c r="P560">
        <v>44839</v>
      </c>
      <c r="Q560" t="str">
        <v>North</v>
      </c>
      <c r="R560" t="str">
        <v>Oil</v>
      </c>
      <c r="S560" t="str">
        <v>Groceries</v>
      </c>
      <c r="T560">
        <v>1984.75</v>
      </c>
      <c r="U560" t="str">
        <v>Anthony Kim</v>
      </c>
      <c r="V560">
        <v>34205</v>
      </c>
      <c r="W560">
        <v>44852</v>
      </c>
      <c r="X560">
        <v>25.56</v>
      </c>
      <c r="Y560">
        <v>507.3021</v>
      </c>
      <c r="Z560">
        <v>1477.4479000000001</v>
      </c>
      <c r="AC560" t="str">
        <v>Milk</v>
      </c>
      <c r="AD560">
        <v>2040.3316150000001</v>
      </c>
      <c r="AF560">
        <v>1760</v>
      </c>
      <c r="AG560" t="str">
        <v>Tennis Racket</v>
      </c>
      <c r="AH560">
        <v>2971.4491589999998</v>
      </c>
    </row>
    <row r="561" spans="1:34" x14ac:dyDescent="0.3">
      <c r="A561" s="1">
        <v>1559</v>
      </c>
      <c r="B561" s="2">
        <v>44310</v>
      </c>
      <c r="C561" s="1" t="s">
        <v>26</v>
      </c>
      <c r="D561" s="1" t="s">
        <v>73</v>
      </c>
      <c r="E561" s="1" t="s">
        <v>28</v>
      </c>
      <c r="F561" s="1">
        <v>2973.2</v>
      </c>
      <c r="G561" s="1" t="s">
        <v>93</v>
      </c>
      <c r="H561" s="2">
        <v>33984</v>
      </c>
      <c r="I561" s="2">
        <v>44312</v>
      </c>
      <c r="J561" s="1">
        <v>43.08</v>
      </c>
      <c r="K561" s="4">
        <f t="shared" si="16"/>
        <v>1280.8545599999998</v>
      </c>
      <c r="L561" s="4">
        <f t="shared" si="17"/>
        <v>1692.3454400000001</v>
      </c>
      <c r="O561">
        <v>1766</v>
      </c>
      <c r="P561">
        <v>45791</v>
      </c>
      <c r="Q561" t="str">
        <v>South</v>
      </c>
      <c r="R561" t="str">
        <v>Shoes</v>
      </c>
      <c r="S561" t="str">
        <v>Sports</v>
      </c>
      <c r="T561">
        <v>2705.32</v>
      </c>
      <c r="U561" t="str">
        <v>Tony Rose</v>
      </c>
      <c r="V561">
        <v>31764</v>
      </c>
      <c r="W561">
        <v>45794</v>
      </c>
      <c r="X561">
        <v>33.67</v>
      </c>
      <c r="Y561">
        <v>910.88124400000004</v>
      </c>
      <c r="Z561">
        <v>1794.438756</v>
      </c>
      <c r="AC561" t="str">
        <v>Oil</v>
      </c>
      <c r="AD561">
        <v>1477.4479000000001</v>
      </c>
      <c r="AF561">
        <v>1761</v>
      </c>
      <c r="AG561" t="str">
        <v>Milk</v>
      </c>
      <c r="AH561">
        <v>2040.3316150000001</v>
      </c>
    </row>
    <row r="562" spans="1:34" x14ac:dyDescent="0.3">
      <c r="A562" s="1">
        <v>1560</v>
      </c>
      <c r="B562" s="2">
        <v>44451</v>
      </c>
      <c r="C562" s="1" t="s">
        <v>10</v>
      </c>
      <c r="D562" s="1" t="s">
        <v>65</v>
      </c>
      <c r="E562" s="1" t="s">
        <v>19</v>
      </c>
      <c r="F562" s="1">
        <v>1662.62</v>
      </c>
      <c r="G562" s="1" t="s">
        <v>295</v>
      </c>
      <c r="H562" s="2">
        <v>23369</v>
      </c>
      <c r="I562" s="2">
        <v>44454</v>
      </c>
      <c r="J562" s="1">
        <v>44.39</v>
      </c>
      <c r="K562" s="4">
        <f t="shared" si="16"/>
        <v>738.03701799999999</v>
      </c>
      <c r="L562" s="4">
        <f t="shared" si="17"/>
        <v>924.5829819999999</v>
      </c>
      <c r="O562">
        <v>1769</v>
      </c>
      <c r="P562">
        <v>45072</v>
      </c>
      <c r="Q562" t="str">
        <v>North</v>
      </c>
      <c r="R562" t="str">
        <v>Wardrobe</v>
      </c>
      <c r="S562" t="str">
        <v>Furniture</v>
      </c>
      <c r="T562">
        <v>2238.04</v>
      </c>
      <c r="U562" t="str">
        <v>Sylvia Landry</v>
      </c>
      <c r="V562">
        <v>35642</v>
      </c>
      <c r="W562">
        <v>45086</v>
      </c>
      <c r="X562">
        <v>11.51</v>
      </c>
      <c r="Y562">
        <v>257.59840399999996</v>
      </c>
      <c r="Z562">
        <v>1980.4415960000001</v>
      </c>
      <c r="AC562" t="str">
        <v>Shoes</v>
      </c>
      <c r="AD562">
        <v>1794.438756</v>
      </c>
      <c r="AF562">
        <v>1764</v>
      </c>
      <c r="AG562" t="str">
        <v>Oil</v>
      </c>
      <c r="AH562">
        <v>1477.4479000000001</v>
      </c>
    </row>
    <row r="563" spans="1:34" x14ac:dyDescent="0.3">
      <c r="A563" s="1">
        <v>1561</v>
      </c>
      <c r="B563" s="2">
        <v>44315</v>
      </c>
      <c r="C563" s="1" t="s">
        <v>26</v>
      </c>
      <c r="D563" s="1" t="s">
        <v>27</v>
      </c>
      <c r="E563" s="1" t="s">
        <v>28</v>
      </c>
      <c r="F563" s="1">
        <v>4446.5200000000004</v>
      </c>
      <c r="G563" s="1" t="s">
        <v>226</v>
      </c>
      <c r="H563" s="2">
        <v>33332</v>
      </c>
      <c r="I563" s="2">
        <v>44318</v>
      </c>
      <c r="J563" s="1">
        <v>11.97</v>
      </c>
      <c r="K563" s="4">
        <f t="shared" si="16"/>
        <v>532.24844400000006</v>
      </c>
      <c r="L563" s="4">
        <f t="shared" si="17"/>
        <v>3914.2715560000006</v>
      </c>
      <c r="O563">
        <v>1770</v>
      </c>
      <c r="P563">
        <v>45391</v>
      </c>
      <c r="Q563" t="str">
        <v>South</v>
      </c>
      <c r="R563" t="str">
        <v>Basketball</v>
      </c>
      <c r="S563" t="str">
        <v>Sports</v>
      </c>
      <c r="T563">
        <v>2417.52</v>
      </c>
      <c r="U563" t="str">
        <v>Derek Boyle</v>
      </c>
      <c r="V563">
        <v>27534</v>
      </c>
      <c r="W563">
        <v>45393</v>
      </c>
      <c r="X563">
        <v>25.77</v>
      </c>
      <c r="Y563">
        <v>622.99490399999991</v>
      </c>
      <c r="Z563">
        <v>1794.5250960000001</v>
      </c>
      <c r="AC563" t="str">
        <v>Wardrobe</v>
      </c>
      <c r="AD563">
        <v>1980.4415960000001</v>
      </c>
      <c r="AF563">
        <v>1766</v>
      </c>
      <c r="AG563" t="str">
        <v>Shoes</v>
      </c>
      <c r="AH563">
        <v>1794.438756</v>
      </c>
    </row>
    <row r="564" spans="1:34" x14ac:dyDescent="0.3">
      <c r="A564" s="1">
        <v>1562</v>
      </c>
      <c r="B564" s="2">
        <v>44212</v>
      </c>
      <c r="C564" s="1" t="s">
        <v>21</v>
      </c>
      <c r="D564" s="1" t="s">
        <v>22</v>
      </c>
      <c r="E564" s="1" t="s">
        <v>19</v>
      </c>
      <c r="F564" s="1">
        <v>4265.46</v>
      </c>
      <c r="G564" s="1" t="s">
        <v>192</v>
      </c>
      <c r="H564" s="2">
        <v>33626</v>
      </c>
      <c r="I564" s="2">
        <v>44223</v>
      </c>
      <c r="J564" s="1">
        <v>0.21</v>
      </c>
      <c r="K564" s="4">
        <f t="shared" si="16"/>
        <v>8.9574660000000002</v>
      </c>
      <c r="L564" s="4">
        <f t="shared" si="17"/>
        <v>4256.5025340000002</v>
      </c>
      <c r="O564">
        <v>1773</v>
      </c>
      <c r="P564">
        <v>45104</v>
      </c>
      <c r="Q564" t="str">
        <v>Central</v>
      </c>
      <c r="R564" t="str">
        <v>Bed</v>
      </c>
      <c r="S564" t="str">
        <v>Furniture</v>
      </c>
      <c r="T564">
        <v>3826.79</v>
      </c>
      <c r="U564" t="str">
        <v>Jonathan Gillespie MD</v>
      </c>
      <c r="V564">
        <v>23838</v>
      </c>
      <c r="W564">
        <v>45113</v>
      </c>
      <c r="X564">
        <v>29.62</v>
      </c>
      <c r="Y564">
        <v>1133.4951980000001</v>
      </c>
      <c r="Z564">
        <v>2693.2948019999999</v>
      </c>
      <c r="AC564" t="str">
        <v>Basketball</v>
      </c>
      <c r="AD564">
        <v>1794.5250960000001</v>
      </c>
      <c r="AF564">
        <v>1769</v>
      </c>
      <c r="AG564" t="str">
        <v>Wardrobe</v>
      </c>
      <c r="AH564">
        <v>1980.4415960000001</v>
      </c>
    </row>
    <row r="565" spans="1:34" x14ac:dyDescent="0.3">
      <c r="A565" s="1">
        <v>1563</v>
      </c>
      <c r="B565" s="2">
        <v>44096</v>
      </c>
      <c r="C565" s="1" t="s">
        <v>10</v>
      </c>
      <c r="D565" s="1" t="s">
        <v>53</v>
      </c>
      <c r="E565" s="1" t="s">
        <v>28</v>
      </c>
      <c r="F565" s="1">
        <v>3498</v>
      </c>
      <c r="G565" s="1" t="s">
        <v>123</v>
      </c>
      <c r="H565" s="2">
        <v>36120</v>
      </c>
      <c r="I565" s="2">
        <v>44109</v>
      </c>
      <c r="J565" s="1">
        <v>36.71</v>
      </c>
      <c r="K565" s="4">
        <f t="shared" si="16"/>
        <v>1284.1158</v>
      </c>
      <c r="L565" s="4">
        <f t="shared" si="17"/>
        <v>2213.8842</v>
      </c>
      <c r="O565">
        <v>1774</v>
      </c>
      <c r="P565">
        <v>45090</v>
      </c>
      <c r="Q565" t="str">
        <v>West</v>
      </c>
      <c r="R565" t="str">
        <v>Rice</v>
      </c>
      <c r="S565" t="str">
        <v>Groceries</v>
      </c>
      <c r="T565">
        <v>3560.29</v>
      </c>
      <c r="U565" t="str">
        <v>Christina Young</v>
      </c>
      <c r="V565">
        <v>26011</v>
      </c>
      <c r="W565">
        <v>45094</v>
      </c>
      <c r="X565">
        <v>9.93</v>
      </c>
      <c r="Y565">
        <v>353.53679699999998</v>
      </c>
      <c r="Z565">
        <v>3206.7532030000002</v>
      </c>
      <c r="AC565" t="str">
        <v>Bed</v>
      </c>
      <c r="AD565">
        <v>2693.2948019999999</v>
      </c>
      <c r="AF565">
        <v>1770</v>
      </c>
      <c r="AG565" t="str">
        <v>Basketball</v>
      </c>
      <c r="AH565">
        <v>1794.5250960000001</v>
      </c>
    </row>
    <row r="566" spans="1:34" x14ac:dyDescent="0.3">
      <c r="A566" s="1">
        <v>1564</v>
      </c>
      <c r="B566" s="2">
        <v>44837</v>
      </c>
      <c r="C566" s="1" t="s">
        <v>14</v>
      </c>
      <c r="D566" s="1" t="s">
        <v>88</v>
      </c>
      <c r="E566" s="1" t="s">
        <v>16</v>
      </c>
      <c r="F566" s="1">
        <v>1713.91</v>
      </c>
      <c r="G566" s="1" t="s">
        <v>56</v>
      </c>
      <c r="H566" s="2">
        <v>25712</v>
      </c>
      <c r="I566" s="2">
        <v>44841</v>
      </c>
      <c r="J566" s="1">
        <v>23.44</v>
      </c>
      <c r="K566" s="4">
        <f t="shared" si="16"/>
        <v>401.74050400000004</v>
      </c>
      <c r="L566" s="4">
        <f t="shared" si="17"/>
        <v>1312.169496</v>
      </c>
      <c r="O566">
        <v>1775</v>
      </c>
      <c r="P566">
        <v>45359</v>
      </c>
      <c r="Q566" t="str">
        <v>East</v>
      </c>
      <c r="R566" t="str">
        <v>Laptop</v>
      </c>
      <c r="S566" t="str">
        <v>Electronics</v>
      </c>
      <c r="T566">
        <v>4924.91</v>
      </c>
      <c r="U566" t="str">
        <v>Troy Kelley</v>
      </c>
      <c r="V566">
        <v>29348</v>
      </c>
      <c r="W566">
        <v>45362</v>
      </c>
      <c r="X566">
        <v>9.5399999999999991</v>
      </c>
      <c r="Y566">
        <v>469.83641399999993</v>
      </c>
      <c r="Z566">
        <v>4455.0735859999995</v>
      </c>
      <c r="AC566" t="str">
        <v>Rice</v>
      </c>
      <c r="AD566">
        <v>3206.7532030000002</v>
      </c>
      <c r="AF566">
        <v>1773</v>
      </c>
      <c r="AG566" t="str">
        <v>Bed</v>
      </c>
      <c r="AH566">
        <v>2693.2948019999999</v>
      </c>
    </row>
    <row r="567" spans="1:34" x14ac:dyDescent="0.3">
      <c r="A567" s="1">
        <v>1565</v>
      </c>
      <c r="B567" s="2">
        <v>44649</v>
      </c>
      <c r="C567" s="1" t="s">
        <v>21</v>
      </c>
      <c r="D567" s="1" t="s">
        <v>27</v>
      </c>
      <c r="E567" s="1" t="s">
        <v>28</v>
      </c>
      <c r="F567" s="1">
        <v>4205.53</v>
      </c>
      <c r="G567" s="1" t="s">
        <v>60</v>
      </c>
      <c r="H567" s="2">
        <v>33482</v>
      </c>
      <c r="I567" s="2">
        <v>44660</v>
      </c>
      <c r="J567" s="1">
        <v>33.07</v>
      </c>
      <c r="K567" s="4">
        <f t="shared" si="16"/>
        <v>1390.7687709999998</v>
      </c>
      <c r="L567" s="4">
        <f t="shared" si="17"/>
        <v>2814.7612289999997</v>
      </c>
      <c r="O567">
        <v>1776</v>
      </c>
      <c r="P567">
        <v>45169</v>
      </c>
      <c r="Q567" t="str">
        <v>Central</v>
      </c>
      <c r="R567" t="str">
        <v>Smartphone</v>
      </c>
      <c r="S567" t="str">
        <v>Electronics</v>
      </c>
      <c r="T567">
        <v>1299.29</v>
      </c>
      <c r="U567" t="str">
        <v>Kristi Chan</v>
      </c>
      <c r="V567">
        <v>24852</v>
      </c>
      <c r="W567">
        <v>45176</v>
      </c>
      <c r="X567">
        <v>6.68</v>
      </c>
      <c r="Y567">
        <v>86.792571999999993</v>
      </c>
      <c r="Z567">
        <v>1212.4974279999999</v>
      </c>
      <c r="AC567" t="str">
        <v>Laptop</v>
      </c>
      <c r="AD567">
        <v>4455.0735859999995</v>
      </c>
      <c r="AF567">
        <v>1774</v>
      </c>
      <c r="AG567" t="str">
        <v>Rice</v>
      </c>
      <c r="AH567">
        <v>3206.7532030000002</v>
      </c>
    </row>
    <row r="568" spans="1:34" x14ac:dyDescent="0.3">
      <c r="A568" s="1">
        <v>1566</v>
      </c>
      <c r="B568" s="2">
        <v>45022</v>
      </c>
      <c r="C568" s="1" t="s">
        <v>10</v>
      </c>
      <c r="D568" s="1" t="s">
        <v>27</v>
      </c>
      <c r="E568" s="1" t="s">
        <v>28</v>
      </c>
      <c r="F568" s="1">
        <v>1608.38</v>
      </c>
      <c r="G568" s="1" t="s">
        <v>296</v>
      </c>
      <c r="H568" s="2">
        <v>39045</v>
      </c>
      <c r="I568" s="2">
        <v>45029</v>
      </c>
      <c r="J568" s="1">
        <v>11.05</v>
      </c>
      <c r="K568" s="4">
        <f t="shared" si="16"/>
        <v>177.72599000000002</v>
      </c>
      <c r="L568" s="4">
        <f t="shared" si="17"/>
        <v>1430.6540100000002</v>
      </c>
      <c r="O568">
        <v>1777</v>
      </c>
      <c r="P568">
        <v>44671</v>
      </c>
      <c r="Q568" t="str">
        <v>Central</v>
      </c>
      <c r="R568" t="str">
        <v>Headphones</v>
      </c>
      <c r="S568" t="str">
        <v>Electronics</v>
      </c>
      <c r="T568">
        <v>1760.76</v>
      </c>
      <c r="U568" t="str">
        <v>Jeffrey Harris</v>
      </c>
      <c r="V568">
        <v>35336</v>
      </c>
      <c r="W568">
        <v>44681</v>
      </c>
      <c r="X568">
        <v>39.549999999999997</v>
      </c>
      <c r="Y568">
        <v>696.3805799999999</v>
      </c>
      <c r="Z568">
        <v>1064.3794200000002</v>
      </c>
      <c r="AC568" t="str">
        <v>Smartphone</v>
      </c>
      <c r="AD568">
        <v>1212.4974279999999</v>
      </c>
      <c r="AF568">
        <v>1775</v>
      </c>
      <c r="AG568" t="str">
        <v>Laptop</v>
      </c>
      <c r="AH568">
        <v>4455.0735859999995</v>
      </c>
    </row>
    <row r="569" spans="1:34" x14ac:dyDescent="0.3">
      <c r="A569" s="1">
        <v>1567</v>
      </c>
      <c r="B569" s="2">
        <v>44130</v>
      </c>
      <c r="C569" s="1" t="s">
        <v>35</v>
      </c>
      <c r="D569" s="1" t="s">
        <v>71</v>
      </c>
      <c r="E569" s="1" t="s">
        <v>31</v>
      </c>
      <c r="F569" s="1">
        <v>4057.09</v>
      </c>
      <c r="G569" s="1" t="s">
        <v>238</v>
      </c>
      <c r="H569" s="2">
        <v>31880</v>
      </c>
      <c r="I569" s="2">
        <v>44137</v>
      </c>
      <c r="J569" s="1">
        <v>10.09</v>
      </c>
      <c r="K569" s="4">
        <f t="shared" si="16"/>
        <v>409.36038100000002</v>
      </c>
      <c r="L569" s="4">
        <f t="shared" si="17"/>
        <v>3647.7296190000002</v>
      </c>
      <c r="O569">
        <v>1778</v>
      </c>
      <c r="P569">
        <v>44901</v>
      </c>
      <c r="Q569" t="str">
        <v>North</v>
      </c>
      <c r="R569" t="str">
        <v>Wheat</v>
      </c>
      <c r="S569" t="str">
        <v>Groceries</v>
      </c>
      <c r="T569">
        <v>2990.03</v>
      </c>
      <c r="U569" t="str">
        <v>Alicia Campbell</v>
      </c>
      <c r="V569">
        <v>33984</v>
      </c>
      <c r="W569">
        <v>44904</v>
      </c>
      <c r="X569">
        <v>29.8</v>
      </c>
      <c r="Y569">
        <v>891.02894000000003</v>
      </c>
      <c r="Z569">
        <v>2099.0010600000001</v>
      </c>
      <c r="AC569" t="str">
        <v>Headphones</v>
      </c>
      <c r="AD569">
        <v>1064.3794200000002</v>
      </c>
      <c r="AF569">
        <v>1776</v>
      </c>
      <c r="AG569" t="str">
        <v>Smartphone</v>
      </c>
      <c r="AH569">
        <v>1212.4974279999999</v>
      </c>
    </row>
    <row r="570" spans="1:34" x14ac:dyDescent="0.3">
      <c r="A570" s="1">
        <v>1568</v>
      </c>
      <c r="B570" s="2">
        <v>45202</v>
      </c>
      <c r="C570" s="1" t="s">
        <v>10</v>
      </c>
      <c r="D570" s="1" t="s">
        <v>49</v>
      </c>
      <c r="E570" s="1" t="s">
        <v>12</v>
      </c>
      <c r="F570" s="1">
        <v>4062.14</v>
      </c>
      <c r="G570" s="1" t="s">
        <v>268</v>
      </c>
      <c r="H570" s="2">
        <v>25103</v>
      </c>
      <c r="I570" s="2">
        <v>45205</v>
      </c>
      <c r="J570" s="1">
        <v>46.2</v>
      </c>
      <c r="K570" s="4">
        <f t="shared" si="16"/>
        <v>1876.70868</v>
      </c>
      <c r="L570" s="4">
        <f t="shared" si="17"/>
        <v>2185.4313199999997</v>
      </c>
      <c r="O570">
        <v>1780</v>
      </c>
      <c r="P570">
        <v>45320</v>
      </c>
      <c r="Q570" t="str">
        <v>East</v>
      </c>
      <c r="R570" t="str">
        <v>Laptop</v>
      </c>
      <c r="S570" t="str">
        <v>Electronics</v>
      </c>
      <c r="T570">
        <v>2788.33</v>
      </c>
      <c r="U570" t="str">
        <v>Mrs. Vanessa Liu</v>
      </c>
      <c r="V570">
        <v>23988</v>
      </c>
      <c r="W570">
        <v>45329</v>
      </c>
      <c r="X570">
        <v>28.84</v>
      </c>
      <c r="Y570">
        <v>804.15437199999997</v>
      </c>
      <c r="Z570">
        <v>1984.175628</v>
      </c>
      <c r="AC570" t="str">
        <v>Wheat</v>
      </c>
      <c r="AD570">
        <v>2099.0010600000001</v>
      </c>
      <c r="AF570">
        <v>1777</v>
      </c>
      <c r="AG570" t="str">
        <v>Headphones</v>
      </c>
      <c r="AH570">
        <v>1064.3794200000002</v>
      </c>
    </row>
    <row r="571" spans="1:34" x14ac:dyDescent="0.3">
      <c r="A571" s="1">
        <v>1569</v>
      </c>
      <c r="B571" s="2">
        <v>45147</v>
      </c>
      <c r="C571" s="1" t="s">
        <v>26</v>
      </c>
      <c r="D571" s="1" t="s">
        <v>38</v>
      </c>
      <c r="E571" s="1" t="s">
        <v>28</v>
      </c>
      <c r="F571" s="1">
        <v>3171.39</v>
      </c>
      <c r="G571" s="1" t="s">
        <v>297</v>
      </c>
      <c r="H571" s="2">
        <v>35410</v>
      </c>
      <c r="I571" s="2">
        <v>45153</v>
      </c>
      <c r="J571" s="1">
        <v>25.58</v>
      </c>
      <c r="K571" s="4">
        <f t="shared" si="16"/>
        <v>811.24156199999993</v>
      </c>
      <c r="L571" s="4">
        <f t="shared" si="17"/>
        <v>2360.1484380000002</v>
      </c>
      <c r="O571">
        <v>1781</v>
      </c>
      <c r="P571">
        <v>44278</v>
      </c>
      <c r="Q571" t="str">
        <v>North</v>
      </c>
      <c r="R571" t="str">
        <v>Oil</v>
      </c>
      <c r="S571" t="str">
        <v>Groceries</v>
      </c>
      <c r="T571">
        <v>3877.12</v>
      </c>
      <c r="U571" t="str">
        <v>Tara Giles</v>
      </c>
      <c r="V571">
        <v>36384</v>
      </c>
      <c r="W571">
        <v>44282</v>
      </c>
      <c r="X571">
        <v>2.7</v>
      </c>
      <c r="Y571">
        <v>104.68224000000001</v>
      </c>
      <c r="Z571">
        <v>3772.4377599999998</v>
      </c>
      <c r="AC571" t="str">
        <v>Laptop</v>
      </c>
      <c r="AD571">
        <v>1984.175628</v>
      </c>
      <c r="AF571">
        <v>1778</v>
      </c>
      <c r="AG571" t="str">
        <v>Wheat</v>
      </c>
      <c r="AH571">
        <v>2099.0010600000001</v>
      </c>
    </row>
    <row r="572" spans="1:34" x14ac:dyDescent="0.3">
      <c r="A572" s="1">
        <v>1570</v>
      </c>
      <c r="B572" s="2">
        <v>45406</v>
      </c>
      <c r="C572" s="1" t="s">
        <v>26</v>
      </c>
      <c r="D572" s="1" t="s">
        <v>58</v>
      </c>
      <c r="E572" s="1" t="s">
        <v>31</v>
      </c>
      <c r="F572" s="1">
        <v>2853.87</v>
      </c>
      <c r="G572" s="1" t="s">
        <v>298</v>
      </c>
      <c r="H572" s="2">
        <v>30410</v>
      </c>
      <c r="I572" s="2">
        <v>45411</v>
      </c>
      <c r="J572" s="1">
        <v>13.21</v>
      </c>
      <c r="K572" s="4">
        <f t="shared" si="16"/>
        <v>376.99622699999998</v>
      </c>
      <c r="L572" s="4">
        <f t="shared" si="17"/>
        <v>2476.8737729999998</v>
      </c>
      <c r="O572">
        <v>1783</v>
      </c>
      <c r="P572">
        <v>44504</v>
      </c>
      <c r="Q572" t="str">
        <v>South</v>
      </c>
      <c r="R572" t="str">
        <v>Oil</v>
      </c>
      <c r="S572" t="str">
        <v>Groceries</v>
      </c>
      <c r="T572">
        <v>2085.2600000000002</v>
      </c>
      <c r="U572" t="str">
        <v>Mark Ramos</v>
      </c>
      <c r="V572">
        <v>28543</v>
      </c>
      <c r="W572">
        <v>44508</v>
      </c>
      <c r="X572">
        <v>30.59</v>
      </c>
      <c r="Y572">
        <v>637.88103400000011</v>
      </c>
      <c r="Z572">
        <v>1447.3789660000002</v>
      </c>
      <c r="AC572" t="str">
        <v>Oil</v>
      </c>
      <c r="AD572">
        <v>3772.4377599999998</v>
      </c>
      <c r="AF572">
        <v>1780</v>
      </c>
      <c r="AG572" t="str">
        <v>Laptop</v>
      </c>
      <c r="AH572">
        <v>1984.175628</v>
      </c>
    </row>
    <row r="573" spans="1:34" x14ac:dyDescent="0.3">
      <c r="A573" s="1">
        <v>1571</v>
      </c>
      <c r="B573" s="2">
        <v>44079</v>
      </c>
      <c r="C573" s="1" t="s">
        <v>10</v>
      </c>
      <c r="D573" s="1" t="s">
        <v>44</v>
      </c>
      <c r="E573" s="1" t="s">
        <v>16</v>
      </c>
      <c r="F573" s="1">
        <v>4690.1099999999997</v>
      </c>
      <c r="G573" s="1" t="s">
        <v>118</v>
      </c>
      <c r="H573" s="2">
        <v>22599</v>
      </c>
      <c r="I573" s="2">
        <v>44082</v>
      </c>
      <c r="J573" s="1">
        <v>11.39</v>
      </c>
      <c r="K573" s="4">
        <f t="shared" si="16"/>
        <v>534.203529</v>
      </c>
      <c r="L573" s="4">
        <f t="shared" si="17"/>
        <v>4155.9064709999993</v>
      </c>
      <c r="O573">
        <v>1784</v>
      </c>
      <c r="P573">
        <v>45793</v>
      </c>
      <c r="Q573" t="str">
        <v>North</v>
      </c>
      <c r="R573" t="str">
        <v>Oil</v>
      </c>
      <c r="S573" t="str">
        <v>Groceries</v>
      </c>
      <c r="T573">
        <v>2041.7</v>
      </c>
      <c r="U573" t="str">
        <v>Matthew Baird</v>
      </c>
      <c r="V573">
        <v>35658</v>
      </c>
      <c r="W573">
        <v>45802</v>
      </c>
      <c r="X573">
        <v>47.56</v>
      </c>
      <c r="Y573">
        <v>971.03252000000009</v>
      </c>
      <c r="Z573">
        <v>1070.6674800000001</v>
      </c>
      <c r="AC573" t="str">
        <v>Oil</v>
      </c>
      <c r="AD573">
        <v>1447.3789660000002</v>
      </c>
      <c r="AF573">
        <v>1781</v>
      </c>
      <c r="AG573" t="str">
        <v>Oil</v>
      </c>
      <c r="AH573">
        <v>3772.4377599999998</v>
      </c>
    </row>
    <row r="574" spans="1:34" x14ac:dyDescent="0.3">
      <c r="A574" s="1">
        <v>1572</v>
      </c>
      <c r="B574" s="2">
        <v>44528</v>
      </c>
      <c r="C574" s="1" t="s">
        <v>35</v>
      </c>
      <c r="D574" s="1" t="s">
        <v>15</v>
      </c>
      <c r="E574" s="1" t="s">
        <v>16</v>
      </c>
      <c r="F574" s="1">
        <v>381.09</v>
      </c>
      <c r="G574" s="1" t="s">
        <v>297</v>
      </c>
      <c r="H574" s="2">
        <v>35410</v>
      </c>
      <c r="I574" s="2">
        <v>44529</v>
      </c>
      <c r="J574" s="1">
        <v>23.63</v>
      </c>
      <c r="K574" s="4">
        <f t="shared" si="16"/>
        <v>90.051566999999991</v>
      </c>
      <c r="L574" s="4">
        <f t="shared" si="17"/>
        <v>291.038433</v>
      </c>
      <c r="O574">
        <v>1785</v>
      </c>
      <c r="P574">
        <v>44064</v>
      </c>
      <c r="Q574" t="str">
        <v>South</v>
      </c>
      <c r="R574" t="str">
        <v>Wardrobe</v>
      </c>
      <c r="S574" t="str">
        <v>Furniture</v>
      </c>
      <c r="T574">
        <v>2279.2800000000002</v>
      </c>
      <c r="U574" t="str">
        <v>Nicole Church</v>
      </c>
      <c r="V574">
        <v>24348</v>
      </c>
      <c r="W574">
        <v>44075</v>
      </c>
      <c r="X574">
        <v>41.99</v>
      </c>
      <c r="Y574">
        <v>957.06967200000008</v>
      </c>
      <c r="Z574">
        <v>1322.2103280000001</v>
      </c>
      <c r="AC574" t="str">
        <v>Oil</v>
      </c>
      <c r="AD574">
        <v>1070.6674800000001</v>
      </c>
      <c r="AF574">
        <v>1783</v>
      </c>
      <c r="AG574" t="str">
        <v>Oil</v>
      </c>
      <c r="AH574">
        <v>1447.3789660000002</v>
      </c>
    </row>
    <row r="575" spans="1:34" x14ac:dyDescent="0.3">
      <c r="A575" s="1">
        <v>1573</v>
      </c>
      <c r="B575" s="2">
        <v>45595</v>
      </c>
      <c r="C575" s="1" t="s">
        <v>35</v>
      </c>
      <c r="D575" s="1" t="s">
        <v>40</v>
      </c>
      <c r="E575" s="1" t="s">
        <v>16</v>
      </c>
      <c r="F575" s="1">
        <v>3658.88</v>
      </c>
      <c r="G575" s="1" t="s">
        <v>121</v>
      </c>
      <c r="H575" s="2">
        <v>24580</v>
      </c>
      <c r="I575" s="2">
        <v>45598</v>
      </c>
      <c r="J575" s="1">
        <v>30.79</v>
      </c>
      <c r="K575" s="4">
        <f t="shared" si="16"/>
        <v>1126.569152</v>
      </c>
      <c r="L575" s="4">
        <f t="shared" si="17"/>
        <v>2532.3108480000001</v>
      </c>
      <c r="O575">
        <v>1786</v>
      </c>
      <c r="P575">
        <v>44748</v>
      </c>
      <c r="Q575" t="str">
        <v>East</v>
      </c>
      <c r="R575" t="str">
        <v>Rice</v>
      </c>
      <c r="S575" t="str">
        <v>Groceries</v>
      </c>
      <c r="T575">
        <v>3051.55</v>
      </c>
      <c r="U575" t="str">
        <v>April Wilson</v>
      </c>
      <c r="V575">
        <v>23039</v>
      </c>
      <c r="W575">
        <v>44761</v>
      </c>
      <c r="X575">
        <v>47.53</v>
      </c>
      <c r="Y575">
        <v>1450.4017150000002</v>
      </c>
      <c r="Z575">
        <v>1601.148285</v>
      </c>
      <c r="AC575" t="str">
        <v>Wardrobe</v>
      </c>
      <c r="AD575">
        <v>1322.2103280000001</v>
      </c>
      <c r="AF575">
        <v>1784</v>
      </c>
      <c r="AG575" t="str">
        <v>Oil</v>
      </c>
      <c r="AH575">
        <v>1070.6674800000001</v>
      </c>
    </row>
    <row r="576" spans="1:34" x14ac:dyDescent="0.3">
      <c r="A576" s="1">
        <v>1574</v>
      </c>
      <c r="B576" s="2">
        <v>44420</v>
      </c>
      <c r="C576" s="1" t="s">
        <v>14</v>
      </c>
      <c r="D576" s="1" t="s">
        <v>36</v>
      </c>
      <c r="E576" s="1" t="s">
        <v>28</v>
      </c>
      <c r="F576" s="1">
        <v>3509.16</v>
      </c>
      <c r="G576" s="1" t="s">
        <v>91</v>
      </c>
      <c r="H576" s="2">
        <v>34220</v>
      </c>
      <c r="I576" s="2">
        <v>44431</v>
      </c>
      <c r="J576" s="1">
        <v>45.18</v>
      </c>
      <c r="K576" s="4">
        <f t="shared" si="16"/>
        <v>1585.4384879999998</v>
      </c>
      <c r="L576" s="4">
        <f t="shared" si="17"/>
        <v>1923.7215120000001</v>
      </c>
      <c r="O576">
        <v>1788</v>
      </c>
      <c r="P576">
        <v>44890</v>
      </c>
      <c r="Q576" t="str">
        <v>West</v>
      </c>
      <c r="R576" t="str">
        <v>Wardrobe</v>
      </c>
      <c r="S576" t="str">
        <v>Furniture</v>
      </c>
      <c r="T576">
        <v>3882.31</v>
      </c>
      <c r="U576" t="str">
        <v>Steven Hardin</v>
      </c>
      <c r="V576">
        <v>26155</v>
      </c>
      <c r="W576">
        <v>44891</v>
      </c>
      <c r="X576">
        <v>17.09</v>
      </c>
      <c r="Y576">
        <v>663.48677899999996</v>
      </c>
      <c r="Z576">
        <v>3218.8232210000001</v>
      </c>
      <c r="AC576" t="str">
        <v>Rice</v>
      </c>
      <c r="AD576">
        <v>1601.148285</v>
      </c>
      <c r="AF576">
        <v>1785</v>
      </c>
      <c r="AG576" t="str">
        <v>Wardrobe</v>
      </c>
      <c r="AH576">
        <v>1322.2103280000001</v>
      </c>
    </row>
    <row r="577" spans="1:34" x14ac:dyDescent="0.3">
      <c r="A577" s="1">
        <v>1575</v>
      </c>
      <c r="B577" s="2">
        <v>44274</v>
      </c>
      <c r="C577" s="1" t="s">
        <v>26</v>
      </c>
      <c r="D577" s="1" t="s">
        <v>30</v>
      </c>
      <c r="E577" s="1" t="s">
        <v>31</v>
      </c>
      <c r="F577" s="1">
        <v>800.68</v>
      </c>
      <c r="G577" s="1" t="s">
        <v>196</v>
      </c>
      <c r="H577" s="2">
        <v>26300</v>
      </c>
      <c r="I577" s="2">
        <v>44275</v>
      </c>
      <c r="J577" s="1">
        <v>32.299999999999997</v>
      </c>
      <c r="K577" s="4">
        <f t="shared" si="16"/>
        <v>258.61963999999995</v>
      </c>
      <c r="L577" s="4">
        <f t="shared" si="17"/>
        <v>542.06035999999995</v>
      </c>
      <c r="O577">
        <v>1789</v>
      </c>
      <c r="P577">
        <v>44335</v>
      </c>
      <c r="Q577" t="str">
        <v>Central</v>
      </c>
      <c r="R577" t="str">
        <v>Wardrobe</v>
      </c>
      <c r="S577" t="str">
        <v>Furniture</v>
      </c>
      <c r="T577">
        <v>3352.72</v>
      </c>
      <c r="U577" t="str">
        <v>Mark Huber</v>
      </c>
      <c r="V577">
        <v>26300</v>
      </c>
      <c r="W577">
        <v>44340</v>
      </c>
      <c r="X577">
        <v>45.35</v>
      </c>
      <c r="Y577">
        <v>1520.4585199999999</v>
      </c>
      <c r="Z577">
        <v>1832.2614799999999</v>
      </c>
      <c r="AC577" t="str">
        <v>Wardrobe</v>
      </c>
      <c r="AD577">
        <v>3218.8232210000001</v>
      </c>
      <c r="AF577">
        <v>1786</v>
      </c>
      <c r="AG577" t="str">
        <v>Rice</v>
      </c>
      <c r="AH577">
        <v>1601.148285</v>
      </c>
    </row>
    <row r="578" spans="1:34" x14ac:dyDescent="0.3">
      <c r="A578" s="1">
        <v>1576</v>
      </c>
      <c r="B578" s="2">
        <v>45873</v>
      </c>
      <c r="C578" s="1" t="s">
        <v>26</v>
      </c>
      <c r="D578" s="1" t="s">
        <v>15</v>
      </c>
      <c r="E578" s="1" t="s">
        <v>16</v>
      </c>
      <c r="F578" s="1">
        <v>1436.09</v>
      </c>
      <c r="G578" s="1" t="s">
        <v>127</v>
      </c>
      <c r="H578" s="2">
        <v>31846</v>
      </c>
      <c r="I578" s="2">
        <v>45885</v>
      </c>
      <c r="J578" s="1">
        <v>39.520000000000003</v>
      </c>
      <c r="K578" s="4">
        <f t="shared" si="16"/>
        <v>567.54276800000002</v>
      </c>
      <c r="L578" s="4">
        <f t="shared" si="17"/>
        <v>868.54723199999989</v>
      </c>
      <c r="O578">
        <v>1790</v>
      </c>
      <c r="P578">
        <v>44244</v>
      </c>
      <c r="Q578" t="str">
        <v>South</v>
      </c>
      <c r="R578" t="str">
        <v>Oil</v>
      </c>
      <c r="S578" t="str">
        <v>Groceries</v>
      </c>
      <c r="T578">
        <v>4373.0600000000004</v>
      </c>
      <c r="U578" t="str">
        <v>Gabriel Watson</v>
      </c>
      <c r="V578">
        <v>34427</v>
      </c>
      <c r="W578">
        <v>44251</v>
      </c>
      <c r="X578">
        <v>23.79</v>
      </c>
      <c r="Y578">
        <v>1040.3509740000002</v>
      </c>
      <c r="Z578">
        <v>3332.7090260000004</v>
      </c>
      <c r="AC578" t="str">
        <v>Wardrobe</v>
      </c>
      <c r="AD578">
        <v>1832.2614799999999</v>
      </c>
      <c r="AF578">
        <v>1788</v>
      </c>
      <c r="AG578" t="str">
        <v>Wardrobe</v>
      </c>
      <c r="AH578">
        <v>3218.8232210000001</v>
      </c>
    </row>
    <row r="579" spans="1:34" x14ac:dyDescent="0.3">
      <c r="A579" s="1">
        <v>1577</v>
      </c>
      <c r="B579" s="2">
        <v>44397</v>
      </c>
      <c r="C579" s="1" t="s">
        <v>10</v>
      </c>
      <c r="D579" s="1" t="s">
        <v>65</v>
      </c>
      <c r="E579" s="1" t="s">
        <v>19</v>
      </c>
      <c r="F579" s="1">
        <v>2793.83</v>
      </c>
      <c r="G579" s="1" t="s">
        <v>215</v>
      </c>
      <c r="H579" s="2">
        <v>31386</v>
      </c>
      <c r="I579" s="2">
        <v>44407</v>
      </c>
      <c r="J579" s="1">
        <v>41.17</v>
      </c>
      <c r="K579" s="4">
        <f t="shared" ref="K579:K642" si="18">F579*J579%</f>
        <v>1150.2198109999999</v>
      </c>
      <c r="L579" s="4">
        <f t="shared" ref="L579:L642" si="19">F579-K579</f>
        <v>1643.610189</v>
      </c>
      <c r="O579">
        <v>1794</v>
      </c>
      <c r="P579">
        <v>45176</v>
      </c>
      <c r="Q579" t="str">
        <v>East</v>
      </c>
      <c r="R579" t="str">
        <v>T-Shirt</v>
      </c>
      <c r="S579" t="str">
        <v>Clothing</v>
      </c>
      <c r="T579">
        <v>4084.74</v>
      </c>
      <c r="U579" t="str">
        <v>Jimmy Lopez</v>
      </c>
      <c r="V579">
        <v>36246</v>
      </c>
      <c r="W579">
        <v>45177</v>
      </c>
      <c r="X579">
        <v>8.34</v>
      </c>
      <c r="Y579">
        <v>340.66731599999997</v>
      </c>
      <c r="Z579">
        <v>3744.0726839999998</v>
      </c>
      <c r="AC579" t="str">
        <v>Oil</v>
      </c>
      <c r="AD579">
        <v>3332.7090260000004</v>
      </c>
      <c r="AF579">
        <v>1789</v>
      </c>
      <c r="AG579" t="str">
        <v>Wardrobe</v>
      </c>
      <c r="AH579">
        <v>1832.2614799999999</v>
      </c>
    </row>
    <row r="580" spans="1:34" x14ac:dyDescent="0.3">
      <c r="A580" s="1">
        <v>1578</v>
      </c>
      <c r="B580" s="2">
        <v>45821</v>
      </c>
      <c r="C580" s="1" t="s">
        <v>21</v>
      </c>
      <c r="D580" s="1" t="s">
        <v>58</v>
      </c>
      <c r="E580" s="1" t="s">
        <v>31</v>
      </c>
      <c r="F580" s="1">
        <v>1162.24</v>
      </c>
      <c r="G580" s="1" t="s">
        <v>108</v>
      </c>
      <c r="H580" s="2">
        <v>33413</v>
      </c>
      <c r="I580" s="2">
        <v>45824</v>
      </c>
      <c r="J580" s="1">
        <v>5.94</v>
      </c>
      <c r="K580" s="4">
        <f t="shared" si="18"/>
        <v>69.037056000000007</v>
      </c>
      <c r="L580" s="4">
        <f t="shared" si="19"/>
        <v>1093.2029440000001</v>
      </c>
      <c r="O580">
        <v>1795</v>
      </c>
      <c r="P580">
        <v>44504</v>
      </c>
      <c r="Q580" t="str">
        <v>Central</v>
      </c>
      <c r="R580" t="str">
        <v>Tablet</v>
      </c>
      <c r="S580" t="str">
        <v>Electronics</v>
      </c>
      <c r="T580">
        <v>3311.08</v>
      </c>
      <c r="U580" t="str">
        <v>Angela Mooney</v>
      </c>
      <c r="V580">
        <v>25516</v>
      </c>
      <c r="W580">
        <v>44513</v>
      </c>
      <c r="X580">
        <v>36.19</v>
      </c>
      <c r="Y580">
        <v>1198.2798519999999</v>
      </c>
      <c r="Z580">
        <v>2112.8001480000003</v>
      </c>
      <c r="AC580" t="str">
        <v>T-Shirt</v>
      </c>
      <c r="AD580">
        <v>3744.0726839999998</v>
      </c>
      <c r="AF580">
        <v>1790</v>
      </c>
      <c r="AG580" t="str">
        <v>Oil</v>
      </c>
      <c r="AH580">
        <v>3332.7090260000004</v>
      </c>
    </row>
    <row r="581" spans="1:34" x14ac:dyDescent="0.3">
      <c r="A581" s="1">
        <v>1579</v>
      </c>
      <c r="B581" s="2">
        <v>45282</v>
      </c>
      <c r="C581" s="1" t="s">
        <v>21</v>
      </c>
      <c r="D581" s="1" t="s">
        <v>18</v>
      </c>
      <c r="E581" s="1" t="s">
        <v>19</v>
      </c>
      <c r="F581" s="1">
        <v>2127.64</v>
      </c>
      <c r="G581" s="1" t="s">
        <v>17</v>
      </c>
      <c r="H581" s="2">
        <v>26484</v>
      </c>
      <c r="I581" s="2">
        <v>45287</v>
      </c>
      <c r="J581" s="1">
        <v>21.3</v>
      </c>
      <c r="K581" s="4">
        <f t="shared" si="18"/>
        <v>453.18731999999994</v>
      </c>
      <c r="L581" s="4">
        <f t="shared" si="19"/>
        <v>1674.4526799999999</v>
      </c>
      <c r="O581">
        <v>1796</v>
      </c>
      <c r="P581">
        <v>44792</v>
      </c>
      <c r="Q581" t="str">
        <v>South</v>
      </c>
      <c r="R581" t="str">
        <v>Rice</v>
      </c>
      <c r="S581" t="str">
        <v>Groceries</v>
      </c>
      <c r="T581">
        <v>1488.13</v>
      </c>
      <c r="U581" t="str">
        <v>Matthew Castillo</v>
      </c>
      <c r="V581">
        <v>22467</v>
      </c>
      <c r="W581">
        <v>44804</v>
      </c>
      <c r="X581">
        <v>16.190000000000001</v>
      </c>
      <c r="Y581">
        <v>240.92824700000006</v>
      </c>
      <c r="Z581">
        <v>1247.2017530000001</v>
      </c>
      <c r="AC581" t="str">
        <v>Tablet</v>
      </c>
      <c r="AD581">
        <v>2112.8001480000003</v>
      </c>
      <c r="AF581">
        <v>1794</v>
      </c>
      <c r="AG581" t="str">
        <v>T-Shirt</v>
      </c>
      <c r="AH581">
        <v>3744.0726839999998</v>
      </c>
    </row>
    <row r="582" spans="1:34" x14ac:dyDescent="0.3">
      <c r="A582" s="1">
        <v>1580</v>
      </c>
      <c r="B582" s="2">
        <v>44976</v>
      </c>
      <c r="C582" s="1" t="s">
        <v>35</v>
      </c>
      <c r="D582" s="1" t="s">
        <v>88</v>
      </c>
      <c r="E582" s="1" t="s">
        <v>16</v>
      </c>
      <c r="F582" s="1">
        <v>3313.85</v>
      </c>
      <c r="G582" s="1" t="s">
        <v>299</v>
      </c>
      <c r="H582" s="2">
        <v>25863</v>
      </c>
      <c r="I582" s="2">
        <v>44990</v>
      </c>
      <c r="J582" s="1">
        <v>24.43</v>
      </c>
      <c r="K582" s="4">
        <f t="shared" si="18"/>
        <v>809.57355499999994</v>
      </c>
      <c r="L582" s="4">
        <f t="shared" si="19"/>
        <v>2504.276445</v>
      </c>
      <c r="O582">
        <v>1799</v>
      </c>
      <c r="P582">
        <v>44246</v>
      </c>
      <c r="Q582" t="str">
        <v>South</v>
      </c>
      <c r="R582" t="str">
        <v>Wardrobe</v>
      </c>
      <c r="S582" t="str">
        <v>Furniture</v>
      </c>
      <c r="T582">
        <v>3103.07</v>
      </c>
      <c r="U582" t="str">
        <v>Antonio David</v>
      </c>
      <c r="V582">
        <v>24580</v>
      </c>
      <c r="W582">
        <v>44260</v>
      </c>
      <c r="X582">
        <v>7.78</v>
      </c>
      <c r="Y582">
        <v>241.41884600000003</v>
      </c>
      <c r="Z582">
        <v>2861.6511540000001</v>
      </c>
      <c r="AC582" t="str">
        <v>Rice</v>
      </c>
      <c r="AD582">
        <v>1247.2017530000001</v>
      </c>
      <c r="AF582">
        <v>1795</v>
      </c>
      <c r="AG582" t="str">
        <v>Tablet</v>
      </c>
      <c r="AH582">
        <v>2112.8001480000003</v>
      </c>
    </row>
    <row r="583" spans="1:34" x14ac:dyDescent="0.3">
      <c r="A583" s="1">
        <v>1581</v>
      </c>
      <c r="B583" s="2">
        <v>45712</v>
      </c>
      <c r="C583" s="1" t="s">
        <v>26</v>
      </c>
      <c r="D583" s="1" t="s">
        <v>55</v>
      </c>
      <c r="E583" s="1" t="s">
        <v>31</v>
      </c>
      <c r="F583" s="1">
        <v>922.77</v>
      </c>
      <c r="G583" s="1" t="s">
        <v>124</v>
      </c>
      <c r="H583" s="2">
        <v>30786</v>
      </c>
      <c r="I583" s="2">
        <v>45720</v>
      </c>
      <c r="J583" s="1">
        <v>45.36</v>
      </c>
      <c r="K583" s="4">
        <f t="shared" si="18"/>
        <v>418.56847199999999</v>
      </c>
      <c r="L583" s="4">
        <f t="shared" si="19"/>
        <v>504.201528</v>
      </c>
      <c r="O583">
        <v>1800</v>
      </c>
      <c r="P583">
        <v>44679</v>
      </c>
      <c r="Q583" t="str">
        <v>Central</v>
      </c>
      <c r="R583" t="str">
        <v>Bed</v>
      </c>
      <c r="S583" t="str">
        <v>Furniture</v>
      </c>
      <c r="T583">
        <v>2611.02</v>
      </c>
      <c r="U583" t="str">
        <v>Justin Robinson</v>
      </c>
      <c r="V583">
        <v>35629</v>
      </c>
      <c r="W583">
        <v>44693</v>
      </c>
      <c r="X583">
        <v>25.45</v>
      </c>
      <c r="Y583">
        <v>664.50459000000001</v>
      </c>
      <c r="Z583">
        <v>1946.51541</v>
      </c>
      <c r="AC583" t="str">
        <v>Wardrobe</v>
      </c>
      <c r="AD583">
        <v>2861.6511540000001</v>
      </c>
      <c r="AF583">
        <v>1796</v>
      </c>
      <c r="AG583" t="str">
        <v>Rice</v>
      </c>
      <c r="AH583">
        <v>1247.2017530000001</v>
      </c>
    </row>
    <row r="584" spans="1:34" x14ac:dyDescent="0.3">
      <c r="A584" s="1">
        <v>1582</v>
      </c>
      <c r="B584" s="2">
        <v>45808</v>
      </c>
      <c r="C584" s="1" t="s">
        <v>14</v>
      </c>
      <c r="D584" s="1" t="s">
        <v>69</v>
      </c>
      <c r="E584" s="1" t="s">
        <v>12</v>
      </c>
      <c r="F584" s="1">
        <v>4511.01</v>
      </c>
      <c r="G584" s="1" t="s">
        <v>39</v>
      </c>
      <c r="H584" s="2">
        <v>26282</v>
      </c>
      <c r="I584" s="2">
        <v>45812</v>
      </c>
      <c r="J584" s="1">
        <v>24.51</v>
      </c>
      <c r="K584" s="4">
        <f t="shared" si="18"/>
        <v>1105.648551</v>
      </c>
      <c r="L584" s="4">
        <f t="shared" si="19"/>
        <v>3405.361449</v>
      </c>
      <c r="O584">
        <v>1801</v>
      </c>
      <c r="P584">
        <v>45314</v>
      </c>
      <c r="Q584" t="str">
        <v>West</v>
      </c>
      <c r="R584" t="str">
        <v>Chair</v>
      </c>
      <c r="S584" t="str">
        <v>Furniture</v>
      </c>
      <c r="T584">
        <v>3379.46</v>
      </c>
      <c r="U584" t="str">
        <v>Tara Roberts</v>
      </c>
      <c r="V584">
        <v>36924</v>
      </c>
      <c r="W584">
        <v>45325</v>
      </c>
      <c r="X584">
        <v>7.14</v>
      </c>
      <c r="Y584">
        <v>241.29344399999997</v>
      </c>
      <c r="Z584">
        <v>3138.1665560000001</v>
      </c>
      <c r="AC584" t="str">
        <v>Bed</v>
      </c>
      <c r="AD584">
        <v>1946.51541</v>
      </c>
      <c r="AF584">
        <v>1799</v>
      </c>
      <c r="AG584" t="str">
        <v>Wardrobe</v>
      </c>
      <c r="AH584">
        <v>2861.6511540000001</v>
      </c>
    </row>
    <row r="585" spans="1:34" x14ac:dyDescent="0.3">
      <c r="A585" s="1">
        <v>1583</v>
      </c>
      <c r="B585" s="2">
        <v>45423</v>
      </c>
      <c r="C585" s="1" t="s">
        <v>21</v>
      </c>
      <c r="D585" s="1" t="s">
        <v>58</v>
      </c>
      <c r="E585" s="1" t="s">
        <v>31</v>
      </c>
      <c r="F585" s="1">
        <v>3081.64</v>
      </c>
      <c r="G585" s="1" t="s">
        <v>120</v>
      </c>
      <c r="H585" s="2">
        <v>30820</v>
      </c>
      <c r="I585" s="2">
        <v>45430</v>
      </c>
      <c r="J585" s="1">
        <v>41.94</v>
      </c>
      <c r="K585" s="4">
        <f t="shared" si="18"/>
        <v>1292.4398159999998</v>
      </c>
      <c r="L585" s="4">
        <f t="shared" si="19"/>
        <v>1789.200184</v>
      </c>
      <c r="O585">
        <v>1802</v>
      </c>
      <c r="P585">
        <v>44594</v>
      </c>
      <c r="Q585" t="str">
        <v>North</v>
      </c>
      <c r="R585" t="str">
        <v>Tablet</v>
      </c>
      <c r="S585" t="str">
        <v>Electronics</v>
      </c>
      <c r="T585">
        <v>4233.68</v>
      </c>
      <c r="U585" t="str">
        <v>Megan Wagner</v>
      </c>
      <c r="V585">
        <v>29810</v>
      </c>
      <c r="W585">
        <v>44595</v>
      </c>
      <c r="X585">
        <v>28.97</v>
      </c>
      <c r="Y585">
        <v>1226.4970960000001</v>
      </c>
      <c r="Z585">
        <v>3007.1829040000002</v>
      </c>
      <c r="AC585" t="str">
        <v>Chair</v>
      </c>
      <c r="AD585">
        <v>3138.1665560000001</v>
      </c>
      <c r="AF585">
        <v>1800</v>
      </c>
      <c r="AG585" t="str">
        <v>Bed</v>
      </c>
      <c r="AH585">
        <v>1946.51541</v>
      </c>
    </row>
    <row r="586" spans="1:34" x14ac:dyDescent="0.3">
      <c r="A586" s="1">
        <v>1584</v>
      </c>
      <c r="B586" s="2">
        <v>44929</v>
      </c>
      <c r="C586" s="1" t="s">
        <v>10</v>
      </c>
      <c r="D586" s="1" t="s">
        <v>15</v>
      </c>
      <c r="E586" s="1" t="s">
        <v>16</v>
      </c>
      <c r="F586" s="1">
        <v>2668.64</v>
      </c>
      <c r="G586" s="1" t="s">
        <v>247</v>
      </c>
      <c r="H586" s="2">
        <v>23735</v>
      </c>
      <c r="I586" s="2">
        <v>44932</v>
      </c>
      <c r="J586" s="1">
        <v>16.489999999999998</v>
      </c>
      <c r="K586" s="4">
        <f t="shared" si="18"/>
        <v>440.05873599999995</v>
      </c>
      <c r="L586" s="4">
        <f t="shared" si="19"/>
        <v>2228.5812639999999</v>
      </c>
      <c r="O586">
        <v>1803</v>
      </c>
      <c r="P586">
        <v>44989</v>
      </c>
      <c r="Q586" t="str">
        <v>South</v>
      </c>
      <c r="R586" t="str">
        <v>Camera</v>
      </c>
      <c r="S586" t="str">
        <v>Electronics</v>
      </c>
      <c r="T586">
        <v>3698.7</v>
      </c>
      <c r="U586" t="str">
        <v>Jamie Day</v>
      </c>
      <c r="V586">
        <v>32359</v>
      </c>
      <c r="W586">
        <v>44994</v>
      </c>
      <c r="X586">
        <v>23.36</v>
      </c>
      <c r="Y586">
        <v>864.01631999999995</v>
      </c>
      <c r="Z586">
        <v>2834.6836800000001</v>
      </c>
      <c r="AC586" t="str">
        <v>Tablet</v>
      </c>
      <c r="AD586">
        <v>3007.1829040000002</v>
      </c>
      <c r="AF586">
        <v>1801</v>
      </c>
      <c r="AG586" t="str">
        <v>Chair</v>
      </c>
      <c r="AH586">
        <v>3138.1665560000001</v>
      </c>
    </row>
    <row r="587" spans="1:34" x14ac:dyDescent="0.3">
      <c r="A587" s="1">
        <v>1585</v>
      </c>
      <c r="B587" s="2">
        <v>45316</v>
      </c>
      <c r="C587" s="1" t="s">
        <v>35</v>
      </c>
      <c r="D587" s="1" t="s">
        <v>22</v>
      </c>
      <c r="E587" s="1" t="s">
        <v>19</v>
      </c>
      <c r="F587" s="1">
        <v>3581.16</v>
      </c>
      <c r="G587" s="1" t="s">
        <v>199</v>
      </c>
      <c r="H587" s="2">
        <v>25341</v>
      </c>
      <c r="I587" s="2">
        <v>45323</v>
      </c>
      <c r="J587" s="1">
        <v>5.05</v>
      </c>
      <c r="K587" s="4">
        <f t="shared" si="18"/>
        <v>180.84857999999997</v>
      </c>
      <c r="L587" s="4">
        <f t="shared" si="19"/>
        <v>3400.31142</v>
      </c>
      <c r="O587">
        <v>1804</v>
      </c>
      <c r="P587">
        <v>44236</v>
      </c>
      <c r="Q587" t="str">
        <v>North</v>
      </c>
      <c r="R587" t="str">
        <v>Shoes</v>
      </c>
      <c r="S587" t="str">
        <v>Sports</v>
      </c>
      <c r="T587">
        <v>4909.8900000000003</v>
      </c>
      <c r="U587" t="str">
        <v>Harold Williams</v>
      </c>
      <c r="V587">
        <v>37894</v>
      </c>
      <c r="W587">
        <v>44239</v>
      </c>
      <c r="X587">
        <v>28.79</v>
      </c>
      <c r="Y587">
        <v>1413.557331</v>
      </c>
      <c r="Z587">
        <v>3496.3326690000004</v>
      </c>
      <c r="AC587" t="str">
        <v>Camera</v>
      </c>
      <c r="AD587">
        <v>2834.6836800000001</v>
      </c>
      <c r="AF587">
        <v>1802</v>
      </c>
      <c r="AG587" t="str">
        <v>Tablet</v>
      </c>
      <c r="AH587">
        <v>3007.1829040000002</v>
      </c>
    </row>
    <row r="588" spans="1:34" x14ac:dyDescent="0.3">
      <c r="A588" s="1">
        <v>1586</v>
      </c>
      <c r="B588" s="2">
        <v>44354</v>
      </c>
      <c r="C588" s="1" t="s">
        <v>21</v>
      </c>
      <c r="D588" s="1" t="s">
        <v>18</v>
      </c>
      <c r="E588" s="1" t="s">
        <v>19</v>
      </c>
      <c r="F588" s="1">
        <v>1927.4</v>
      </c>
      <c r="G588" s="1" t="s">
        <v>256</v>
      </c>
      <c r="H588" s="2">
        <v>34537</v>
      </c>
      <c r="I588" s="2">
        <v>44362</v>
      </c>
      <c r="J588" s="1">
        <v>49.21</v>
      </c>
      <c r="K588" s="4">
        <f t="shared" si="18"/>
        <v>948.47353999999996</v>
      </c>
      <c r="L588" s="4">
        <f t="shared" si="19"/>
        <v>978.92646000000013</v>
      </c>
      <c r="O588">
        <v>1805</v>
      </c>
      <c r="P588">
        <v>45758</v>
      </c>
      <c r="Q588" t="str">
        <v>South</v>
      </c>
      <c r="R588" t="str">
        <v>Jeans</v>
      </c>
      <c r="S588" t="str">
        <v>Clothing</v>
      </c>
      <c r="T588">
        <v>1486.41</v>
      </c>
      <c r="U588" t="str">
        <v>Melissa Moreno</v>
      </c>
      <c r="V588">
        <v>25579</v>
      </c>
      <c r="W588">
        <v>45765</v>
      </c>
      <c r="X588">
        <v>20.07</v>
      </c>
      <c r="Y588">
        <v>298.32248700000002</v>
      </c>
      <c r="Z588">
        <v>1188.0875129999999</v>
      </c>
      <c r="AC588" t="str">
        <v>Shoes</v>
      </c>
      <c r="AD588">
        <v>3496.3326690000004</v>
      </c>
      <c r="AF588">
        <v>1803</v>
      </c>
      <c r="AG588" t="str">
        <v>Camera</v>
      </c>
      <c r="AH588">
        <v>2834.6836800000001</v>
      </c>
    </row>
    <row r="589" spans="1:34" x14ac:dyDescent="0.3">
      <c r="A589" s="1">
        <v>1587</v>
      </c>
      <c r="B589" s="2">
        <v>44896</v>
      </c>
      <c r="C589" s="1" t="s">
        <v>35</v>
      </c>
      <c r="D589" s="1" t="s">
        <v>58</v>
      </c>
      <c r="E589" s="1" t="s">
        <v>31</v>
      </c>
      <c r="F589" s="1">
        <v>3073.98</v>
      </c>
      <c r="G589" s="1" t="s">
        <v>276</v>
      </c>
      <c r="H589" s="2">
        <v>33394</v>
      </c>
      <c r="I589" s="2">
        <v>44899</v>
      </c>
      <c r="J589" s="1">
        <v>2.78</v>
      </c>
      <c r="K589" s="4">
        <f t="shared" si="18"/>
        <v>85.456643999999997</v>
      </c>
      <c r="L589" s="4">
        <f t="shared" si="19"/>
        <v>2988.5233560000001</v>
      </c>
      <c r="O589">
        <v>1806</v>
      </c>
      <c r="P589">
        <v>45010</v>
      </c>
      <c r="Q589" t="str">
        <v>South</v>
      </c>
      <c r="R589" t="str">
        <v>Rice</v>
      </c>
      <c r="S589" t="str">
        <v>Groceries</v>
      </c>
      <c r="T589">
        <v>3827.4</v>
      </c>
      <c r="U589" t="str">
        <v>Marissa Johnson</v>
      </c>
      <c r="V589">
        <v>38628</v>
      </c>
      <c r="W589">
        <v>45012</v>
      </c>
      <c r="X589">
        <v>40.19</v>
      </c>
      <c r="Y589">
        <v>1538.23206</v>
      </c>
      <c r="Z589">
        <v>2289.1679400000003</v>
      </c>
      <c r="AC589" t="str">
        <v>Jeans</v>
      </c>
      <c r="AD589">
        <v>1188.0875129999999</v>
      </c>
      <c r="AF589">
        <v>1804</v>
      </c>
      <c r="AG589" t="str">
        <v>Shoes</v>
      </c>
      <c r="AH589">
        <v>3496.3326690000004</v>
      </c>
    </row>
    <row r="590" spans="1:34" x14ac:dyDescent="0.3">
      <c r="A590" s="1">
        <v>1588</v>
      </c>
      <c r="B590" s="2">
        <v>44612</v>
      </c>
      <c r="C590" s="1" t="s">
        <v>35</v>
      </c>
      <c r="D590" s="1" t="s">
        <v>88</v>
      </c>
      <c r="E590" s="1" t="s">
        <v>16</v>
      </c>
      <c r="F590" s="1">
        <v>2770.97</v>
      </c>
      <c r="G590" s="1" t="s">
        <v>160</v>
      </c>
      <c r="H590" s="2">
        <v>35321</v>
      </c>
      <c r="I590" s="2">
        <v>44621</v>
      </c>
      <c r="J590" s="1">
        <v>13.64</v>
      </c>
      <c r="K590" s="4">
        <f t="shared" si="18"/>
        <v>377.96030799999994</v>
      </c>
      <c r="L590" s="4">
        <f t="shared" si="19"/>
        <v>2393.0096919999996</v>
      </c>
      <c r="O590">
        <v>1809</v>
      </c>
      <c r="P590">
        <v>44697</v>
      </c>
      <c r="Q590" t="str">
        <v>North</v>
      </c>
      <c r="R590" t="str">
        <v>Sofa</v>
      </c>
      <c r="S590" t="str">
        <v>Furniture</v>
      </c>
      <c r="T590">
        <v>3749.82</v>
      </c>
      <c r="U590" t="str">
        <v>Brandon King</v>
      </c>
      <c r="V590">
        <v>34364</v>
      </c>
      <c r="W590">
        <v>44706</v>
      </c>
      <c r="X590">
        <v>11.58</v>
      </c>
      <c r="Y590">
        <v>434.22915600000005</v>
      </c>
      <c r="Z590">
        <v>3315.5908440000003</v>
      </c>
      <c r="AC590" t="str">
        <v>Rice</v>
      </c>
      <c r="AD590">
        <v>2289.1679400000003</v>
      </c>
      <c r="AF590">
        <v>1805</v>
      </c>
      <c r="AG590" t="str">
        <v>Jeans</v>
      </c>
      <c r="AH590">
        <v>1188.0875129999999</v>
      </c>
    </row>
    <row r="591" spans="1:34" x14ac:dyDescent="0.3">
      <c r="A591" s="1">
        <v>1589</v>
      </c>
      <c r="B591" s="2">
        <v>45390</v>
      </c>
      <c r="C591" s="1" t="s">
        <v>21</v>
      </c>
      <c r="D591" s="1" t="s">
        <v>69</v>
      </c>
      <c r="E591" s="1" t="s">
        <v>31</v>
      </c>
      <c r="F591" s="1">
        <v>2776.4</v>
      </c>
      <c r="G591" s="1" t="s">
        <v>176</v>
      </c>
      <c r="H591" s="2">
        <v>33282</v>
      </c>
      <c r="I591" s="2">
        <v>45392</v>
      </c>
      <c r="J591" s="1">
        <v>18.579999999999998</v>
      </c>
      <c r="K591" s="4">
        <f t="shared" si="18"/>
        <v>515.85511999999994</v>
      </c>
      <c r="L591" s="4">
        <f t="shared" si="19"/>
        <v>2260.5448800000004</v>
      </c>
      <c r="O591">
        <v>1810</v>
      </c>
      <c r="P591">
        <v>45867</v>
      </c>
      <c r="Q591" t="str">
        <v>South</v>
      </c>
      <c r="R591" t="str">
        <v>Oil</v>
      </c>
      <c r="S591" t="str">
        <v>Groceries</v>
      </c>
      <c r="T591">
        <v>3858.01</v>
      </c>
      <c r="U591" t="str">
        <v>Christine Wiley</v>
      </c>
      <c r="V591">
        <v>25222</v>
      </c>
      <c r="W591">
        <v>45876</v>
      </c>
      <c r="X591">
        <v>24.94</v>
      </c>
      <c r="Y591">
        <v>962.18769400000008</v>
      </c>
      <c r="Z591">
        <v>2895.822306</v>
      </c>
      <c r="AC591" t="str">
        <v>Sofa</v>
      </c>
      <c r="AD591">
        <v>3315.5908440000003</v>
      </c>
      <c r="AF591">
        <v>1806</v>
      </c>
      <c r="AG591" t="str">
        <v>Rice</v>
      </c>
      <c r="AH591">
        <v>2289.1679400000003</v>
      </c>
    </row>
    <row r="592" spans="1:34" x14ac:dyDescent="0.3">
      <c r="A592" s="1">
        <v>1590</v>
      </c>
      <c r="B592" s="2">
        <v>44460</v>
      </c>
      <c r="C592" s="1" t="s">
        <v>21</v>
      </c>
      <c r="D592" s="1" t="s">
        <v>11</v>
      </c>
      <c r="E592" s="1" t="s">
        <v>12</v>
      </c>
      <c r="F592" s="1">
        <v>341.81</v>
      </c>
      <c r="G592" s="1" t="s">
        <v>139</v>
      </c>
      <c r="H592" s="2">
        <v>29381</v>
      </c>
      <c r="I592" s="2">
        <v>44466</v>
      </c>
      <c r="J592" s="1">
        <v>19.75</v>
      </c>
      <c r="K592" s="4">
        <f t="shared" si="18"/>
        <v>67.507474999999999</v>
      </c>
      <c r="L592" s="4">
        <f t="shared" si="19"/>
        <v>274.302525</v>
      </c>
      <c r="O592">
        <v>1812</v>
      </c>
      <c r="P592">
        <v>44424</v>
      </c>
      <c r="Q592" t="str">
        <v>East</v>
      </c>
      <c r="R592" t="str">
        <v>Shoes</v>
      </c>
      <c r="S592" t="str">
        <v>Clothing</v>
      </c>
      <c r="T592">
        <v>2457.6999999999998</v>
      </c>
      <c r="U592" t="str">
        <v>Jesse Hernandez</v>
      </c>
      <c r="V592">
        <v>27550</v>
      </c>
      <c r="W592">
        <v>44425</v>
      </c>
      <c r="X592">
        <v>27.07</v>
      </c>
      <c r="Y592">
        <v>665.2993899999999</v>
      </c>
      <c r="Z592">
        <v>1792.4006099999999</v>
      </c>
      <c r="AC592" t="str">
        <v>Oil</v>
      </c>
      <c r="AD592">
        <v>2895.822306</v>
      </c>
      <c r="AF592">
        <v>1809</v>
      </c>
      <c r="AG592" t="str">
        <v>Sofa</v>
      </c>
      <c r="AH592">
        <v>3315.5908440000003</v>
      </c>
    </row>
    <row r="593" spans="1:34" x14ac:dyDescent="0.3">
      <c r="A593" s="1">
        <v>1591</v>
      </c>
      <c r="B593" s="2">
        <v>44923</v>
      </c>
      <c r="C593" s="1" t="s">
        <v>35</v>
      </c>
      <c r="D593" s="1" t="s">
        <v>22</v>
      </c>
      <c r="E593" s="1" t="s">
        <v>19</v>
      </c>
      <c r="F593" s="1">
        <v>1301.82</v>
      </c>
      <c r="G593" s="1" t="s">
        <v>207</v>
      </c>
      <c r="H593" s="2">
        <v>23988</v>
      </c>
      <c r="I593" s="2">
        <v>44928</v>
      </c>
      <c r="J593" s="1">
        <v>30.44</v>
      </c>
      <c r="K593" s="4">
        <f t="shared" si="18"/>
        <v>396.27400799999998</v>
      </c>
      <c r="L593" s="4">
        <f t="shared" si="19"/>
        <v>905.54599199999996</v>
      </c>
      <c r="O593">
        <v>1813</v>
      </c>
      <c r="P593">
        <v>45559</v>
      </c>
      <c r="Q593" t="str">
        <v>North</v>
      </c>
      <c r="R593" t="str">
        <v>Tennis Racket</v>
      </c>
      <c r="S593" t="str">
        <v>Sports</v>
      </c>
      <c r="T593">
        <v>2847.95</v>
      </c>
      <c r="U593" t="str">
        <v>Jean Garza</v>
      </c>
      <c r="V593">
        <v>25863</v>
      </c>
      <c r="W593">
        <v>45563</v>
      </c>
      <c r="X593">
        <v>10.87</v>
      </c>
      <c r="Y593">
        <v>309.57216499999993</v>
      </c>
      <c r="Z593">
        <v>2538.3778349999998</v>
      </c>
      <c r="AC593" t="str">
        <v>Shoes</v>
      </c>
      <c r="AD593">
        <v>1792.4006099999999</v>
      </c>
      <c r="AF593">
        <v>1810</v>
      </c>
      <c r="AG593" t="str">
        <v>Oil</v>
      </c>
      <c r="AH593">
        <v>2895.822306</v>
      </c>
    </row>
    <row r="594" spans="1:34" x14ac:dyDescent="0.3">
      <c r="A594" s="1">
        <v>1592</v>
      </c>
      <c r="B594" s="2">
        <v>45242</v>
      </c>
      <c r="C594" s="1" t="s">
        <v>35</v>
      </c>
      <c r="D594" s="1" t="s">
        <v>40</v>
      </c>
      <c r="E594" s="1" t="s">
        <v>16</v>
      </c>
      <c r="F594" s="1">
        <v>1354.64</v>
      </c>
      <c r="G594" s="1" t="s">
        <v>289</v>
      </c>
      <c r="H594" s="2">
        <v>21923</v>
      </c>
      <c r="I594" s="2">
        <v>45248</v>
      </c>
      <c r="J594" s="1">
        <v>49.02</v>
      </c>
      <c r="K594" s="4">
        <f t="shared" si="18"/>
        <v>664.04452800000013</v>
      </c>
      <c r="L594" s="4">
        <f t="shared" si="19"/>
        <v>690.59547199999997</v>
      </c>
      <c r="O594">
        <v>1814</v>
      </c>
      <c r="P594">
        <v>44257</v>
      </c>
      <c r="Q594" t="str">
        <v>North</v>
      </c>
      <c r="R594" t="str">
        <v>Shoes</v>
      </c>
      <c r="S594" t="str">
        <v>Clothing</v>
      </c>
      <c r="T594">
        <v>4804.79</v>
      </c>
      <c r="U594" t="str">
        <v>Zachary Anthony</v>
      </c>
      <c r="V594">
        <v>34704</v>
      </c>
      <c r="W594">
        <v>44264</v>
      </c>
      <c r="X594">
        <v>2.2000000000000002</v>
      </c>
      <c r="Y594">
        <v>105.70538000000001</v>
      </c>
      <c r="Z594">
        <v>4699.0846199999996</v>
      </c>
      <c r="AC594" t="str">
        <v>Tennis Racket</v>
      </c>
      <c r="AD594">
        <v>2538.3778349999998</v>
      </c>
      <c r="AF594">
        <v>1812</v>
      </c>
      <c r="AG594" t="str">
        <v>Shoes</v>
      </c>
      <c r="AH594">
        <v>1792.4006099999999</v>
      </c>
    </row>
    <row r="595" spans="1:34" x14ac:dyDescent="0.3">
      <c r="A595" s="1">
        <v>1593</v>
      </c>
      <c r="B595" s="2">
        <v>45688</v>
      </c>
      <c r="C595" s="1" t="s">
        <v>26</v>
      </c>
      <c r="D595" s="1" t="s">
        <v>73</v>
      </c>
      <c r="E595" s="1" t="s">
        <v>28</v>
      </c>
      <c r="F595" s="1">
        <v>4679.8599999999997</v>
      </c>
      <c r="G595" s="1" t="s">
        <v>37</v>
      </c>
      <c r="H595" s="2">
        <v>27534</v>
      </c>
      <c r="I595" s="2">
        <v>45692</v>
      </c>
      <c r="J595" s="1">
        <v>10.66</v>
      </c>
      <c r="K595" s="4">
        <f t="shared" si="18"/>
        <v>498.87307599999997</v>
      </c>
      <c r="L595" s="4">
        <f t="shared" si="19"/>
        <v>4180.9869239999998</v>
      </c>
      <c r="O595">
        <v>1816</v>
      </c>
      <c r="P595">
        <v>45004</v>
      </c>
      <c r="Q595" t="str">
        <v>North</v>
      </c>
      <c r="R595" t="str">
        <v>Shoes</v>
      </c>
      <c r="S595" t="str">
        <v>Sports</v>
      </c>
      <c r="T595">
        <v>2142.34</v>
      </c>
      <c r="U595" t="str">
        <v>Christopher Campbell</v>
      </c>
      <c r="V595">
        <v>26082</v>
      </c>
      <c r="W595">
        <v>45015</v>
      </c>
      <c r="X595">
        <v>31.97</v>
      </c>
      <c r="Y595">
        <v>684.90609800000004</v>
      </c>
      <c r="Z595">
        <v>1457.4339020000002</v>
      </c>
      <c r="AC595" t="str">
        <v>Shoes</v>
      </c>
      <c r="AD595">
        <v>4699.0846199999996</v>
      </c>
      <c r="AF595">
        <v>1813</v>
      </c>
      <c r="AG595" t="str">
        <v>Tennis Racket</v>
      </c>
      <c r="AH595">
        <v>2538.3778349999998</v>
      </c>
    </row>
    <row r="596" spans="1:34" x14ac:dyDescent="0.3">
      <c r="A596" s="1">
        <v>1594</v>
      </c>
      <c r="B596" s="2">
        <v>44911</v>
      </c>
      <c r="C596" s="1" t="s">
        <v>35</v>
      </c>
      <c r="D596" s="1" t="s">
        <v>33</v>
      </c>
      <c r="E596" s="1" t="s">
        <v>16</v>
      </c>
      <c r="F596" s="1">
        <v>2530.5</v>
      </c>
      <c r="G596" s="1" t="s">
        <v>276</v>
      </c>
      <c r="H596" s="2">
        <v>33394</v>
      </c>
      <c r="I596" s="2">
        <v>44917</v>
      </c>
      <c r="J596" s="1">
        <v>32.81</v>
      </c>
      <c r="K596" s="4">
        <f t="shared" si="18"/>
        <v>830.25705000000005</v>
      </c>
      <c r="L596" s="4">
        <f t="shared" si="19"/>
        <v>1700.2429499999998</v>
      </c>
      <c r="O596">
        <v>1817</v>
      </c>
      <c r="P596">
        <v>44803</v>
      </c>
      <c r="Q596" t="str">
        <v>Central</v>
      </c>
      <c r="R596" t="str">
        <v>Shoes</v>
      </c>
      <c r="S596" t="str">
        <v>Clothing</v>
      </c>
      <c r="T596">
        <v>1944.47</v>
      </c>
      <c r="U596" t="str">
        <v>Jacqueline Brown</v>
      </c>
      <c r="V596">
        <v>33840</v>
      </c>
      <c r="W596">
        <v>44814</v>
      </c>
      <c r="X596">
        <v>41.62</v>
      </c>
      <c r="Y596">
        <v>809.28841399999988</v>
      </c>
      <c r="Z596">
        <v>1135.1815860000002</v>
      </c>
      <c r="AC596" t="str">
        <v>Shoes</v>
      </c>
      <c r="AD596">
        <v>1457.4339020000002</v>
      </c>
      <c r="AF596">
        <v>1814</v>
      </c>
      <c r="AG596" t="str">
        <v>Shoes</v>
      </c>
      <c r="AH596">
        <v>4699.0846199999996</v>
      </c>
    </row>
    <row r="597" spans="1:34" x14ac:dyDescent="0.3">
      <c r="A597" s="1">
        <v>1595</v>
      </c>
      <c r="B597" s="2">
        <v>45142</v>
      </c>
      <c r="C597" s="1" t="s">
        <v>35</v>
      </c>
      <c r="D597" s="1" t="s">
        <v>18</v>
      </c>
      <c r="E597" s="1" t="s">
        <v>19</v>
      </c>
      <c r="F597" s="1">
        <v>153.46</v>
      </c>
      <c r="G597" s="1" t="s">
        <v>120</v>
      </c>
      <c r="H597" s="2">
        <v>30820</v>
      </c>
      <c r="I597" s="2">
        <v>45145</v>
      </c>
      <c r="J597" s="1">
        <v>37.5</v>
      </c>
      <c r="K597" s="4">
        <f t="shared" si="18"/>
        <v>57.547499999999999</v>
      </c>
      <c r="L597" s="4">
        <f t="shared" si="19"/>
        <v>95.912500000000009</v>
      </c>
      <c r="O597">
        <v>1819</v>
      </c>
      <c r="P597">
        <v>44970</v>
      </c>
      <c r="Q597" t="str">
        <v>Central</v>
      </c>
      <c r="R597" t="str">
        <v>Camera</v>
      </c>
      <c r="S597" t="str">
        <v>Electronics</v>
      </c>
      <c r="T597">
        <v>2156.0700000000002</v>
      </c>
      <c r="U597" t="str">
        <v>Bruce Miller</v>
      </c>
      <c r="V597">
        <v>31775</v>
      </c>
      <c r="W597">
        <v>44983</v>
      </c>
      <c r="X597">
        <v>27.96</v>
      </c>
      <c r="Y597">
        <v>602.83717200000012</v>
      </c>
      <c r="Z597">
        <v>1553.2328280000002</v>
      </c>
      <c r="AC597" t="str">
        <v>Shoes</v>
      </c>
      <c r="AD597">
        <v>1135.1815860000002</v>
      </c>
      <c r="AF597">
        <v>1816</v>
      </c>
      <c r="AG597" t="str">
        <v>Shoes</v>
      </c>
      <c r="AH597">
        <v>1457.4339020000002</v>
      </c>
    </row>
    <row r="598" spans="1:34" x14ac:dyDescent="0.3">
      <c r="A598" s="1">
        <v>1596</v>
      </c>
      <c r="B598" s="2">
        <v>45749</v>
      </c>
      <c r="C598" s="1" t="s">
        <v>35</v>
      </c>
      <c r="D598" s="1" t="s">
        <v>58</v>
      </c>
      <c r="E598" s="1" t="s">
        <v>31</v>
      </c>
      <c r="F598" s="1">
        <v>3280.76</v>
      </c>
      <c r="G598" s="1" t="s">
        <v>215</v>
      </c>
      <c r="H598" s="2">
        <v>31386</v>
      </c>
      <c r="I598" s="2">
        <v>45763</v>
      </c>
      <c r="J598" s="1">
        <v>44.88</v>
      </c>
      <c r="K598" s="4">
        <f t="shared" si="18"/>
        <v>1472.4050880000002</v>
      </c>
      <c r="L598" s="4">
        <f t="shared" si="19"/>
        <v>1808.354912</v>
      </c>
      <c r="O598">
        <v>1820</v>
      </c>
      <c r="P598">
        <v>44680</v>
      </c>
      <c r="Q598" t="str">
        <v>West</v>
      </c>
      <c r="R598" t="str">
        <v>Camera</v>
      </c>
      <c r="S598" t="str">
        <v>Electronics</v>
      </c>
      <c r="T598">
        <v>4278.82</v>
      </c>
      <c r="U598" t="str">
        <v>Diane Coleman</v>
      </c>
      <c r="V598">
        <v>26001</v>
      </c>
      <c r="W598">
        <v>44683</v>
      </c>
      <c r="X598">
        <v>14.22</v>
      </c>
      <c r="Y598">
        <v>608.44820399999992</v>
      </c>
      <c r="Z598">
        <v>3670.3717959999999</v>
      </c>
      <c r="AC598" t="str">
        <v>Camera</v>
      </c>
      <c r="AD598">
        <v>1553.2328280000002</v>
      </c>
      <c r="AF598">
        <v>1817</v>
      </c>
      <c r="AG598" t="str">
        <v>Shoes</v>
      </c>
      <c r="AH598">
        <v>1135.1815860000002</v>
      </c>
    </row>
    <row r="599" spans="1:34" x14ac:dyDescent="0.3">
      <c r="A599" s="1">
        <v>1597</v>
      </c>
      <c r="B599" s="2">
        <v>45427</v>
      </c>
      <c r="C599" s="1" t="s">
        <v>21</v>
      </c>
      <c r="D599" s="1" t="s">
        <v>27</v>
      </c>
      <c r="E599" s="1" t="s">
        <v>28</v>
      </c>
      <c r="F599" s="1">
        <v>4720</v>
      </c>
      <c r="G599" s="1" t="s">
        <v>119</v>
      </c>
      <c r="H599" s="2">
        <v>34954</v>
      </c>
      <c r="I599" s="2">
        <v>45439</v>
      </c>
      <c r="J599" s="1">
        <v>0.59</v>
      </c>
      <c r="K599" s="4">
        <f t="shared" si="18"/>
        <v>27.847999999999999</v>
      </c>
      <c r="L599" s="4">
        <f t="shared" si="19"/>
        <v>4692.152</v>
      </c>
      <c r="O599">
        <v>1822</v>
      </c>
      <c r="P599">
        <v>44451</v>
      </c>
      <c r="Q599" t="str">
        <v>South</v>
      </c>
      <c r="R599" t="str">
        <v>Cap</v>
      </c>
      <c r="S599" t="str">
        <v>Clothing</v>
      </c>
      <c r="T599">
        <v>4405.46</v>
      </c>
      <c r="U599" t="str">
        <v>Veronica Kelly</v>
      </c>
      <c r="V599">
        <v>36036</v>
      </c>
      <c r="W599">
        <v>44465</v>
      </c>
      <c r="X599">
        <v>7.38</v>
      </c>
      <c r="Y599">
        <v>325.12294800000001</v>
      </c>
      <c r="Z599">
        <v>4080.3370519999999</v>
      </c>
      <c r="AC599" t="str">
        <v>Camera</v>
      </c>
      <c r="AD599">
        <v>3670.3717959999999</v>
      </c>
      <c r="AF599">
        <v>1819</v>
      </c>
      <c r="AG599" t="str">
        <v>Camera</v>
      </c>
      <c r="AH599">
        <v>1553.2328280000002</v>
      </c>
    </row>
    <row r="600" spans="1:34" x14ac:dyDescent="0.3">
      <c r="A600" s="1">
        <v>1598</v>
      </c>
      <c r="B600" s="2">
        <v>44229</v>
      </c>
      <c r="C600" s="1" t="s">
        <v>14</v>
      </c>
      <c r="D600" s="1" t="s">
        <v>53</v>
      </c>
      <c r="E600" s="1" t="s">
        <v>28</v>
      </c>
      <c r="F600" s="1">
        <v>4004.86</v>
      </c>
      <c r="G600" s="1" t="s">
        <v>188</v>
      </c>
      <c r="H600" s="2">
        <v>31467</v>
      </c>
      <c r="I600" s="2">
        <v>44234</v>
      </c>
      <c r="J600" s="1">
        <v>10.119999999999999</v>
      </c>
      <c r="K600" s="4">
        <f t="shared" si="18"/>
        <v>405.291832</v>
      </c>
      <c r="L600" s="4">
        <f t="shared" si="19"/>
        <v>3599.5681680000002</v>
      </c>
      <c r="O600">
        <v>1825</v>
      </c>
      <c r="P600">
        <v>44660</v>
      </c>
      <c r="Q600" t="str">
        <v>West</v>
      </c>
      <c r="R600" t="str">
        <v>Cricket Bat</v>
      </c>
      <c r="S600" t="str">
        <v>Sports</v>
      </c>
      <c r="T600">
        <v>3209.4</v>
      </c>
      <c r="U600" t="str">
        <v>Matthew Moore</v>
      </c>
      <c r="V600">
        <v>29366</v>
      </c>
      <c r="W600">
        <v>44674</v>
      </c>
      <c r="X600">
        <v>14.74</v>
      </c>
      <c r="Y600">
        <v>473.06556</v>
      </c>
      <c r="Z600">
        <v>2736.3344400000001</v>
      </c>
      <c r="AC600" t="str">
        <v>Cap</v>
      </c>
      <c r="AD600">
        <v>4080.3370519999999</v>
      </c>
      <c r="AF600">
        <v>1820</v>
      </c>
      <c r="AG600" t="str">
        <v>Camera</v>
      </c>
      <c r="AH600">
        <v>3670.3717959999999</v>
      </c>
    </row>
    <row r="601" spans="1:34" x14ac:dyDescent="0.3">
      <c r="A601" s="1">
        <v>1599</v>
      </c>
      <c r="B601" s="2">
        <v>45019</v>
      </c>
      <c r="C601" s="1" t="s">
        <v>35</v>
      </c>
      <c r="D601" s="1" t="s">
        <v>38</v>
      </c>
      <c r="E601" s="1" t="s">
        <v>28</v>
      </c>
      <c r="F601" s="1">
        <v>4965.5600000000004</v>
      </c>
      <c r="G601" s="1" t="s">
        <v>121</v>
      </c>
      <c r="H601" s="2">
        <v>24580</v>
      </c>
      <c r="I601" s="2">
        <v>45026</v>
      </c>
      <c r="J601" s="1">
        <v>27.76</v>
      </c>
      <c r="K601" s="4">
        <f t="shared" si="18"/>
        <v>1378.4394560000003</v>
      </c>
      <c r="L601" s="4">
        <f t="shared" si="19"/>
        <v>3587.1205440000003</v>
      </c>
      <c r="O601">
        <v>1827</v>
      </c>
      <c r="P601">
        <v>45011</v>
      </c>
      <c r="Q601" t="str">
        <v>South</v>
      </c>
      <c r="R601" t="str">
        <v>Wheat</v>
      </c>
      <c r="S601" t="str">
        <v>Groceries</v>
      </c>
      <c r="T601">
        <v>3345.58</v>
      </c>
      <c r="U601" t="str">
        <v>Billy Chavez</v>
      </c>
      <c r="V601">
        <v>31224</v>
      </c>
      <c r="W601">
        <v>45019</v>
      </c>
      <c r="X601">
        <v>17.25</v>
      </c>
      <c r="Y601">
        <v>577.11254999999994</v>
      </c>
      <c r="Z601">
        <v>2768.4674500000001</v>
      </c>
      <c r="AC601" t="str">
        <v>Cricket Bat</v>
      </c>
      <c r="AD601">
        <v>2736.3344400000001</v>
      </c>
      <c r="AF601">
        <v>1822</v>
      </c>
      <c r="AG601" t="str">
        <v>Cap</v>
      </c>
      <c r="AH601">
        <v>4080.3370519999999</v>
      </c>
    </row>
    <row r="602" spans="1:34" x14ac:dyDescent="0.3">
      <c r="A602" s="1">
        <v>1600</v>
      </c>
      <c r="B602" s="2">
        <v>45120</v>
      </c>
      <c r="C602" s="1" t="s">
        <v>35</v>
      </c>
      <c r="D602" s="1" t="s">
        <v>61</v>
      </c>
      <c r="E602" s="1" t="s">
        <v>19</v>
      </c>
      <c r="F602" s="1">
        <v>4869.33</v>
      </c>
      <c r="G602" s="1" t="s">
        <v>230</v>
      </c>
      <c r="H602" s="2">
        <v>35642</v>
      </c>
      <c r="I602" s="2">
        <v>45125</v>
      </c>
      <c r="J602" s="1">
        <v>43.72</v>
      </c>
      <c r="K602" s="4">
        <f t="shared" si="18"/>
        <v>2128.8710759999999</v>
      </c>
      <c r="L602" s="4">
        <f t="shared" si="19"/>
        <v>2740.458924</v>
      </c>
      <c r="O602">
        <v>1828</v>
      </c>
      <c r="P602">
        <v>44512</v>
      </c>
      <c r="Q602" t="str">
        <v>South</v>
      </c>
      <c r="R602" t="str">
        <v>Camera</v>
      </c>
      <c r="S602" t="str">
        <v>Electronics</v>
      </c>
      <c r="T602">
        <v>4628.91</v>
      </c>
      <c r="U602" t="str">
        <v>April Morgan</v>
      </c>
      <c r="V602">
        <v>22870</v>
      </c>
      <c r="W602">
        <v>44524</v>
      </c>
      <c r="X602">
        <v>34.04</v>
      </c>
      <c r="Y602">
        <v>1575.6809639999999</v>
      </c>
      <c r="Z602">
        <v>3053.2290359999997</v>
      </c>
      <c r="AC602" t="str">
        <v>Wheat</v>
      </c>
      <c r="AD602">
        <v>2768.4674500000001</v>
      </c>
      <c r="AF602">
        <v>1825</v>
      </c>
      <c r="AG602" t="str">
        <v>Cricket Bat</v>
      </c>
      <c r="AH602">
        <v>2736.3344400000001</v>
      </c>
    </row>
    <row r="603" spans="1:34" x14ac:dyDescent="0.3">
      <c r="A603" s="1">
        <v>1601</v>
      </c>
      <c r="B603" s="2">
        <v>45387</v>
      </c>
      <c r="C603" s="1" t="s">
        <v>26</v>
      </c>
      <c r="D603" s="1" t="s">
        <v>33</v>
      </c>
      <c r="E603" s="1" t="s">
        <v>16</v>
      </c>
      <c r="F603" s="1">
        <v>4672.42</v>
      </c>
      <c r="G603" s="1" t="s">
        <v>255</v>
      </c>
      <c r="H603" s="2">
        <v>22646</v>
      </c>
      <c r="I603" s="2">
        <v>45391</v>
      </c>
      <c r="J603" s="1">
        <v>31.77</v>
      </c>
      <c r="K603" s="4">
        <f t="shared" si="18"/>
        <v>1484.4278339999998</v>
      </c>
      <c r="L603" s="4">
        <f t="shared" si="19"/>
        <v>3187.992166</v>
      </c>
      <c r="O603">
        <v>1829</v>
      </c>
      <c r="P603">
        <v>44826</v>
      </c>
      <c r="Q603" t="str">
        <v>South</v>
      </c>
      <c r="R603" t="str">
        <v>Oil</v>
      </c>
      <c r="S603" t="str">
        <v>Groceries</v>
      </c>
      <c r="T603">
        <v>2240.89</v>
      </c>
      <c r="U603" t="str">
        <v>Ryan Hanson</v>
      </c>
      <c r="V603">
        <v>25440</v>
      </c>
      <c r="W603">
        <v>44836</v>
      </c>
      <c r="X603">
        <v>2.46</v>
      </c>
      <c r="Y603">
        <v>55.125893999999995</v>
      </c>
      <c r="Z603">
        <v>2185.7641060000001</v>
      </c>
      <c r="AC603" t="str">
        <v>Camera</v>
      </c>
      <c r="AD603">
        <v>3053.2290359999997</v>
      </c>
      <c r="AF603">
        <v>1827</v>
      </c>
      <c r="AG603" t="str">
        <v>Wheat</v>
      </c>
      <c r="AH603">
        <v>2768.4674500000001</v>
      </c>
    </row>
    <row r="604" spans="1:34" x14ac:dyDescent="0.3">
      <c r="A604" s="1">
        <v>1602</v>
      </c>
      <c r="B604" s="2">
        <v>45090</v>
      </c>
      <c r="C604" s="1" t="s">
        <v>21</v>
      </c>
      <c r="D604" s="1" t="s">
        <v>22</v>
      </c>
      <c r="E604" s="1" t="s">
        <v>19</v>
      </c>
      <c r="F604" s="1">
        <v>3353.57</v>
      </c>
      <c r="G604" s="1" t="s">
        <v>118</v>
      </c>
      <c r="H604" s="2">
        <v>22599</v>
      </c>
      <c r="I604" s="2">
        <v>45095</v>
      </c>
      <c r="J604" s="1">
        <v>37.700000000000003</v>
      </c>
      <c r="K604" s="4">
        <f t="shared" si="18"/>
        <v>1264.2958900000001</v>
      </c>
      <c r="L604" s="4">
        <f t="shared" si="19"/>
        <v>2089.2741100000003</v>
      </c>
      <c r="O604">
        <v>1830</v>
      </c>
      <c r="P604">
        <v>44398</v>
      </c>
      <c r="Q604" t="str">
        <v>West</v>
      </c>
      <c r="R604" t="str">
        <v>Chair</v>
      </c>
      <c r="S604" t="str">
        <v>Furniture</v>
      </c>
      <c r="T604">
        <v>2312.25</v>
      </c>
      <c r="U604" t="str">
        <v>Karen Hernandez</v>
      </c>
      <c r="V604">
        <v>30976</v>
      </c>
      <c r="W604">
        <v>44408</v>
      </c>
      <c r="X604">
        <v>8.42</v>
      </c>
      <c r="Y604">
        <v>194.69145</v>
      </c>
      <c r="Z604">
        <v>2117.5585500000002</v>
      </c>
      <c r="AC604" t="str">
        <v>Oil</v>
      </c>
      <c r="AD604">
        <v>2185.7641060000001</v>
      </c>
      <c r="AF604">
        <v>1828</v>
      </c>
      <c r="AG604" t="str">
        <v>Camera</v>
      </c>
      <c r="AH604">
        <v>3053.2290359999997</v>
      </c>
    </row>
    <row r="605" spans="1:34" x14ac:dyDescent="0.3">
      <c r="A605" s="1">
        <v>1603</v>
      </c>
      <c r="B605" s="2">
        <v>44250</v>
      </c>
      <c r="C605" s="1" t="s">
        <v>26</v>
      </c>
      <c r="D605" s="1" t="s">
        <v>27</v>
      </c>
      <c r="E605" s="1" t="s">
        <v>28</v>
      </c>
      <c r="F605" s="1">
        <v>3665.39</v>
      </c>
      <c r="G605" s="1" t="s">
        <v>103</v>
      </c>
      <c r="H605" s="2">
        <v>30923</v>
      </c>
      <c r="I605" s="2">
        <v>44254</v>
      </c>
      <c r="J605" s="1">
        <v>16.36</v>
      </c>
      <c r="K605" s="4">
        <f t="shared" si="18"/>
        <v>599.65780399999994</v>
      </c>
      <c r="L605" s="4">
        <f t="shared" si="19"/>
        <v>3065.7321959999999</v>
      </c>
      <c r="O605">
        <v>1831</v>
      </c>
      <c r="P605">
        <v>45459</v>
      </c>
      <c r="Q605" t="str">
        <v>North</v>
      </c>
      <c r="R605" t="str">
        <v>Smartphone</v>
      </c>
      <c r="S605" t="str">
        <v>Electronics</v>
      </c>
      <c r="T605">
        <v>2924.35</v>
      </c>
      <c r="U605" t="str">
        <v>Jackie Foster</v>
      </c>
      <c r="V605">
        <v>22796</v>
      </c>
      <c r="W605">
        <v>45466</v>
      </c>
      <c r="X605">
        <v>28.88</v>
      </c>
      <c r="Y605">
        <v>844.55228</v>
      </c>
      <c r="Z605">
        <v>2079.79772</v>
      </c>
      <c r="AC605" t="str">
        <v>Chair</v>
      </c>
      <c r="AD605">
        <v>2117.5585500000002</v>
      </c>
      <c r="AF605">
        <v>1829</v>
      </c>
      <c r="AG605" t="str">
        <v>Oil</v>
      </c>
      <c r="AH605">
        <v>2185.7641060000001</v>
      </c>
    </row>
    <row r="606" spans="1:34" x14ac:dyDescent="0.3">
      <c r="A606" s="1">
        <v>1604</v>
      </c>
      <c r="B606" s="2">
        <v>44827</v>
      </c>
      <c r="C606" s="1" t="s">
        <v>35</v>
      </c>
      <c r="D606" s="1" t="s">
        <v>18</v>
      </c>
      <c r="E606" s="1" t="s">
        <v>19</v>
      </c>
      <c r="F606" s="1">
        <v>3004.02</v>
      </c>
      <c r="G606" s="1" t="s">
        <v>290</v>
      </c>
      <c r="H606" s="2">
        <v>31764</v>
      </c>
      <c r="I606" s="2">
        <v>44835</v>
      </c>
      <c r="J606" s="1">
        <v>44.09</v>
      </c>
      <c r="K606" s="4">
        <f t="shared" si="18"/>
        <v>1324.4724180000001</v>
      </c>
      <c r="L606" s="4">
        <f t="shared" si="19"/>
        <v>1679.5475819999999</v>
      </c>
      <c r="O606">
        <v>1833</v>
      </c>
      <c r="P606">
        <v>45659</v>
      </c>
      <c r="Q606" t="str">
        <v>West</v>
      </c>
      <c r="R606" t="str">
        <v>Cap</v>
      </c>
      <c r="S606" t="str">
        <v>Clothing</v>
      </c>
      <c r="T606">
        <v>4576.63</v>
      </c>
      <c r="U606" t="str">
        <v>Andrea Mendez</v>
      </c>
      <c r="V606">
        <v>36236</v>
      </c>
      <c r="W606">
        <v>45671</v>
      </c>
      <c r="X606">
        <v>18.88</v>
      </c>
      <c r="Y606">
        <v>864.06774399999995</v>
      </c>
      <c r="Z606">
        <v>3712.5622560000002</v>
      </c>
      <c r="AC606" t="str">
        <v>Smartphone</v>
      </c>
      <c r="AD606">
        <v>2079.79772</v>
      </c>
      <c r="AF606">
        <v>1830</v>
      </c>
      <c r="AG606" t="str">
        <v>Chair</v>
      </c>
      <c r="AH606">
        <v>2117.5585500000002</v>
      </c>
    </row>
    <row r="607" spans="1:34" x14ac:dyDescent="0.3">
      <c r="A607" s="1">
        <v>1605</v>
      </c>
      <c r="B607" s="2">
        <v>45700</v>
      </c>
      <c r="C607" s="1" t="s">
        <v>10</v>
      </c>
      <c r="D607" s="1" t="s">
        <v>69</v>
      </c>
      <c r="E607" s="1" t="s">
        <v>31</v>
      </c>
      <c r="F607" s="1">
        <v>1214.72</v>
      </c>
      <c r="G607" s="1" t="s">
        <v>233</v>
      </c>
      <c r="H607" s="2">
        <v>38826</v>
      </c>
      <c r="I607" s="2">
        <v>45710</v>
      </c>
      <c r="J607" s="1">
        <v>5.04</v>
      </c>
      <c r="K607" s="4">
        <f t="shared" si="18"/>
        <v>61.221888</v>
      </c>
      <c r="L607" s="4">
        <f t="shared" si="19"/>
        <v>1153.498112</v>
      </c>
      <c r="O607">
        <v>1834</v>
      </c>
      <c r="P607">
        <v>45874</v>
      </c>
      <c r="Q607" t="str">
        <v>East</v>
      </c>
      <c r="R607" t="str">
        <v>Shoes</v>
      </c>
      <c r="S607" t="str">
        <v>Sports</v>
      </c>
      <c r="T607">
        <v>4328.8599999999997</v>
      </c>
      <c r="U607" t="str">
        <v>Karen Hernandez</v>
      </c>
      <c r="V607">
        <v>30976</v>
      </c>
      <c r="W607">
        <v>45882</v>
      </c>
      <c r="X607">
        <v>2.94</v>
      </c>
      <c r="Y607">
        <v>127.26848399999999</v>
      </c>
      <c r="Z607">
        <v>4201.5915159999995</v>
      </c>
      <c r="AC607" t="str">
        <v>Cap</v>
      </c>
      <c r="AD607">
        <v>3712.5622560000002</v>
      </c>
      <c r="AF607">
        <v>1831</v>
      </c>
      <c r="AG607" t="str">
        <v>Smartphone</v>
      </c>
      <c r="AH607">
        <v>2079.79772</v>
      </c>
    </row>
    <row r="608" spans="1:34" x14ac:dyDescent="0.3">
      <c r="A608" s="1">
        <v>1606</v>
      </c>
      <c r="B608" s="2">
        <v>45887</v>
      </c>
      <c r="C608" s="1" t="s">
        <v>35</v>
      </c>
      <c r="D608" s="1" t="s">
        <v>73</v>
      </c>
      <c r="E608" s="1" t="s">
        <v>28</v>
      </c>
      <c r="F608" s="1">
        <v>2043.99</v>
      </c>
      <c r="G608" s="1" t="s">
        <v>146</v>
      </c>
      <c r="H608" s="2">
        <v>24961</v>
      </c>
      <c r="I608" s="2">
        <v>45891</v>
      </c>
      <c r="J608" s="1">
        <v>4.74</v>
      </c>
      <c r="K608" s="4">
        <f t="shared" si="18"/>
        <v>96.885126000000014</v>
      </c>
      <c r="L608" s="4">
        <f t="shared" si="19"/>
        <v>1947.1048740000001</v>
      </c>
      <c r="O608">
        <v>1839</v>
      </c>
      <c r="P608">
        <v>45605</v>
      </c>
      <c r="Q608" t="str">
        <v>South</v>
      </c>
      <c r="R608" t="str">
        <v>Sofa</v>
      </c>
      <c r="S608" t="str">
        <v>Furniture</v>
      </c>
      <c r="T608">
        <v>2593.1999999999998</v>
      </c>
      <c r="U608" t="str">
        <v>Nancy French</v>
      </c>
      <c r="V608">
        <v>33192</v>
      </c>
      <c r="W608">
        <v>45613</v>
      </c>
      <c r="X608">
        <v>10.55</v>
      </c>
      <c r="Y608">
        <v>273.58260000000001</v>
      </c>
      <c r="Z608">
        <v>2319.6173999999996</v>
      </c>
      <c r="AC608" t="str">
        <v>Shoes</v>
      </c>
      <c r="AD608">
        <v>4201.5915159999995</v>
      </c>
      <c r="AF608">
        <v>1833</v>
      </c>
      <c r="AG608" t="str">
        <v>Cap</v>
      </c>
      <c r="AH608">
        <v>3712.5622560000002</v>
      </c>
    </row>
    <row r="609" spans="1:34" x14ac:dyDescent="0.3">
      <c r="A609" s="1">
        <v>1607</v>
      </c>
      <c r="B609" s="2">
        <v>45642</v>
      </c>
      <c r="C609" s="1" t="s">
        <v>10</v>
      </c>
      <c r="D609" s="1" t="s">
        <v>44</v>
      </c>
      <c r="E609" s="1" t="s">
        <v>16</v>
      </c>
      <c r="F609" s="1">
        <v>3540.67</v>
      </c>
      <c r="G609" s="1" t="s">
        <v>29</v>
      </c>
      <c r="H609" s="2">
        <v>24033</v>
      </c>
      <c r="I609" s="2">
        <v>45652</v>
      </c>
      <c r="J609" s="1">
        <v>24.78</v>
      </c>
      <c r="K609" s="4">
        <f t="shared" si="18"/>
        <v>877.37802600000009</v>
      </c>
      <c r="L609" s="4">
        <f t="shared" si="19"/>
        <v>2663.2919739999998</v>
      </c>
      <c r="O609">
        <v>1841</v>
      </c>
      <c r="P609">
        <v>44368</v>
      </c>
      <c r="Q609" t="str">
        <v>Central</v>
      </c>
      <c r="R609" t="str">
        <v>Table</v>
      </c>
      <c r="S609" t="str">
        <v>Furniture</v>
      </c>
      <c r="T609">
        <v>3523.01</v>
      </c>
      <c r="U609" t="str">
        <v>Tracy Wood</v>
      </c>
      <c r="V609">
        <v>23245</v>
      </c>
      <c r="W609">
        <v>44379</v>
      </c>
      <c r="X609">
        <v>22.07</v>
      </c>
      <c r="Y609">
        <v>777.52830700000004</v>
      </c>
      <c r="Z609">
        <v>2745.4816930000002</v>
      </c>
      <c r="AC609" t="str">
        <v>Sofa</v>
      </c>
      <c r="AD609">
        <v>2319.6173999999996</v>
      </c>
      <c r="AF609">
        <v>1834</v>
      </c>
      <c r="AG609" t="str">
        <v>Shoes</v>
      </c>
      <c r="AH609">
        <v>4201.5915159999995</v>
      </c>
    </row>
    <row r="610" spans="1:34" x14ac:dyDescent="0.3">
      <c r="A610" s="1">
        <v>1608</v>
      </c>
      <c r="B610" s="2">
        <v>45403</v>
      </c>
      <c r="C610" s="1" t="s">
        <v>21</v>
      </c>
      <c r="D610" s="1" t="s">
        <v>30</v>
      </c>
      <c r="E610" s="1" t="s">
        <v>31</v>
      </c>
      <c r="F610" s="1">
        <v>2213.81</v>
      </c>
      <c r="G610" s="1" t="s">
        <v>166</v>
      </c>
      <c r="H610" s="2">
        <v>27879</v>
      </c>
      <c r="I610" s="2">
        <v>45414</v>
      </c>
      <c r="J610" s="1">
        <v>27.09</v>
      </c>
      <c r="K610" s="4">
        <f t="shared" si="18"/>
        <v>599.72112899999991</v>
      </c>
      <c r="L610" s="4">
        <f t="shared" si="19"/>
        <v>1614.0888709999999</v>
      </c>
      <c r="O610">
        <v>1843</v>
      </c>
      <c r="P610">
        <v>44543</v>
      </c>
      <c r="Q610" t="str">
        <v>South</v>
      </c>
      <c r="R610" t="str">
        <v>Chair</v>
      </c>
      <c r="S610" t="str">
        <v>Furniture</v>
      </c>
      <c r="T610">
        <v>1622.49</v>
      </c>
      <c r="U610" t="str">
        <v>Kurt Cabrera</v>
      </c>
      <c r="V610">
        <v>28065</v>
      </c>
      <c r="W610">
        <v>44547</v>
      </c>
      <c r="X610">
        <v>3.71</v>
      </c>
      <c r="Y610">
        <v>60.194379000000005</v>
      </c>
      <c r="Z610">
        <v>1562.295621</v>
      </c>
      <c r="AC610" t="str">
        <v>Table</v>
      </c>
      <c r="AD610">
        <v>2745.4816930000002</v>
      </c>
      <c r="AF610">
        <v>1839</v>
      </c>
      <c r="AG610" t="str">
        <v>Sofa</v>
      </c>
      <c r="AH610">
        <v>2319.6173999999996</v>
      </c>
    </row>
    <row r="611" spans="1:34" x14ac:dyDescent="0.3">
      <c r="A611" s="1">
        <v>1609</v>
      </c>
      <c r="B611" s="2">
        <v>45381</v>
      </c>
      <c r="C611" s="1" t="s">
        <v>14</v>
      </c>
      <c r="D611" s="1" t="s">
        <v>53</v>
      </c>
      <c r="E611" s="1" t="s">
        <v>28</v>
      </c>
      <c r="F611" s="1">
        <v>4495.8500000000004</v>
      </c>
      <c r="G611" s="1" t="s">
        <v>300</v>
      </c>
      <c r="H611" s="2">
        <v>24322</v>
      </c>
      <c r="I611" s="2">
        <v>45384</v>
      </c>
      <c r="J611" s="1">
        <v>20.09</v>
      </c>
      <c r="K611" s="4">
        <f t="shared" si="18"/>
        <v>903.21626500000002</v>
      </c>
      <c r="L611" s="4">
        <f t="shared" si="19"/>
        <v>3592.6337350000003</v>
      </c>
      <c r="O611">
        <v>1844</v>
      </c>
      <c r="P611">
        <v>44966</v>
      </c>
      <c r="Q611" t="str">
        <v>North</v>
      </c>
      <c r="R611" t="str">
        <v>Sofa</v>
      </c>
      <c r="S611" t="str">
        <v>Furniture</v>
      </c>
      <c r="T611">
        <v>2212.08</v>
      </c>
      <c r="U611" t="str">
        <v>Joseph Vaughan</v>
      </c>
      <c r="V611">
        <v>24706</v>
      </c>
      <c r="W611">
        <v>44970</v>
      </c>
      <c r="X611">
        <v>27.15</v>
      </c>
      <c r="Y611">
        <v>600.57971999999995</v>
      </c>
      <c r="Z611">
        <v>1611.50028</v>
      </c>
      <c r="AC611" t="str">
        <v>Chair</v>
      </c>
      <c r="AD611">
        <v>1562.295621</v>
      </c>
      <c r="AF611">
        <v>1841</v>
      </c>
      <c r="AG611" t="str">
        <v>Table</v>
      </c>
      <c r="AH611">
        <v>2745.4816930000002</v>
      </c>
    </row>
    <row r="612" spans="1:34" x14ac:dyDescent="0.3">
      <c r="A612" s="1">
        <v>1610</v>
      </c>
      <c r="B612" s="2">
        <v>45786</v>
      </c>
      <c r="C612" s="1" t="s">
        <v>14</v>
      </c>
      <c r="D612" s="1" t="s">
        <v>73</v>
      </c>
      <c r="E612" s="1" t="s">
        <v>28</v>
      </c>
      <c r="F612" s="1">
        <v>1801.24</v>
      </c>
      <c r="G612" s="1" t="s">
        <v>190</v>
      </c>
      <c r="H612" s="2">
        <v>33354</v>
      </c>
      <c r="I612" s="2">
        <v>45796</v>
      </c>
      <c r="J612" s="1">
        <v>41.81</v>
      </c>
      <c r="K612" s="4">
        <f t="shared" si="18"/>
        <v>753.09844400000009</v>
      </c>
      <c r="L612" s="4">
        <f t="shared" si="19"/>
        <v>1048.141556</v>
      </c>
      <c r="O612">
        <v>1845</v>
      </c>
      <c r="P612">
        <v>45409</v>
      </c>
      <c r="Q612" t="str">
        <v>North</v>
      </c>
      <c r="R612" t="str">
        <v>Headphones</v>
      </c>
      <c r="S612" t="str">
        <v>Electronics</v>
      </c>
      <c r="T612">
        <v>3809.6</v>
      </c>
      <c r="U612" t="str">
        <v>Donald Harris</v>
      </c>
      <c r="V612">
        <v>23920</v>
      </c>
      <c r="W612">
        <v>45414</v>
      </c>
      <c r="X612">
        <v>1.83</v>
      </c>
      <c r="Y612">
        <v>69.715680000000006</v>
      </c>
      <c r="Z612">
        <v>3739.8843200000001</v>
      </c>
      <c r="AC612" t="str">
        <v>Sofa</v>
      </c>
      <c r="AD612">
        <v>1611.50028</v>
      </c>
      <c r="AF612">
        <v>1843</v>
      </c>
      <c r="AG612" t="str">
        <v>Chair</v>
      </c>
      <c r="AH612">
        <v>1562.295621</v>
      </c>
    </row>
    <row r="613" spans="1:34" x14ac:dyDescent="0.3">
      <c r="A613" s="1">
        <v>1611</v>
      </c>
      <c r="B613" s="2">
        <v>44397</v>
      </c>
      <c r="C613" s="1" t="s">
        <v>21</v>
      </c>
      <c r="D613" s="1" t="s">
        <v>11</v>
      </c>
      <c r="E613" s="1" t="s">
        <v>12</v>
      </c>
      <c r="F613" s="1">
        <v>2961.27</v>
      </c>
      <c r="G613" s="1" t="s">
        <v>279</v>
      </c>
      <c r="H613" s="2">
        <v>38934</v>
      </c>
      <c r="I613" s="2">
        <v>44399</v>
      </c>
      <c r="J613" s="1">
        <v>0.68</v>
      </c>
      <c r="K613" s="4">
        <f t="shared" si="18"/>
        <v>20.136636000000003</v>
      </c>
      <c r="L613" s="4">
        <f t="shared" si="19"/>
        <v>2941.1333639999998</v>
      </c>
      <c r="O613">
        <v>1846</v>
      </c>
      <c r="P613">
        <v>44952</v>
      </c>
      <c r="Q613" t="str">
        <v>West</v>
      </c>
      <c r="R613" t="str">
        <v>Jeans</v>
      </c>
      <c r="S613" t="str">
        <v>Clothing</v>
      </c>
      <c r="T613">
        <v>3256.35</v>
      </c>
      <c r="U613" t="str">
        <v>Justin Martinez</v>
      </c>
      <c r="V613">
        <v>28555</v>
      </c>
      <c r="W613">
        <v>44958</v>
      </c>
      <c r="X613">
        <v>24.45</v>
      </c>
      <c r="Y613">
        <v>796.17757499999993</v>
      </c>
      <c r="Z613">
        <v>2460.1724249999997</v>
      </c>
      <c r="AC613" t="str">
        <v>Headphones</v>
      </c>
      <c r="AD613">
        <v>3739.8843200000001</v>
      </c>
      <c r="AF613">
        <v>1844</v>
      </c>
      <c r="AG613" t="str">
        <v>Sofa</v>
      </c>
      <c r="AH613">
        <v>1611.50028</v>
      </c>
    </row>
    <row r="614" spans="1:34" x14ac:dyDescent="0.3">
      <c r="A614" s="1">
        <v>1612</v>
      </c>
      <c r="B614" s="2">
        <v>45577</v>
      </c>
      <c r="C614" s="1" t="s">
        <v>10</v>
      </c>
      <c r="D614" s="1" t="s">
        <v>44</v>
      </c>
      <c r="E614" s="1" t="s">
        <v>16</v>
      </c>
      <c r="F614" s="1">
        <v>4247.75</v>
      </c>
      <c r="G614" s="1" t="s">
        <v>218</v>
      </c>
      <c r="H614" s="2">
        <v>29792</v>
      </c>
      <c r="I614" s="2">
        <v>45584</v>
      </c>
      <c r="J614" s="1">
        <v>5.75</v>
      </c>
      <c r="K614" s="4">
        <f t="shared" si="18"/>
        <v>244.24562500000002</v>
      </c>
      <c r="L614" s="4">
        <f t="shared" si="19"/>
        <v>4003.504375</v>
      </c>
      <c r="O614">
        <v>1847</v>
      </c>
      <c r="P614">
        <v>44849</v>
      </c>
      <c r="Q614" t="str">
        <v>South</v>
      </c>
      <c r="R614" t="str">
        <v>Oil</v>
      </c>
      <c r="S614" t="str">
        <v>Groceries</v>
      </c>
      <c r="T614">
        <v>2688.59</v>
      </c>
      <c r="U614" t="str">
        <v>Matthew Stone</v>
      </c>
      <c r="V614">
        <v>34871</v>
      </c>
      <c r="W614">
        <v>44861</v>
      </c>
      <c r="X614">
        <v>38.090000000000003</v>
      </c>
      <c r="Y614">
        <v>1024.0839310000001</v>
      </c>
      <c r="Z614">
        <v>1664.506069</v>
      </c>
      <c r="AC614" t="str">
        <v>Jeans</v>
      </c>
      <c r="AD614">
        <v>2460.1724249999997</v>
      </c>
      <c r="AF614">
        <v>1845</v>
      </c>
      <c r="AG614" t="str">
        <v>Headphones</v>
      </c>
      <c r="AH614">
        <v>3739.8843200000001</v>
      </c>
    </row>
    <row r="615" spans="1:34" x14ac:dyDescent="0.3">
      <c r="A615" s="1">
        <v>1613</v>
      </c>
      <c r="B615" s="2">
        <v>44391</v>
      </c>
      <c r="C615" s="1" t="s">
        <v>10</v>
      </c>
      <c r="D615" s="1" t="s">
        <v>33</v>
      </c>
      <c r="E615" s="1" t="s">
        <v>16</v>
      </c>
      <c r="F615" s="1">
        <v>1981.39</v>
      </c>
      <c r="G615" s="1" t="s">
        <v>45</v>
      </c>
      <c r="H615" s="2">
        <v>34367</v>
      </c>
      <c r="I615" s="2">
        <v>44402</v>
      </c>
      <c r="J615" s="1">
        <v>38.67</v>
      </c>
      <c r="K615" s="4">
        <f t="shared" si="18"/>
        <v>766.20351300000016</v>
      </c>
      <c r="L615" s="4">
        <f t="shared" si="19"/>
        <v>1215.1864869999999</v>
      </c>
      <c r="O615">
        <v>1848</v>
      </c>
      <c r="P615">
        <v>44156</v>
      </c>
      <c r="Q615" t="str">
        <v>South</v>
      </c>
      <c r="R615" t="str">
        <v>Tablet</v>
      </c>
      <c r="S615" t="str">
        <v>Electronics</v>
      </c>
      <c r="T615">
        <v>3719.38</v>
      </c>
      <c r="U615" t="str">
        <v>Brian Carson</v>
      </c>
      <c r="V615">
        <v>30232</v>
      </c>
      <c r="W615">
        <v>44169</v>
      </c>
      <c r="X615">
        <v>11</v>
      </c>
      <c r="Y615">
        <v>409.1318</v>
      </c>
      <c r="Z615">
        <v>3310.2482</v>
      </c>
      <c r="AC615" t="str">
        <v>Oil</v>
      </c>
      <c r="AD615">
        <v>1664.506069</v>
      </c>
      <c r="AF615">
        <v>1846</v>
      </c>
      <c r="AG615" t="str">
        <v>Jeans</v>
      </c>
      <c r="AH615">
        <v>2460.1724249999997</v>
      </c>
    </row>
    <row r="616" spans="1:34" x14ac:dyDescent="0.3">
      <c r="A616" s="1">
        <v>1614</v>
      </c>
      <c r="B616" s="2">
        <v>45413</v>
      </c>
      <c r="C616" s="1" t="s">
        <v>26</v>
      </c>
      <c r="D616" s="1" t="s">
        <v>71</v>
      </c>
      <c r="E616" s="1" t="s">
        <v>31</v>
      </c>
      <c r="F616" s="1">
        <v>747.04</v>
      </c>
      <c r="G616" s="1" t="s">
        <v>274</v>
      </c>
      <c r="H616" s="2">
        <v>34557</v>
      </c>
      <c r="I616" s="2">
        <v>45415</v>
      </c>
      <c r="J616" s="1">
        <v>8.34</v>
      </c>
      <c r="K616" s="4">
        <f t="shared" si="18"/>
        <v>62.303135999999995</v>
      </c>
      <c r="L616" s="4">
        <f t="shared" si="19"/>
        <v>684.73686399999997</v>
      </c>
      <c r="O616">
        <v>1849</v>
      </c>
      <c r="P616">
        <v>45543</v>
      </c>
      <c r="Q616" t="str">
        <v>East</v>
      </c>
      <c r="R616" t="str">
        <v>Sofa</v>
      </c>
      <c r="S616" t="str">
        <v>Furniture</v>
      </c>
      <c r="T616">
        <v>3753.68</v>
      </c>
      <c r="U616" t="str">
        <v>Daniel Cabrera</v>
      </c>
      <c r="V616">
        <v>24033</v>
      </c>
      <c r="W616">
        <v>45548</v>
      </c>
      <c r="X616">
        <v>4.47</v>
      </c>
      <c r="Y616">
        <v>167.78949599999999</v>
      </c>
      <c r="Z616">
        <v>3585.890504</v>
      </c>
      <c r="AC616" t="str">
        <v>Tablet</v>
      </c>
      <c r="AD616">
        <v>3310.2482</v>
      </c>
      <c r="AF616">
        <v>1847</v>
      </c>
      <c r="AG616" t="str">
        <v>Oil</v>
      </c>
      <c r="AH616">
        <v>1664.506069</v>
      </c>
    </row>
    <row r="617" spans="1:34" x14ac:dyDescent="0.3">
      <c r="A617" s="1">
        <v>1615</v>
      </c>
      <c r="B617" s="2">
        <v>44232</v>
      </c>
      <c r="C617" s="1" t="s">
        <v>21</v>
      </c>
      <c r="D617" s="1" t="s">
        <v>22</v>
      </c>
      <c r="E617" s="1" t="s">
        <v>19</v>
      </c>
      <c r="F617" s="1">
        <v>4743.6499999999996</v>
      </c>
      <c r="G617" s="1" t="s">
        <v>62</v>
      </c>
      <c r="H617" s="2">
        <v>22870</v>
      </c>
      <c r="I617" s="2">
        <v>44246</v>
      </c>
      <c r="J617" s="1">
        <v>6.24</v>
      </c>
      <c r="K617" s="4">
        <f t="shared" si="18"/>
        <v>296.00376</v>
      </c>
      <c r="L617" s="4">
        <f t="shared" si="19"/>
        <v>4447.64624</v>
      </c>
      <c r="O617">
        <v>1850</v>
      </c>
      <c r="P617">
        <v>44377</v>
      </c>
      <c r="Q617" t="str">
        <v>West</v>
      </c>
      <c r="R617" t="str">
        <v>Cap</v>
      </c>
      <c r="S617" t="str">
        <v>Clothing</v>
      </c>
      <c r="T617">
        <v>2546.6</v>
      </c>
      <c r="U617" t="str">
        <v>Robert Simon</v>
      </c>
      <c r="V617">
        <v>28675</v>
      </c>
      <c r="W617">
        <v>44389</v>
      </c>
      <c r="X617">
        <v>20</v>
      </c>
      <c r="Y617">
        <v>509.32</v>
      </c>
      <c r="Z617">
        <v>2037.28</v>
      </c>
      <c r="AC617" t="str">
        <v>Sofa</v>
      </c>
      <c r="AD617">
        <v>3585.890504</v>
      </c>
      <c r="AF617">
        <v>1848</v>
      </c>
      <c r="AG617" t="str">
        <v>Tablet</v>
      </c>
      <c r="AH617">
        <v>3310.2482</v>
      </c>
    </row>
    <row r="618" spans="1:34" x14ac:dyDescent="0.3">
      <c r="A618" s="1">
        <v>1616</v>
      </c>
      <c r="B618" s="2">
        <v>44472</v>
      </c>
      <c r="C618" s="1" t="s">
        <v>35</v>
      </c>
      <c r="D618" s="1" t="s">
        <v>61</v>
      </c>
      <c r="E618" s="1" t="s">
        <v>19</v>
      </c>
      <c r="F618" s="1">
        <v>4597.1000000000004</v>
      </c>
      <c r="G618" s="1" t="s">
        <v>301</v>
      </c>
      <c r="H618" s="2">
        <v>31775</v>
      </c>
      <c r="I618" s="2">
        <v>44482</v>
      </c>
      <c r="J618" s="1">
        <v>13.79</v>
      </c>
      <c r="K618" s="4">
        <f t="shared" si="18"/>
        <v>633.94009000000005</v>
      </c>
      <c r="L618" s="4">
        <f t="shared" si="19"/>
        <v>3963.1599100000003</v>
      </c>
      <c r="O618">
        <v>1851</v>
      </c>
      <c r="P618">
        <v>44300</v>
      </c>
      <c r="Q618" t="str">
        <v>West</v>
      </c>
      <c r="R618" t="str">
        <v>Bed</v>
      </c>
      <c r="S618" t="str">
        <v>Furniture</v>
      </c>
      <c r="T618">
        <v>2154.15</v>
      </c>
      <c r="U618" t="str">
        <v>Charles Delgado</v>
      </c>
      <c r="V618">
        <v>29486</v>
      </c>
      <c r="W618">
        <v>44302</v>
      </c>
      <c r="X618">
        <v>29.73</v>
      </c>
      <c r="Y618">
        <v>640.42879500000004</v>
      </c>
      <c r="Z618">
        <v>1513.7212050000001</v>
      </c>
      <c r="AC618" t="str">
        <v>Cap</v>
      </c>
      <c r="AD618">
        <v>2037.28</v>
      </c>
      <c r="AF618">
        <v>1849</v>
      </c>
      <c r="AG618" t="str">
        <v>Sofa</v>
      </c>
      <c r="AH618">
        <v>3585.890504</v>
      </c>
    </row>
    <row r="619" spans="1:34" x14ac:dyDescent="0.3">
      <c r="A619" s="1">
        <v>1617</v>
      </c>
      <c r="B619" s="2">
        <v>44533</v>
      </c>
      <c r="C619" s="1" t="s">
        <v>21</v>
      </c>
      <c r="D619" s="1" t="s">
        <v>71</v>
      </c>
      <c r="E619" s="1" t="s">
        <v>31</v>
      </c>
      <c r="F619" s="1">
        <v>3648.56</v>
      </c>
      <c r="G619" s="1" t="s">
        <v>236</v>
      </c>
      <c r="H619" s="2">
        <v>36099</v>
      </c>
      <c r="I619" s="2">
        <v>44539</v>
      </c>
      <c r="J619" s="1">
        <v>26.36</v>
      </c>
      <c r="K619" s="4">
        <f t="shared" si="18"/>
        <v>961.76041599999996</v>
      </c>
      <c r="L619" s="4">
        <f t="shared" si="19"/>
        <v>2686.7995839999999</v>
      </c>
      <c r="O619">
        <v>1852</v>
      </c>
      <c r="P619">
        <v>45095</v>
      </c>
      <c r="Q619" t="str">
        <v>East</v>
      </c>
      <c r="R619" t="str">
        <v>Jacket</v>
      </c>
      <c r="S619" t="str">
        <v>Clothing</v>
      </c>
      <c r="T619">
        <v>2704.11</v>
      </c>
      <c r="U619" t="str">
        <v>Olivia Griffin</v>
      </c>
      <c r="V619">
        <v>29040</v>
      </c>
      <c r="W619">
        <v>45105</v>
      </c>
      <c r="X619">
        <v>47.58</v>
      </c>
      <c r="Y619">
        <v>1286.615538</v>
      </c>
      <c r="Z619">
        <v>1417.4944620000001</v>
      </c>
      <c r="AC619" t="str">
        <v>Bed</v>
      </c>
      <c r="AD619">
        <v>1513.7212050000001</v>
      </c>
      <c r="AF619">
        <v>1850</v>
      </c>
      <c r="AG619" t="str">
        <v>Cap</v>
      </c>
      <c r="AH619">
        <v>2037.28</v>
      </c>
    </row>
    <row r="620" spans="1:34" x14ac:dyDescent="0.3">
      <c r="A620" s="1">
        <v>1618</v>
      </c>
      <c r="B620" s="2">
        <v>44117</v>
      </c>
      <c r="C620" s="1" t="s">
        <v>26</v>
      </c>
      <c r="D620" s="1" t="s">
        <v>49</v>
      </c>
      <c r="E620" s="1" t="s">
        <v>12</v>
      </c>
      <c r="F620" s="1">
        <v>2586.81</v>
      </c>
      <c r="G620" s="1" t="s">
        <v>270</v>
      </c>
      <c r="H620" s="2">
        <v>23245</v>
      </c>
      <c r="I620" s="2">
        <v>44122</v>
      </c>
      <c r="J620" s="1">
        <v>38.119999999999997</v>
      </c>
      <c r="K620" s="4">
        <f t="shared" si="18"/>
        <v>986.09197199999994</v>
      </c>
      <c r="L620" s="4">
        <f t="shared" si="19"/>
        <v>1600.718028</v>
      </c>
      <c r="O620">
        <v>1853</v>
      </c>
      <c r="P620">
        <v>45761</v>
      </c>
      <c r="Q620" t="str">
        <v>East</v>
      </c>
      <c r="R620" t="str">
        <v>Wheat</v>
      </c>
      <c r="S620" t="str">
        <v>Groceries</v>
      </c>
      <c r="T620">
        <v>4847.57</v>
      </c>
      <c r="U620" t="str">
        <v>Amy Harris</v>
      </c>
      <c r="V620">
        <v>26668</v>
      </c>
      <c r="W620">
        <v>45774</v>
      </c>
      <c r="X620">
        <v>20.95</v>
      </c>
      <c r="Y620">
        <v>1015.5659149999999</v>
      </c>
      <c r="Z620">
        <v>3832.0040849999996</v>
      </c>
      <c r="AC620" t="str">
        <v>Jacket</v>
      </c>
      <c r="AD620">
        <v>1417.4944620000001</v>
      </c>
      <c r="AF620">
        <v>1851</v>
      </c>
      <c r="AG620" t="str">
        <v>Bed</v>
      </c>
      <c r="AH620">
        <v>1513.7212050000001</v>
      </c>
    </row>
    <row r="621" spans="1:34" x14ac:dyDescent="0.3">
      <c r="A621" s="1">
        <v>1619</v>
      </c>
      <c r="B621" s="2">
        <v>44190</v>
      </c>
      <c r="C621" s="1" t="s">
        <v>26</v>
      </c>
      <c r="D621" s="1" t="s">
        <v>61</v>
      </c>
      <c r="E621" s="1" t="s">
        <v>19</v>
      </c>
      <c r="F621" s="1">
        <v>3181.4</v>
      </c>
      <c r="G621" s="1" t="s">
        <v>257</v>
      </c>
      <c r="H621" s="2">
        <v>31685</v>
      </c>
      <c r="I621" s="2">
        <v>44198</v>
      </c>
      <c r="J621" s="1">
        <v>46.85</v>
      </c>
      <c r="K621" s="4">
        <f t="shared" si="18"/>
        <v>1490.4859000000001</v>
      </c>
      <c r="L621" s="4">
        <f t="shared" si="19"/>
        <v>1690.9141</v>
      </c>
      <c r="O621">
        <v>1855</v>
      </c>
      <c r="P621">
        <v>45325</v>
      </c>
      <c r="Q621" t="str">
        <v>South</v>
      </c>
      <c r="R621" t="str">
        <v>Rice</v>
      </c>
      <c r="S621" t="str">
        <v>Groceries</v>
      </c>
      <c r="T621">
        <v>3383.21</v>
      </c>
      <c r="U621" t="str">
        <v>Troy Kelley</v>
      </c>
      <c r="V621">
        <v>29348</v>
      </c>
      <c r="W621">
        <v>45339</v>
      </c>
      <c r="X621">
        <v>0.5</v>
      </c>
      <c r="Y621">
        <v>16.916050000000002</v>
      </c>
      <c r="Z621">
        <v>3366.2939500000002</v>
      </c>
      <c r="AC621" t="str">
        <v>Wheat</v>
      </c>
      <c r="AD621">
        <v>3832.0040849999996</v>
      </c>
      <c r="AF621">
        <v>1852</v>
      </c>
      <c r="AG621" t="str">
        <v>Jacket</v>
      </c>
      <c r="AH621">
        <v>1417.4944620000001</v>
      </c>
    </row>
    <row r="622" spans="1:34" x14ac:dyDescent="0.3">
      <c r="A622" s="1">
        <v>1620</v>
      </c>
      <c r="B622" s="2">
        <v>44638</v>
      </c>
      <c r="C622" s="1" t="s">
        <v>35</v>
      </c>
      <c r="D622" s="1" t="s">
        <v>44</v>
      </c>
      <c r="E622" s="1" t="s">
        <v>16</v>
      </c>
      <c r="F622" s="1">
        <v>4939.3</v>
      </c>
      <c r="G622" s="1" t="s">
        <v>25</v>
      </c>
      <c r="H622" s="2">
        <v>33386</v>
      </c>
      <c r="I622" s="2">
        <v>44650</v>
      </c>
      <c r="J622" s="1">
        <v>46.46</v>
      </c>
      <c r="K622" s="4">
        <f t="shared" si="18"/>
        <v>2294.7987800000001</v>
      </c>
      <c r="L622" s="4">
        <f t="shared" si="19"/>
        <v>2644.5012200000001</v>
      </c>
      <c r="O622">
        <v>1856</v>
      </c>
      <c r="P622">
        <v>45470</v>
      </c>
      <c r="Q622" t="str">
        <v>South</v>
      </c>
      <c r="R622" t="str">
        <v>Cricket Bat</v>
      </c>
      <c r="S622" t="str">
        <v>Sports</v>
      </c>
      <c r="T622">
        <v>2564.0300000000002</v>
      </c>
      <c r="U622" t="str">
        <v>Gabriel Watson</v>
      </c>
      <c r="V622">
        <v>34427</v>
      </c>
      <c r="W622">
        <v>45472</v>
      </c>
      <c r="X622">
        <v>18.93</v>
      </c>
      <c r="Y622">
        <v>485.370879</v>
      </c>
      <c r="Z622">
        <v>2078.6591210000001</v>
      </c>
      <c r="AC622" t="str">
        <v>Rice</v>
      </c>
      <c r="AD622">
        <v>3366.2939500000002</v>
      </c>
      <c r="AF622">
        <v>1853</v>
      </c>
      <c r="AG622" t="str">
        <v>Wheat</v>
      </c>
      <c r="AH622">
        <v>3832.0040849999996</v>
      </c>
    </row>
    <row r="623" spans="1:34" x14ac:dyDescent="0.3">
      <c r="A623" s="1">
        <v>1621</v>
      </c>
      <c r="B623" s="2">
        <v>45283</v>
      </c>
      <c r="C623" s="1" t="s">
        <v>21</v>
      </c>
      <c r="D623" s="1" t="s">
        <v>22</v>
      </c>
      <c r="E623" s="1" t="s">
        <v>19</v>
      </c>
      <c r="F623" s="1">
        <v>3704.72</v>
      </c>
      <c r="G623" s="1" t="s">
        <v>25</v>
      </c>
      <c r="H623" s="2">
        <v>33386</v>
      </c>
      <c r="I623" s="2">
        <v>45285</v>
      </c>
      <c r="J623" s="1">
        <v>15.38</v>
      </c>
      <c r="K623" s="4">
        <f t="shared" si="18"/>
        <v>569.78593599999999</v>
      </c>
      <c r="L623" s="4">
        <f t="shared" si="19"/>
        <v>3134.934064</v>
      </c>
      <c r="O623">
        <v>1858</v>
      </c>
      <c r="P623">
        <v>44074</v>
      </c>
      <c r="Q623" t="str">
        <v>East</v>
      </c>
      <c r="R623" t="str">
        <v>Tennis Racket</v>
      </c>
      <c r="S623" t="str">
        <v>Sports</v>
      </c>
      <c r="T623">
        <v>1614.92</v>
      </c>
      <c r="U623" t="str">
        <v>Kevin Miller</v>
      </c>
      <c r="V623">
        <v>30321</v>
      </c>
      <c r="W623">
        <v>44087</v>
      </c>
      <c r="X623">
        <v>30.95</v>
      </c>
      <c r="Y623">
        <v>499.81774000000001</v>
      </c>
      <c r="Z623">
        <v>1115.1022600000001</v>
      </c>
      <c r="AC623" t="str">
        <v>Cricket Bat</v>
      </c>
      <c r="AD623">
        <v>2078.6591210000001</v>
      </c>
      <c r="AF623">
        <v>1855</v>
      </c>
      <c r="AG623" t="str">
        <v>Rice</v>
      </c>
      <c r="AH623">
        <v>3366.2939500000002</v>
      </c>
    </row>
    <row r="624" spans="1:34" x14ac:dyDescent="0.3">
      <c r="A624" s="1">
        <v>1622</v>
      </c>
      <c r="B624" s="2">
        <v>45784</v>
      </c>
      <c r="C624" s="1" t="s">
        <v>21</v>
      </c>
      <c r="D624" s="1" t="s">
        <v>69</v>
      </c>
      <c r="E624" s="1" t="s">
        <v>31</v>
      </c>
      <c r="F624" s="1">
        <v>2113.2199999999998</v>
      </c>
      <c r="G624" s="1" t="s">
        <v>134</v>
      </c>
      <c r="H624" s="2">
        <v>30299</v>
      </c>
      <c r="I624" s="2">
        <v>45789</v>
      </c>
      <c r="J624" s="1">
        <v>47.05</v>
      </c>
      <c r="K624" s="4">
        <f t="shared" si="18"/>
        <v>994.27000999999984</v>
      </c>
      <c r="L624" s="4">
        <f t="shared" si="19"/>
        <v>1118.9499900000001</v>
      </c>
      <c r="O624">
        <v>1859</v>
      </c>
      <c r="P624">
        <v>45255</v>
      </c>
      <c r="Q624" t="str">
        <v>South</v>
      </c>
      <c r="R624" t="str">
        <v>Jeans</v>
      </c>
      <c r="S624" t="str">
        <v>Clothing</v>
      </c>
      <c r="T624">
        <v>3361.27</v>
      </c>
      <c r="U624" t="str">
        <v>Christopher Harris</v>
      </c>
      <c r="V624">
        <v>24792</v>
      </c>
      <c r="W624">
        <v>45261</v>
      </c>
      <c r="X624">
        <v>19.77</v>
      </c>
      <c r="Y624">
        <v>664.52307899999994</v>
      </c>
      <c r="Z624">
        <v>2696.7469209999999</v>
      </c>
      <c r="AC624" t="str">
        <v>Tennis Racket</v>
      </c>
      <c r="AD624">
        <v>1115.1022600000001</v>
      </c>
      <c r="AF624">
        <v>1856</v>
      </c>
      <c r="AG624" t="str">
        <v>Cricket Bat</v>
      </c>
      <c r="AH624">
        <v>2078.6591210000001</v>
      </c>
    </row>
    <row r="625" spans="1:34" x14ac:dyDescent="0.3">
      <c r="A625" s="1">
        <v>1623</v>
      </c>
      <c r="B625" s="2">
        <v>44110</v>
      </c>
      <c r="C625" s="1" t="s">
        <v>26</v>
      </c>
      <c r="D625" s="1" t="s">
        <v>33</v>
      </c>
      <c r="E625" s="1" t="s">
        <v>16</v>
      </c>
      <c r="F625" s="1">
        <v>3514.62</v>
      </c>
      <c r="G625" s="1" t="s">
        <v>233</v>
      </c>
      <c r="H625" s="2">
        <v>38826</v>
      </c>
      <c r="I625" s="2">
        <v>44121</v>
      </c>
      <c r="J625" s="1">
        <v>30.34</v>
      </c>
      <c r="K625" s="4">
        <f t="shared" si="18"/>
        <v>1066.3357080000001</v>
      </c>
      <c r="L625" s="4">
        <f t="shared" si="19"/>
        <v>2448.2842919999998</v>
      </c>
      <c r="O625">
        <v>1860</v>
      </c>
      <c r="P625">
        <v>44742</v>
      </c>
      <c r="Q625" t="str">
        <v>West</v>
      </c>
      <c r="R625" t="str">
        <v>Wardrobe</v>
      </c>
      <c r="S625" t="str">
        <v>Furniture</v>
      </c>
      <c r="T625">
        <v>4381.4799999999996</v>
      </c>
      <c r="U625" t="str">
        <v>Danielle Perry</v>
      </c>
      <c r="V625">
        <v>37674</v>
      </c>
      <c r="W625">
        <v>44747</v>
      </c>
      <c r="X625">
        <v>34.39</v>
      </c>
      <c r="Y625">
        <v>1506.7909719999998</v>
      </c>
      <c r="Z625">
        <v>2874.6890279999998</v>
      </c>
      <c r="AC625" t="str">
        <v>Jeans</v>
      </c>
      <c r="AD625">
        <v>2696.7469209999999</v>
      </c>
      <c r="AF625">
        <v>1858</v>
      </c>
      <c r="AG625" t="str">
        <v>Tennis Racket</v>
      </c>
      <c r="AH625">
        <v>1115.1022600000001</v>
      </c>
    </row>
    <row r="626" spans="1:34" x14ac:dyDescent="0.3">
      <c r="A626" s="1">
        <v>1624</v>
      </c>
      <c r="B626" s="2">
        <v>44248</v>
      </c>
      <c r="C626" s="1" t="s">
        <v>26</v>
      </c>
      <c r="D626" s="1" t="s">
        <v>69</v>
      </c>
      <c r="E626" s="1" t="s">
        <v>31</v>
      </c>
      <c r="F626" s="1">
        <v>628.28</v>
      </c>
      <c r="G626" s="1" t="s">
        <v>67</v>
      </c>
      <c r="H626" s="2">
        <v>34016</v>
      </c>
      <c r="I626" s="2">
        <v>44251</v>
      </c>
      <c r="J626" s="1">
        <v>48.63</v>
      </c>
      <c r="K626" s="4">
        <f t="shared" si="18"/>
        <v>305.53256399999998</v>
      </c>
      <c r="L626" s="4">
        <f t="shared" si="19"/>
        <v>322.74743599999999</v>
      </c>
      <c r="O626">
        <v>1862</v>
      </c>
      <c r="P626">
        <v>45341</v>
      </c>
      <c r="Q626" t="str">
        <v>Central</v>
      </c>
      <c r="R626" t="str">
        <v>Jeans</v>
      </c>
      <c r="S626" t="str">
        <v>Clothing</v>
      </c>
      <c r="T626">
        <v>4132.25</v>
      </c>
      <c r="U626" t="str">
        <v>Whitney Herring</v>
      </c>
      <c r="V626">
        <v>29938</v>
      </c>
      <c r="W626">
        <v>45351</v>
      </c>
      <c r="X626">
        <v>5.89</v>
      </c>
      <c r="Y626">
        <v>243.38952499999996</v>
      </c>
      <c r="Z626">
        <v>3888.860475</v>
      </c>
      <c r="AC626" t="str">
        <v>Wardrobe</v>
      </c>
      <c r="AD626">
        <v>2874.6890279999998</v>
      </c>
      <c r="AF626">
        <v>1859</v>
      </c>
      <c r="AG626" t="str">
        <v>Jeans</v>
      </c>
      <c r="AH626">
        <v>2696.7469209999999</v>
      </c>
    </row>
    <row r="627" spans="1:34" x14ac:dyDescent="0.3">
      <c r="A627" s="1">
        <v>1625</v>
      </c>
      <c r="B627" s="2">
        <v>45113</v>
      </c>
      <c r="C627" s="1" t="s">
        <v>14</v>
      </c>
      <c r="D627" s="1" t="s">
        <v>61</v>
      </c>
      <c r="E627" s="1" t="s">
        <v>19</v>
      </c>
      <c r="F627" s="1">
        <v>4914.7</v>
      </c>
      <c r="G627" s="1" t="s">
        <v>141</v>
      </c>
      <c r="H627" s="2">
        <v>35559</v>
      </c>
      <c r="I627" s="2">
        <v>45127</v>
      </c>
      <c r="J627" s="1">
        <v>31.73</v>
      </c>
      <c r="K627" s="4">
        <f t="shared" si="18"/>
        <v>1559.4343100000001</v>
      </c>
      <c r="L627" s="4">
        <f t="shared" si="19"/>
        <v>3355.2656899999997</v>
      </c>
      <c r="O627">
        <v>1863</v>
      </c>
      <c r="P627">
        <v>45165</v>
      </c>
      <c r="Q627" t="str">
        <v>South</v>
      </c>
      <c r="R627" t="str">
        <v>Camera</v>
      </c>
      <c r="S627" t="str">
        <v>Electronics</v>
      </c>
      <c r="T627">
        <v>2580.6</v>
      </c>
      <c r="U627" t="str">
        <v>Sierra Elliott</v>
      </c>
      <c r="V627">
        <v>29720</v>
      </c>
      <c r="W627">
        <v>45166</v>
      </c>
      <c r="X627">
        <v>43.12</v>
      </c>
      <c r="Y627">
        <v>1112.7547199999999</v>
      </c>
      <c r="Z627">
        <v>1467.84528</v>
      </c>
      <c r="AC627" t="str">
        <v>Jeans</v>
      </c>
      <c r="AD627">
        <v>3888.860475</v>
      </c>
      <c r="AF627">
        <v>1860</v>
      </c>
      <c r="AG627" t="str">
        <v>Wardrobe</v>
      </c>
      <c r="AH627">
        <v>2874.6890279999998</v>
      </c>
    </row>
    <row r="628" spans="1:34" x14ac:dyDescent="0.3">
      <c r="A628" s="1">
        <v>1626</v>
      </c>
      <c r="B628" s="2">
        <v>44331</v>
      </c>
      <c r="C628" s="1" t="s">
        <v>35</v>
      </c>
      <c r="D628" s="1" t="s">
        <v>24</v>
      </c>
      <c r="E628" s="1" t="s">
        <v>19</v>
      </c>
      <c r="F628" s="1">
        <v>3711.17</v>
      </c>
      <c r="G628" s="1" t="s">
        <v>124</v>
      </c>
      <c r="H628" s="2">
        <v>30786</v>
      </c>
      <c r="I628" s="2">
        <v>44333</v>
      </c>
      <c r="J628" s="1">
        <v>2.41</v>
      </c>
      <c r="K628" s="4">
        <f t="shared" si="18"/>
        <v>89.439197000000007</v>
      </c>
      <c r="L628" s="4">
        <f t="shared" si="19"/>
        <v>3621.7308029999999</v>
      </c>
      <c r="O628">
        <v>1864</v>
      </c>
      <c r="P628">
        <v>44130</v>
      </c>
      <c r="Q628" t="str">
        <v>Central</v>
      </c>
      <c r="R628" t="str">
        <v>T-Shirt</v>
      </c>
      <c r="S628" t="str">
        <v>Clothing</v>
      </c>
      <c r="T628">
        <v>3797.46</v>
      </c>
      <c r="U628" t="str">
        <v>Danielle Holloway</v>
      </c>
      <c r="V628">
        <v>26282</v>
      </c>
      <c r="W628">
        <v>44133</v>
      </c>
      <c r="X628">
        <v>12.07</v>
      </c>
      <c r="Y628">
        <v>458.35342200000002</v>
      </c>
      <c r="Z628">
        <v>3339.1065779999999</v>
      </c>
      <c r="AC628" t="str">
        <v>Camera</v>
      </c>
      <c r="AD628">
        <v>1467.84528</v>
      </c>
      <c r="AF628">
        <v>1862</v>
      </c>
      <c r="AG628" t="str">
        <v>Jeans</v>
      </c>
      <c r="AH628">
        <v>3888.860475</v>
      </c>
    </row>
    <row r="629" spans="1:34" x14ac:dyDescent="0.3">
      <c r="A629" s="1">
        <v>1627</v>
      </c>
      <c r="B629" s="2">
        <v>44274</v>
      </c>
      <c r="C629" s="1" t="s">
        <v>10</v>
      </c>
      <c r="D629" s="1" t="s">
        <v>69</v>
      </c>
      <c r="E629" s="1" t="s">
        <v>31</v>
      </c>
      <c r="F629" s="1">
        <v>639.01</v>
      </c>
      <c r="G629" s="1" t="s">
        <v>164</v>
      </c>
      <c r="H629" s="2">
        <v>28046</v>
      </c>
      <c r="I629" s="2">
        <v>44277</v>
      </c>
      <c r="J629" s="1">
        <v>25.46</v>
      </c>
      <c r="K629" s="4">
        <f t="shared" si="18"/>
        <v>162.691946</v>
      </c>
      <c r="L629" s="4">
        <f t="shared" si="19"/>
        <v>476.31805399999996</v>
      </c>
      <c r="O629">
        <v>1865</v>
      </c>
      <c r="P629">
        <v>44388</v>
      </c>
      <c r="Q629" t="str">
        <v>East</v>
      </c>
      <c r="R629" t="str">
        <v>Tablet</v>
      </c>
      <c r="S629" t="str">
        <v>Electronics</v>
      </c>
      <c r="T629">
        <v>4549.6400000000003</v>
      </c>
      <c r="U629" t="str">
        <v>Pamela Randall</v>
      </c>
      <c r="V629">
        <v>30356</v>
      </c>
      <c r="W629">
        <v>44401</v>
      </c>
      <c r="X629">
        <v>10.16</v>
      </c>
      <c r="Y629">
        <v>462.243424</v>
      </c>
      <c r="Z629">
        <v>4087.3965760000001</v>
      </c>
      <c r="AC629" t="str">
        <v>T-Shirt</v>
      </c>
      <c r="AD629">
        <v>3339.1065779999999</v>
      </c>
      <c r="AF629">
        <v>1863</v>
      </c>
      <c r="AG629" t="str">
        <v>Camera</v>
      </c>
      <c r="AH629">
        <v>1467.84528</v>
      </c>
    </row>
    <row r="630" spans="1:34" x14ac:dyDescent="0.3">
      <c r="A630" s="1">
        <v>1628</v>
      </c>
      <c r="B630" s="2">
        <v>45783</v>
      </c>
      <c r="C630" s="1" t="s">
        <v>35</v>
      </c>
      <c r="D630" s="1" t="s">
        <v>49</v>
      </c>
      <c r="E630" s="1" t="s">
        <v>12</v>
      </c>
      <c r="F630" s="1">
        <v>1286.6300000000001</v>
      </c>
      <c r="G630" s="1" t="s">
        <v>302</v>
      </c>
      <c r="H630" s="2">
        <v>32940</v>
      </c>
      <c r="I630" s="2">
        <v>45790</v>
      </c>
      <c r="J630" s="1">
        <v>25.57</v>
      </c>
      <c r="K630" s="4">
        <f t="shared" si="18"/>
        <v>328.99129099999999</v>
      </c>
      <c r="L630" s="4">
        <f t="shared" si="19"/>
        <v>957.63870900000006</v>
      </c>
      <c r="O630">
        <v>1867</v>
      </c>
      <c r="P630">
        <v>44281</v>
      </c>
      <c r="Q630" t="str">
        <v>East</v>
      </c>
      <c r="R630" t="str">
        <v>Milk</v>
      </c>
      <c r="S630" t="str">
        <v>Groceries</v>
      </c>
      <c r="T630">
        <v>1671.07</v>
      </c>
      <c r="U630" t="str">
        <v>Marcia Anderson</v>
      </c>
      <c r="V630">
        <v>34537</v>
      </c>
      <c r="W630">
        <v>44282</v>
      </c>
      <c r="X630">
        <v>24.73</v>
      </c>
      <c r="Y630">
        <v>413.25561099999999</v>
      </c>
      <c r="Z630">
        <v>1257.8143889999999</v>
      </c>
      <c r="AC630" t="str">
        <v>Tablet</v>
      </c>
      <c r="AD630">
        <v>4087.3965760000001</v>
      </c>
      <c r="AF630">
        <v>1864</v>
      </c>
      <c r="AG630" t="str">
        <v>T-Shirt</v>
      </c>
      <c r="AH630">
        <v>3339.1065779999999</v>
      </c>
    </row>
    <row r="631" spans="1:34" x14ac:dyDescent="0.3">
      <c r="A631" s="1">
        <v>1629</v>
      </c>
      <c r="B631" s="2">
        <v>45475</v>
      </c>
      <c r="C631" s="1" t="s">
        <v>26</v>
      </c>
      <c r="D631" s="1" t="s">
        <v>49</v>
      </c>
      <c r="E631" s="1" t="s">
        <v>12</v>
      </c>
      <c r="F631" s="1">
        <v>363.78</v>
      </c>
      <c r="G631" s="1" t="s">
        <v>124</v>
      </c>
      <c r="H631" s="2">
        <v>30786</v>
      </c>
      <c r="I631" s="2">
        <v>45482</v>
      </c>
      <c r="J631" s="1">
        <v>34.58</v>
      </c>
      <c r="K631" s="4">
        <f t="shared" si="18"/>
        <v>125.79512399999999</v>
      </c>
      <c r="L631" s="4">
        <f t="shared" si="19"/>
        <v>237.98487599999999</v>
      </c>
      <c r="O631">
        <v>1869</v>
      </c>
      <c r="P631">
        <v>44481</v>
      </c>
      <c r="Q631" t="str">
        <v>South</v>
      </c>
      <c r="R631" t="str">
        <v>Tablet</v>
      </c>
      <c r="S631" t="str">
        <v>Electronics</v>
      </c>
      <c r="T631">
        <v>2759.07</v>
      </c>
      <c r="U631" t="str">
        <v>Timothy Mueller</v>
      </c>
      <c r="V631">
        <v>22315</v>
      </c>
      <c r="W631">
        <v>44487</v>
      </c>
      <c r="X631">
        <v>3.82</v>
      </c>
      <c r="Y631">
        <v>105.396474</v>
      </c>
      <c r="Z631">
        <v>2653.673526</v>
      </c>
      <c r="AC631" t="str">
        <v>Milk</v>
      </c>
      <c r="AD631">
        <v>1257.8143889999999</v>
      </c>
      <c r="AF631">
        <v>1865</v>
      </c>
      <c r="AG631" t="str">
        <v>Tablet</v>
      </c>
      <c r="AH631">
        <v>4087.3965760000001</v>
      </c>
    </row>
    <row r="632" spans="1:34" x14ac:dyDescent="0.3">
      <c r="A632" s="1">
        <v>1630</v>
      </c>
      <c r="B632" s="2">
        <v>45715</v>
      </c>
      <c r="C632" s="1" t="s">
        <v>21</v>
      </c>
      <c r="D632" s="1" t="s">
        <v>24</v>
      </c>
      <c r="E632" s="1" t="s">
        <v>19</v>
      </c>
      <c r="F632" s="1">
        <v>348.83</v>
      </c>
      <c r="G632" s="1" t="s">
        <v>269</v>
      </c>
      <c r="H632" s="2">
        <v>30976</v>
      </c>
      <c r="I632" s="2">
        <v>45718</v>
      </c>
      <c r="J632" s="1">
        <v>15.94</v>
      </c>
      <c r="K632" s="4">
        <f t="shared" si="18"/>
        <v>55.603501999999992</v>
      </c>
      <c r="L632" s="4">
        <f t="shared" si="19"/>
        <v>293.22649799999999</v>
      </c>
      <c r="O632">
        <v>1871</v>
      </c>
      <c r="P632">
        <v>44943</v>
      </c>
      <c r="Q632" t="str">
        <v>South</v>
      </c>
      <c r="R632" t="str">
        <v>Camera</v>
      </c>
      <c r="S632" t="str">
        <v>Electronics</v>
      </c>
      <c r="T632">
        <v>1991.2</v>
      </c>
      <c r="U632" t="str">
        <v>Gabriel Watson</v>
      </c>
      <c r="V632">
        <v>34427</v>
      </c>
      <c r="W632">
        <v>44955</v>
      </c>
      <c r="X632">
        <v>36.869999999999997</v>
      </c>
      <c r="Y632">
        <v>734.15544</v>
      </c>
      <c r="Z632">
        <v>1257.04456</v>
      </c>
      <c r="AC632" t="str">
        <v>Tablet</v>
      </c>
      <c r="AD632">
        <v>2653.673526</v>
      </c>
      <c r="AF632">
        <v>1867</v>
      </c>
      <c r="AG632" t="str">
        <v>Milk</v>
      </c>
      <c r="AH632">
        <v>1257.8143889999999</v>
      </c>
    </row>
    <row r="633" spans="1:34" x14ac:dyDescent="0.3">
      <c r="A633" s="1">
        <v>1631</v>
      </c>
      <c r="B633" s="2">
        <v>45537</v>
      </c>
      <c r="C633" s="1" t="s">
        <v>26</v>
      </c>
      <c r="D633" s="1" t="s">
        <v>27</v>
      </c>
      <c r="E633" s="1" t="s">
        <v>28</v>
      </c>
      <c r="F633" s="1">
        <v>3800.43</v>
      </c>
      <c r="G633" s="1" t="s">
        <v>143</v>
      </c>
      <c r="H633" s="2">
        <v>37490</v>
      </c>
      <c r="I633" s="2">
        <v>45538</v>
      </c>
      <c r="J633" s="1">
        <v>7.33</v>
      </c>
      <c r="K633" s="4">
        <f t="shared" si="18"/>
        <v>278.57151900000002</v>
      </c>
      <c r="L633" s="4">
        <f t="shared" si="19"/>
        <v>3521.8584809999998</v>
      </c>
      <c r="O633">
        <v>1872</v>
      </c>
      <c r="P633">
        <v>45225</v>
      </c>
      <c r="Q633" t="str">
        <v>East</v>
      </c>
      <c r="R633" t="str">
        <v>Bed</v>
      </c>
      <c r="S633" t="str">
        <v>Furniture</v>
      </c>
      <c r="T633">
        <v>4245.3900000000003</v>
      </c>
      <c r="U633" t="str">
        <v>Lisa Smith</v>
      </c>
      <c r="V633">
        <v>26484</v>
      </c>
      <c r="W633">
        <v>45239</v>
      </c>
      <c r="X633">
        <v>43.28</v>
      </c>
      <c r="Y633">
        <v>1837.4047920000003</v>
      </c>
      <c r="Z633">
        <v>2407.9852080000001</v>
      </c>
      <c r="AC633" t="str">
        <v>Camera</v>
      </c>
      <c r="AD633">
        <v>1257.04456</v>
      </c>
      <c r="AF633">
        <v>1869</v>
      </c>
      <c r="AG633" t="str">
        <v>Tablet</v>
      </c>
      <c r="AH633">
        <v>2653.673526</v>
      </c>
    </row>
    <row r="634" spans="1:34" x14ac:dyDescent="0.3">
      <c r="A634" s="1">
        <v>1632</v>
      </c>
      <c r="B634" s="2">
        <v>44856</v>
      </c>
      <c r="C634" s="1" t="s">
        <v>14</v>
      </c>
      <c r="D634" s="1" t="s">
        <v>73</v>
      </c>
      <c r="E634" s="1" t="s">
        <v>28</v>
      </c>
      <c r="F634" s="1">
        <v>3721.15</v>
      </c>
      <c r="G634" s="1" t="s">
        <v>121</v>
      </c>
      <c r="H634" s="2">
        <v>24580</v>
      </c>
      <c r="I634" s="2">
        <v>44862</v>
      </c>
      <c r="J634" s="1">
        <v>36.840000000000003</v>
      </c>
      <c r="K634" s="4">
        <f t="shared" si="18"/>
        <v>1370.8716600000002</v>
      </c>
      <c r="L634" s="4">
        <f t="shared" si="19"/>
        <v>2350.2783399999998</v>
      </c>
      <c r="O634">
        <v>1874</v>
      </c>
      <c r="P634">
        <v>45511</v>
      </c>
      <c r="Q634" t="str">
        <v>West</v>
      </c>
      <c r="R634" t="str">
        <v>Bed</v>
      </c>
      <c r="S634" t="str">
        <v>Furniture</v>
      </c>
      <c r="T634">
        <v>3686.64</v>
      </c>
      <c r="U634" t="str">
        <v>Katie Parker</v>
      </c>
      <c r="V634">
        <v>37961</v>
      </c>
      <c r="W634">
        <v>45515</v>
      </c>
      <c r="X634">
        <v>29.45</v>
      </c>
      <c r="Y634">
        <v>1085.7154799999998</v>
      </c>
      <c r="Z634">
        <v>2600.92452</v>
      </c>
      <c r="AC634" t="str">
        <v>Bed</v>
      </c>
      <c r="AD634">
        <v>2407.9852080000001</v>
      </c>
      <c r="AF634">
        <v>1871</v>
      </c>
      <c r="AG634" t="str">
        <v>Camera</v>
      </c>
      <c r="AH634">
        <v>1257.04456</v>
      </c>
    </row>
    <row r="635" spans="1:34" x14ac:dyDescent="0.3">
      <c r="A635" s="1">
        <v>1633</v>
      </c>
      <c r="B635" s="2">
        <v>45644</v>
      </c>
      <c r="C635" s="1" t="s">
        <v>35</v>
      </c>
      <c r="D635" s="1" t="s">
        <v>73</v>
      </c>
      <c r="E635" s="1" t="s">
        <v>28</v>
      </c>
      <c r="F635" s="1">
        <v>4920.09</v>
      </c>
      <c r="G635" s="1" t="s">
        <v>230</v>
      </c>
      <c r="H635" s="2">
        <v>35642</v>
      </c>
      <c r="I635" s="2">
        <v>45645</v>
      </c>
      <c r="J635" s="1">
        <v>33.64</v>
      </c>
      <c r="K635" s="4">
        <f t="shared" si="18"/>
        <v>1655.1182760000002</v>
      </c>
      <c r="L635" s="4">
        <f t="shared" si="19"/>
        <v>3264.971724</v>
      </c>
      <c r="O635">
        <v>1875</v>
      </c>
      <c r="P635">
        <v>44441</v>
      </c>
      <c r="Q635" t="str">
        <v>Central</v>
      </c>
      <c r="R635" t="str">
        <v>Eggs</v>
      </c>
      <c r="S635" t="str">
        <v>Groceries</v>
      </c>
      <c r="T635">
        <v>4552.8100000000004</v>
      </c>
      <c r="U635" t="str">
        <v>Edward Hawkins</v>
      </c>
      <c r="V635">
        <v>21785</v>
      </c>
      <c r="W635">
        <v>44447</v>
      </c>
      <c r="X635">
        <v>24.52</v>
      </c>
      <c r="Y635">
        <v>1116.3490120000001</v>
      </c>
      <c r="Z635">
        <v>3436.4609880000003</v>
      </c>
      <c r="AC635" t="str">
        <v>Bed</v>
      </c>
      <c r="AD635">
        <v>2600.92452</v>
      </c>
      <c r="AF635">
        <v>1872</v>
      </c>
      <c r="AG635" t="str">
        <v>Bed</v>
      </c>
      <c r="AH635">
        <v>2407.9852080000001</v>
      </c>
    </row>
    <row r="636" spans="1:34" x14ac:dyDescent="0.3">
      <c r="A636" s="1">
        <v>1634</v>
      </c>
      <c r="B636" s="2">
        <v>44307</v>
      </c>
      <c r="C636" s="1" t="s">
        <v>21</v>
      </c>
      <c r="D636" s="1" t="s">
        <v>36</v>
      </c>
      <c r="E636" s="1" t="s">
        <v>28</v>
      </c>
      <c r="F636" s="1">
        <v>2036.85</v>
      </c>
      <c r="G636" s="1" t="s">
        <v>264</v>
      </c>
      <c r="H636" s="2">
        <v>30232</v>
      </c>
      <c r="I636" s="2">
        <v>44315</v>
      </c>
      <c r="J636" s="1">
        <v>45.65</v>
      </c>
      <c r="K636" s="4">
        <f t="shared" si="18"/>
        <v>929.82202499999983</v>
      </c>
      <c r="L636" s="4">
        <f t="shared" si="19"/>
        <v>1107.027975</v>
      </c>
      <c r="O636">
        <v>1876</v>
      </c>
      <c r="P636">
        <v>44153</v>
      </c>
      <c r="Q636" t="str">
        <v>North</v>
      </c>
      <c r="R636" t="str">
        <v>Shoes</v>
      </c>
      <c r="S636" t="str">
        <v>Sports</v>
      </c>
      <c r="T636">
        <v>4191.99</v>
      </c>
      <c r="U636" t="str">
        <v>Elizabeth Obrien</v>
      </c>
      <c r="V636">
        <v>35818</v>
      </c>
      <c r="W636">
        <v>44157</v>
      </c>
      <c r="X636">
        <v>49.69</v>
      </c>
      <c r="Y636">
        <v>2082.9998309999996</v>
      </c>
      <c r="Z636">
        <v>2108.9901690000002</v>
      </c>
      <c r="AC636" t="str">
        <v>Eggs</v>
      </c>
      <c r="AD636">
        <v>3436.4609880000003</v>
      </c>
      <c r="AF636">
        <v>1874</v>
      </c>
      <c r="AG636" t="str">
        <v>Bed</v>
      </c>
      <c r="AH636">
        <v>2600.92452</v>
      </c>
    </row>
    <row r="637" spans="1:34" x14ac:dyDescent="0.3">
      <c r="A637" s="1">
        <v>1635</v>
      </c>
      <c r="B637" s="2">
        <v>44704</v>
      </c>
      <c r="C637" s="1" t="s">
        <v>21</v>
      </c>
      <c r="D637" s="1" t="s">
        <v>73</v>
      </c>
      <c r="E637" s="1" t="s">
        <v>28</v>
      </c>
      <c r="F637" s="1">
        <v>792.31</v>
      </c>
      <c r="G637" s="1" t="s">
        <v>46</v>
      </c>
      <c r="H637" s="2">
        <v>24670</v>
      </c>
      <c r="I637" s="2">
        <v>44713</v>
      </c>
      <c r="J637" s="1">
        <v>10.91</v>
      </c>
      <c r="K637" s="4">
        <f t="shared" si="18"/>
        <v>86.441020999999992</v>
      </c>
      <c r="L637" s="4">
        <f t="shared" si="19"/>
        <v>705.86897899999997</v>
      </c>
      <c r="O637">
        <v>1877</v>
      </c>
      <c r="P637">
        <v>45420</v>
      </c>
      <c r="Q637" t="str">
        <v>South</v>
      </c>
      <c r="R637" t="str">
        <v>Jacket</v>
      </c>
      <c r="S637" t="str">
        <v>Clothing</v>
      </c>
      <c r="T637">
        <v>2333.7399999999998</v>
      </c>
      <c r="U637" t="str">
        <v>Garrett Delgado</v>
      </c>
      <c r="V637">
        <v>38510</v>
      </c>
      <c r="W637">
        <v>45423</v>
      </c>
      <c r="X637">
        <v>19</v>
      </c>
      <c r="Y637">
        <v>443.41059999999999</v>
      </c>
      <c r="Z637">
        <v>1890.3293999999999</v>
      </c>
      <c r="AC637" t="str">
        <v>Shoes</v>
      </c>
      <c r="AD637">
        <v>2108.9901690000002</v>
      </c>
      <c r="AF637">
        <v>1875</v>
      </c>
      <c r="AG637" t="str">
        <v>Eggs</v>
      </c>
      <c r="AH637">
        <v>3436.4609880000003</v>
      </c>
    </row>
    <row r="638" spans="1:34" x14ac:dyDescent="0.3">
      <c r="A638" s="1">
        <v>1636</v>
      </c>
      <c r="B638" s="2">
        <v>45358</v>
      </c>
      <c r="C638" s="1" t="s">
        <v>14</v>
      </c>
      <c r="D638" s="1" t="s">
        <v>44</v>
      </c>
      <c r="E638" s="1" t="s">
        <v>16</v>
      </c>
      <c r="F638" s="1">
        <v>2263.83</v>
      </c>
      <c r="G638" s="1" t="s">
        <v>298</v>
      </c>
      <c r="H638" s="2">
        <v>30410</v>
      </c>
      <c r="I638" s="2">
        <v>45367</v>
      </c>
      <c r="J638" s="1">
        <v>22.05</v>
      </c>
      <c r="K638" s="4">
        <f t="shared" si="18"/>
        <v>499.17451499999999</v>
      </c>
      <c r="L638" s="4">
        <f t="shared" si="19"/>
        <v>1764.655485</v>
      </c>
      <c r="O638">
        <v>1878</v>
      </c>
      <c r="P638">
        <v>45672</v>
      </c>
      <c r="Q638" t="str">
        <v>South</v>
      </c>
      <c r="R638" t="str">
        <v>Cap</v>
      </c>
      <c r="S638" t="str">
        <v>Clothing</v>
      </c>
      <c r="T638">
        <v>2214.59</v>
      </c>
      <c r="U638" t="str">
        <v>John King</v>
      </c>
      <c r="V638">
        <v>25815</v>
      </c>
      <c r="W638">
        <v>45680</v>
      </c>
      <c r="X638">
        <v>35.99</v>
      </c>
      <c r="Y638">
        <v>797.0309410000001</v>
      </c>
      <c r="Z638">
        <v>1417.5590590000002</v>
      </c>
      <c r="AC638" t="str">
        <v>Jacket</v>
      </c>
      <c r="AD638">
        <v>1890.3293999999999</v>
      </c>
      <c r="AF638">
        <v>1876</v>
      </c>
      <c r="AG638" t="str">
        <v>Shoes</v>
      </c>
      <c r="AH638">
        <v>2108.9901690000002</v>
      </c>
    </row>
    <row r="639" spans="1:34" x14ac:dyDescent="0.3">
      <c r="A639" s="1">
        <v>1637</v>
      </c>
      <c r="B639" s="2">
        <v>45883</v>
      </c>
      <c r="C639" s="1" t="s">
        <v>21</v>
      </c>
      <c r="D639" s="1" t="s">
        <v>73</v>
      </c>
      <c r="E639" s="1" t="s">
        <v>28</v>
      </c>
      <c r="F639" s="1">
        <v>515.75</v>
      </c>
      <c r="G639" s="1" t="s">
        <v>293</v>
      </c>
      <c r="H639" s="2">
        <v>26379</v>
      </c>
      <c r="I639" s="2">
        <v>45892</v>
      </c>
      <c r="J639" s="1">
        <v>44.38</v>
      </c>
      <c r="K639" s="4">
        <f t="shared" si="18"/>
        <v>228.88985000000002</v>
      </c>
      <c r="L639" s="4">
        <f t="shared" si="19"/>
        <v>286.86014999999998</v>
      </c>
      <c r="O639">
        <v>1879</v>
      </c>
      <c r="P639">
        <v>45408</v>
      </c>
      <c r="Q639" t="str">
        <v>Central</v>
      </c>
      <c r="R639" t="str">
        <v>Laptop</v>
      </c>
      <c r="S639" t="str">
        <v>Electronics</v>
      </c>
      <c r="T639">
        <v>4760.96</v>
      </c>
      <c r="U639" t="str">
        <v>Holly Wilson</v>
      </c>
      <c r="V639">
        <v>32940</v>
      </c>
      <c r="W639">
        <v>45419</v>
      </c>
      <c r="X639">
        <v>35.76</v>
      </c>
      <c r="Y639">
        <v>1702.5192959999999</v>
      </c>
      <c r="Z639">
        <v>3058.4407040000001</v>
      </c>
      <c r="AC639" t="str">
        <v>Cap</v>
      </c>
      <c r="AD639">
        <v>1417.5590590000002</v>
      </c>
      <c r="AF639">
        <v>1877</v>
      </c>
      <c r="AG639" t="str">
        <v>Jacket</v>
      </c>
      <c r="AH639">
        <v>1890.3293999999999</v>
      </c>
    </row>
    <row r="640" spans="1:34" x14ac:dyDescent="0.3">
      <c r="A640" s="1">
        <v>1638</v>
      </c>
      <c r="B640" s="2">
        <v>45552</v>
      </c>
      <c r="C640" s="1" t="s">
        <v>14</v>
      </c>
      <c r="D640" s="1" t="s">
        <v>15</v>
      </c>
      <c r="E640" s="1" t="s">
        <v>16</v>
      </c>
      <c r="F640" s="1">
        <v>2138.29</v>
      </c>
      <c r="G640" s="1" t="s">
        <v>119</v>
      </c>
      <c r="H640" s="2">
        <v>34954</v>
      </c>
      <c r="I640" s="2">
        <v>45558</v>
      </c>
      <c r="J640" s="1">
        <v>4.1399999999999997</v>
      </c>
      <c r="K640" s="4">
        <f t="shared" si="18"/>
        <v>88.525205999999997</v>
      </c>
      <c r="L640" s="4">
        <f t="shared" si="19"/>
        <v>2049.7647940000002</v>
      </c>
      <c r="O640">
        <v>1880</v>
      </c>
      <c r="P640">
        <v>45566</v>
      </c>
      <c r="Q640" t="str">
        <v>West</v>
      </c>
      <c r="R640" t="str">
        <v>Cricket Bat</v>
      </c>
      <c r="S640" t="str">
        <v>Sports</v>
      </c>
      <c r="T640">
        <v>3235.85</v>
      </c>
      <c r="U640" t="str">
        <v>Darren Coleman</v>
      </c>
      <c r="V640">
        <v>24719</v>
      </c>
      <c r="W640">
        <v>45571</v>
      </c>
      <c r="X640">
        <v>45.02</v>
      </c>
      <c r="Y640">
        <v>1456.7796700000001</v>
      </c>
      <c r="Z640">
        <v>1779.0703299999998</v>
      </c>
      <c r="AC640" t="str">
        <v>Laptop</v>
      </c>
      <c r="AD640">
        <v>3058.4407040000001</v>
      </c>
      <c r="AF640">
        <v>1878</v>
      </c>
      <c r="AG640" t="str">
        <v>Cap</v>
      </c>
      <c r="AH640">
        <v>1417.5590590000002</v>
      </c>
    </row>
    <row r="641" spans="1:34" x14ac:dyDescent="0.3">
      <c r="A641" s="1">
        <v>1639</v>
      </c>
      <c r="B641" s="2">
        <v>44586</v>
      </c>
      <c r="C641" s="1" t="s">
        <v>21</v>
      </c>
      <c r="D641" s="1" t="s">
        <v>24</v>
      </c>
      <c r="E641" s="1" t="s">
        <v>19</v>
      </c>
      <c r="F641" s="1">
        <v>2315.33</v>
      </c>
      <c r="G641" s="1" t="s">
        <v>180</v>
      </c>
      <c r="H641" s="2">
        <v>25163</v>
      </c>
      <c r="I641" s="2">
        <v>44597</v>
      </c>
      <c r="J641" s="1">
        <v>34.07</v>
      </c>
      <c r="K641" s="4">
        <f t="shared" si="18"/>
        <v>788.83293100000003</v>
      </c>
      <c r="L641" s="4">
        <f t="shared" si="19"/>
        <v>1526.497069</v>
      </c>
      <c r="O641">
        <v>1882</v>
      </c>
      <c r="P641">
        <v>44507</v>
      </c>
      <c r="Q641" t="str">
        <v>West</v>
      </c>
      <c r="R641" t="str">
        <v>Jeans</v>
      </c>
      <c r="S641" t="str">
        <v>Clothing</v>
      </c>
      <c r="T641">
        <v>1293.52</v>
      </c>
      <c r="U641" t="str">
        <v>Patrick Woods</v>
      </c>
      <c r="V641">
        <v>34932</v>
      </c>
      <c r="W641">
        <v>44508</v>
      </c>
      <c r="X641">
        <v>14.31</v>
      </c>
      <c r="Y641">
        <v>185.102712</v>
      </c>
      <c r="Z641">
        <v>1108.4172880000001</v>
      </c>
      <c r="AC641" t="str">
        <v>Cricket Bat</v>
      </c>
      <c r="AD641">
        <v>1779.0703299999998</v>
      </c>
      <c r="AF641">
        <v>1879</v>
      </c>
      <c r="AG641" t="str">
        <v>Laptop</v>
      </c>
      <c r="AH641">
        <v>3058.4407040000001</v>
      </c>
    </row>
    <row r="642" spans="1:34" x14ac:dyDescent="0.3">
      <c r="A642" s="1">
        <v>1640</v>
      </c>
      <c r="B642" s="2">
        <v>45661</v>
      </c>
      <c r="C642" s="1" t="s">
        <v>35</v>
      </c>
      <c r="D642" s="1" t="s">
        <v>15</v>
      </c>
      <c r="E642" s="1" t="s">
        <v>16</v>
      </c>
      <c r="F642" s="1">
        <v>3804.9</v>
      </c>
      <c r="G642" s="1" t="s">
        <v>298</v>
      </c>
      <c r="H642" s="2">
        <v>30410</v>
      </c>
      <c r="I642" s="2">
        <v>45663</v>
      </c>
      <c r="J642" s="1">
        <v>6.91</v>
      </c>
      <c r="K642" s="4">
        <f t="shared" si="18"/>
        <v>262.91858999999999</v>
      </c>
      <c r="L642" s="4">
        <f t="shared" si="19"/>
        <v>3541.9814100000003</v>
      </c>
      <c r="O642">
        <v>1884</v>
      </c>
      <c r="P642">
        <v>45504</v>
      </c>
      <c r="Q642" t="str">
        <v>Central</v>
      </c>
      <c r="R642" t="str">
        <v>Tennis Racket</v>
      </c>
      <c r="S642" t="str">
        <v>Sports</v>
      </c>
      <c r="T642">
        <v>2637.23</v>
      </c>
      <c r="U642" t="str">
        <v>Jamie Day</v>
      </c>
      <c r="V642">
        <v>32359</v>
      </c>
      <c r="W642">
        <v>45507</v>
      </c>
      <c r="X642">
        <v>31.36</v>
      </c>
      <c r="Y642">
        <v>827.03532799999994</v>
      </c>
      <c r="Z642">
        <v>1810.1946720000001</v>
      </c>
      <c r="AC642" t="str">
        <v>Jeans</v>
      </c>
      <c r="AD642">
        <v>1108.4172880000001</v>
      </c>
      <c r="AF642">
        <v>1880</v>
      </c>
      <c r="AG642" t="str">
        <v>Cricket Bat</v>
      </c>
      <c r="AH642">
        <v>1779.0703299999998</v>
      </c>
    </row>
    <row r="643" spans="1:34" x14ac:dyDescent="0.3">
      <c r="A643" s="1">
        <v>1641</v>
      </c>
      <c r="B643" s="2">
        <v>45770</v>
      </c>
      <c r="C643" s="1" t="s">
        <v>26</v>
      </c>
      <c r="D643" s="1" t="s">
        <v>44</v>
      </c>
      <c r="E643" s="1" t="s">
        <v>16</v>
      </c>
      <c r="F643" s="1">
        <v>1233.6500000000001</v>
      </c>
      <c r="G643" s="1" t="s">
        <v>233</v>
      </c>
      <c r="H643" s="2">
        <v>38826</v>
      </c>
      <c r="I643" s="2">
        <v>45782</v>
      </c>
      <c r="J643" s="1">
        <v>7.16</v>
      </c>
      <c r="K643" s="4">
        <f t="shared" ref="K643:K706" si="20">F643*J643%</f>
        <v>88.329340000000002</v>
      </c>
      <c r="L643" s="4">
        <f t="shared" ref="L643:L706" si="21">F643-K643</f>
        <v>1145.3206600000001</v>
      </c>
      <c r="O643">
        <v>1886</v>
      </c>
      <c r="P643">
        <v>44555</v>
      </c>
      <c r="Q643" t="str">
        <v>South</v>
      </c>
      <c r="R643" t="str">
        <v>Cricket Bat</v>
      </c>
      <c r="S643" t="str">
        <v>Sports</v>
      </c>
      <c r="T643">
        <v>4477.01</v>
      </c>
      <c r="U643" t="str">
        <v>Andrew Weaver</v>
      </c>
      <c r="V643">
        <v>33394</v>
      </c>
      <c r="W643">
        <v>44566</v>
      </c>
      <c r="X643">
        <v>47.62</v>
      </c>
      <c r="Y643">
        <v>2131.952162</v>
      </c>
      <c r="Z643">
        <v>2345.0578380000002</v>
      </c>
      <c r="AC643" t="str">
        <v>Tennis Racket</v>
      </c>
      <c r="AD643">
        <v>1810.1946720000001</v>
      </c>
      <c r="AF643">
        <v>1882</v>
      </c>
      <c r="AG643" t="str">
        <v>Jeans</v>
      </c>
      <c r="AH643">
        <v>1108.4172880000001</v>
      </c>
    </row>
    <row r="644" spans="1:34" x14ac:dyDescent="0.3">
      <c r="A644" s="1">
        <v>1642</v>
      </c>
      <c r="B644" s="2">
        <v>45094</v>
      </c>
      <c r="C644" s="1" t="s">
        <v>35</v>
      </c>
      <c r="D644" s="1" t="s">
        <v>44</v>
      </c>
      <c r="E644" s="1" t="s">
        <v>16</v>
      </c>
      <c r="F644" s="1">
        <v>2282.48</v>
      </c>
      <c r="G644" s="1" t="s">
        <v>144</v>
      </c>
      <c r="H644" s="2">
        <v>34571</v>
      </c>
      <c r="I644" s="2">
        <v>45095</v>
      </c>
      <c r="J644" s="1">
        <v>1.72</v>
      </c>
      <c r="K644" s="4">
        <f t="shared" si="20"/>
        <v>39.258656000000002</v>
      </c>
      <c r="L644" s="4">
        <f t="shared" si="21"/>
        <v>2243.221344</v>
      </c>
      <c r="O644">
        <v>1887</v>
      </c>
      <c r="P644">
        <v>44535</v>
      </c>
      <c r="Q644" t="str">
        <v>North</v>
      </c>
      <c r="R644" t="str">
        <v>Oil</v>
      </c>
      <c r="S644" t="str">
        <v>Groceries</v>
      </c>
      <c r="T644">
        <v>3116.12</v>
      </c>
      <c r="U644" t="str">
        <v>Savannah Smith</v>
      </c>
      <c r="V644">
        <v>35889</v>
      </c>
      <c r="W644">
        <v>44548</v>
      </c>
      <c r="X644">
        <v>2.15</v>
      </c>
      <c r="Y644">
        <v>66.996579999999994</v>
      </c>
      <c r="Z644">
        <v>3049.1234199999999</v>
      </c>
      <c r="AC644" t="str">
        <v>Cricket Bat</v>
      </c>
      <c r="AD644">
        <v>2345.0578380000002</v>
      </c>
      <c r="AF644">
        <v>1884</v>
      </c>
      <c r="AG644" t="str">
        <v>Tennis Racket</v>
      </c>
      <c r="AH644">
        <v>1810.1946720000001</v>
      </c>
    </row>
    <row r="645" spans="1:34" x14ac:dyDescent="0.3">
      <c r="A645" s="1">
        <v>1643</v>
      </c>
      <c r="B645" s="2">
        <v>44347</v>
      </c>
      <c r="C645" s="1" t="s">
        <v>26</v>
      </c>
      <c r="D645" s="1" t="s">
        <v>30</v>
      </c>
      <c r="E645" s="1" t="s">
        <v>31</v>
      </c>
      <c r="F645" s="1">
        <v>4221.93</v>
      </c>
      <c r="G645" s="1" t="s">
        <v>37</v>
      </c>
      <c r="H645" s="2">
        <v>27534</v>
      </c>
      <c r="I645" s="2">
        <v>44356</v>
      </c>
      <c r="J645" s="1">
        <v>31.97</v>
      </c>
      <c r="K645" s="4">
        <f t="shared" si="20"/>
        <v>1349.751021</v>
      </c>
      <c r="L645" s="4">
        <f t="shared" si="21"/>
        <v>2872.1789790000003</v>
      </c>
      <c r="O645">
        <v>1888</v>
      </c>
      <c r="P645">
        <v>45855</v>
      </c>
      <c r="Q645" t="str">
        <v>North</v>
      </c>
      <c r="R645" t="str">
        <v>Wardrobe</v>
      </c>
      <c r="S645" t="str">
        <v>Furniture</v>
      </c>
      <c r="T645">
        <v>2568.29</v>
      </c>
      <c r="U645" t="str">
        <v>Regina Lopez</v>
      </c>
      <c r="V645">
        <v>24544</v>
      </c>
      <c r="W645">
        <v>45856</v>
      </c>
      <c r="X645">
        <v>45.28</v>
      </c>
      <c r="Y645">
        <v>1162.9217120000001</v>
      </c>
      <c r="Z645">
        <v>1405.3682879999999</v>
      </c>
      <c r="AC645" t="str">
        <v>Oil</v>
      </c>
      <c r="AD645">
        <v>3049.1234199999999</v>
      </c>
      <c r="AF645">
        <v>1886</v>
      </c>
      <c r="AG645" t="str">
        <v>Cricket Bat</v>
      </c>
      <c r="AH645">
        <v>2345.0578380000002</v>
      </c>
    </row>
    <row r="646" spans="1:34" x14ac:dyDescent="0.3">
      <c r="A646" s="1">
        <v>1644</v>
      </c>
      <c r="B646" s="2">
        <v>44353</v>
      </c>
      <c r="C646" s="1" t="s">
        <v>10</v>
      </c>
      <c r="D646" s="1" t="s">
        <v>65</v>
      </c>
      <c r="E646" s="1" t="s">
        <v>19</v>
      </c>
      <c r="F646" s="1">
        <v>2669.73</v>
      </c>
      <c r="G646" s="1" t="s">
        <v>301</v>
      </c>
      <c r="H646" s="2">
        <v>31775</v>
      </c>
      <c r="I646" s="2">
        <v>44358</v>
      </c>
      <c r="J646" s="1">
        <v>41.87</v>
      </c>
      <c r="K646" s="4">
        <f t="shared" si="20"/>
        <v>1117.8159509999998</v>
      </c>
      <c r="L646" s="4">
        <f t="shared" si="21"/>
        <v>1551.9140490000002</v>
      </c>
      <c r="O646">
        <v>1889</v>
      </c>
      <c r="P646">
        <v>45770</v>
      </c>
      <c r="Q646" t="str">
        <v>East</v>
      </c>
      <c r="R646" t="str">
        <v>Bed</v>
      </c>
      <c r="S646" t="str">
        <v>Furniture</v>
      </c>
      <c r="T646">
        <v>3969.72</v>
      </c>
      <c r="U646" t="str">
        <v>Melissa Douglas</v>
      </c>
      <c r="V646">
        <v>33386</v>
      </c>
      <c r="W646">
        <v>45782</v>
      </c>
      <c r="X646">
        <v>27.89</v>
      </c>
      <c r="Y646">
        <v>1107.154908</v>
      </c>
      <c r="Z646">
        <v>2862.5650919999998</v>
      </c>
      <c r="AC646" t="str">
        <v>Wardrobe</v>
      </c>
      <c r="AD646">
        <v>1405.3682879999999</v>
      </c>
      <c r="AF646">
        <v>1887</v>
      </c>
      <c r="AG646" t="str">
        <v>Oil</v>
      </c>
      <c r="AH646">
        <v>3049.1234199999999</v>
      </c>
    </row>
    <row r="647" spans="1:34" x14ac:dyDescent="0.3">
      <c r="A647" s="1">
        <v>1645</v>
      </c>
      <c r="B647" s="2">
        <v>44100</v>
      </c>
      <c r="C647" s="1" t="s">
        <v>21</v>
      </c>
      <c r="D647" s="1" t="s">
        <v>38</v>
      </c>
      <c r="E647" s="1" t="s">
        <v>28</v>
      </c>
      <c r="F647" s="1">
        <v>1691.89</v>
      </c>
      <c r="G647" s="1" t="s">
        <v>191</v>
      </c>
      <c r="H647" s="2">
        <v>37495</v>
      </c>
      <c r="I647" s="2">
        <v>44107</v>
      </c>
      <c r="J647" s="1">
        <v>15.04</v>
      </c>
      <c r="K647" s="4">
        <f t="shared" si="20"/>
        <v>254.46025599999999</v>
      </c>
      <c r="L647" s="4">
        <f t="shared" si="21"/>
        <v>1437.429744</v>
      </c>
      <c r="O647">
        <v>1890</v>
      </c>
      <c r="P647">
        <v>44206</v>
      </c>
      <c r="Q647" t="str">
        <v>East</v>
      </c>
      <c r="R647" t="str">
        <v>Laptop</v>
      </c>
      <c r="S647" t="str">
        <v>Electronics</v>
      </c>
      <c r="T647">
        <v>1915.12</v>
      </c>
      <c r="U647" t="str">
        <v>Elizabeth Lee MD</v>
      </c>
      <c r="V647">
        <v>25948</v>
      </c>
      <c r="W647">
        <v>44209</v>
      </c>
      <c r="X647">
        <v>3.09</v>
      </c>
      <c r="Y647">
        <v>59.177207999999993</v>
      </c>
      <c r="Z647">
        <v>1855.9427919999998</v>
      </c>
      <c r="AC647" t="str">
        <v>Bed</v>
      </c>
      <c r="AD647">
        <v>2862.5650919999998</v>
      </c>
      <c r="AF647">
        <v>1888</v>
      </c>
      <c r="AG647" t="str">
        <v>Wardrobe</v>
      </c>
      <c r="AH647">
        <v>1405.3682879999999</v>
      </c>
    </row>
    <row r="648" spans="1:34" x14ac:dyDescent="0.3">
      <c r="A648" s="1">
        <v>1646</v>
      </c>
      <c r="B648" s="2">
        <v>45630</v>
      </c>
      <c r="C648" s="1" t="s">
        <v>10</v>
      </c>
      <c r="D648" s="1" t="s">
        <v>33</v>
      </c>
      <c r="E648" s="1" t="s">
        <v>16</v>
      </c>
      <c r="F648" s="1">
        <v>830.37</v>
      </c>
      <c r="G648" s="1" t="s">
        <v>261</v>
      </c>
      <c r="H648" s="2">
        <v>23920</v>
      </c>
      <c r="I648" s="2">
        <v>45636</v>
      </c>
      <c r="J648" s="1">
        <v>4.28</v>
      </c>
      <c r="K648" s="4">
        <f t="shared" si="20"/>
        <v>35.539836000000001</v>
      </c>
      <c r="L648" s="4">
        <f t="shared" si="21"/>
        <v>794.83016399999997</v>
      </c>
      <c r="O648">
        <v>1891</v>
      </c>
      <c r="P648">
        <v>44188</v>
      </c>
      <c r="Q648" t="str">
        <v>Central</v>
      </c>
      <c r="R648" t="str">
        <v>Milk</v>
      </c>
      <c r="S648" t="str">
        <v>Groceries</v>
      </c>
      <c r="T648">
        <v>2591.71</v>
      </c>
      <c r="U648" t="str">
        <v>Michael Robinson</v>
      </c>
      <c r="V648">
        <v>33702</v>
      </c>
      <c r="W648">
        <v>44192</v>
      </c>
      <c r="X648">
        <v>19.28</v>
      </c>
      <c r="Y648">
        <v>499.68168800000001</v>
      </c>
      <c r="Z648">
        <v>2092.0283119999999</v>
      </c>
      <c r="AC648" t="str">
        <v>Laptop</v>
      </c>
      <c r="AD648">
        <v>1855.9427919999998</v>
      </c>
      <c r="AF648">
        <v>1889</v>
      </c>
      <c r="AG648" t="str">
        <v>Bed</v>
      </c>
      <c r="AH648">
        <v>2862.5650919999998</v>
      </c>
    </row>
    <row r="649" spans="1:34" x14ac:dyDescent="0.3">
      <c r="A649" s="1">
        <v>1647</v>
      </c>
      <c r="B649" s="2">
        <v>45397</v>
      </c>
      <c r="C649" s="1" t="s">
        <v>10</v>
      </c>
      <c r="D649" s="1" t="s">
        <v>36</v>
      </c>
      <c r="E649" s="1" t="s">
        <v>28</v>
      </c>
      <c r="F649" s="1">
        <v>3017.29</v>
      </c>
      <c r="G649" s="1" t="s">
        <v>50</v>
      </c>
      <c r="H649" s="2">
        <v>22594</v>
      </c>
      <c r="I649" s="2">
        <v>45408</v>
      </c>
      <c r="J649" s="1">
        <v>40.770000000000003</v>
      </c>
      <c r="K649" s="4">
        <f t="shared" si="20"/>
        <v>1230.1491329999999</v>
      </c>
      <c r="L649" s="4">
        <f t="shared" si="21"/>
        <v>1787.1408670000001</v>
      </c>
      <c r="O649">
        <v>1893</v>
      </c>
      <c r="P649">
        <v>44597</v>
      </c>
      <c r="Q649" t="str">
        <v>Central</v>
      </c>
      <c r="R649" t="str">
        <v>Bed</v>
      </c>
      <c r="S649" t="str">
        <v>Furniture</v>
      </c>
      <c r="T649">
        <v>1953.69</v>
      </c>
      <c r="U649" t="str">
        <v>Dorothy Thomas</v>
      </c>
      <c r="V649">
        <v>30364</v>
      </c>
      <c r="W649">
        <v>44611</v>
      </c>
      <c r="X649">
        <v>32.869999999999997</v>
      </c>
      <c r="Y649">
        <v>642.17790300000001</v>
      </c>
      <c r="Z649">
        <v>1311.512097</v>
      </c>
      <c r="AC649" t="str">
        <v>Milk</v>
      </c>
      <c r="AD649">
        <v>2092.0283119999999</v>
      </c>
      <c r="AF649">
        <v>1890</v>
      </c>
      <c r="AG649" t="str">
        <v>Laptop</v>
      </c>
      <c r="AH649">
        <v>1855.9427919999998</v>
      </c>
    </row>
    <row r="650" spans="1:34" x14ac:dyDescent="0.3">
      <c r="A650" s="1">
        <v>1648</v>
      </c>
      <c r="B650" s="2">
        <v>44377</v>
      </c>
      <c r="C650" s="1" t="s">
        <v>35</v>
      </c>
      <c r="D650" s="1" t="s">
        <v>18</v>
      </c>
      <c r="E650" s="1" t="s">
        <v>19</v>
      </c>
      <c r="F650" s="1">
        <v>1210.22</v>
      </c>
      <c r="G650" s="1" t="s">
        <v>303</v>
      </c>
      <c r="H650" s="2">
        <v>30474</v>
      </c>
      <c r="I650" s="2">
        <v>44382</v>
      </c>
      <c r="J650" s="1">
        <v>46.37</v>
      </c>
      <c r="K650" s="4">
        <f t="shared" si="20"/>
        <v>561.17901400000005</v>
      </c>
      <c r="L650" s="4">
        <f t="shared" si="21"/>
        <v>649.04098599999998</v>
      </c>
      <c r="O650">
        <v>1895</v>
      </c>
      <c r="P650">
        <v>45847</v>
      </c>
      <c r="Q650" t="str">
        <v>East</v>
      </c>
      <c r="R650" t="str">
        <v>Cap</v>
      </c>
      <c r="S650" t="str">
        <v>Clothing</v>
      </c>
      <c r="T650">
        <v>1426.01</v>
      </c>
      <c r="U650" t="str">
        <v>Karla Garcia</v>
      </c>
      <c r="V650">
        <v>31331</v>
      </c>
      <c r="W650">
        <v>45851</v>
      </c>
      <c r="X650">
        <v>26.73</v>
      </c>
      <c r="Y650">
        <v>381.17247299999997</v>
      </c>
      <c r="Z650">
        <v>1044.8375270000001</v>
      </c>
      <c r="AC650" t="str">
        <v>Bed</v>
      </c>
      <c r="AD650">
        <v>1311.512097</v>
      </c>
      <c r="AF650">
        <v>1891</v>
      </c>
      <c r="AG650" t="str">
        <v>Milk</v>
      </c>
      <c r="AH650">
        <v>2092.0283119999999</v>
      </c>
    </row>
    <row r="651" spans="1:34" x14ac:dyDescent="0.3">
      <c r="A651" s="1">
        <v>1649</v>
      </c>
      <c r="B651" s="2">
        <v>44132</v>
      </c>
      <c r="C651" s="1" t="s">
        <v>35</v>
      </c>
      <c r="D651" s="1" t="s">
        <v>73</v>
      </c>
      <c r="E651" s="1" t="s">
        <v>28</v>
      </c>
      <c r="F651" s="1">
        <v>4753.34</v>
      </c>
      <c r="G651" s="1" t="s">
        <v>222</v>
      </c>
      <c r="H651" s="2">
        <v>28619</v>
      </c>
      <c r="I651" s="2">
        <v>44140</v>
      </c>
      <c r="J651" s="1">
        <v>6.29</v>
      </c>
      <c r="K651" s="4">
        <f t="shared" si="20"/>
        <v>298.98508600000002</v>
      </c>
      <c r="L651" s="4">
        <f t="shared" si="21"/>
        <v>4454.3549140000005</v>
      </c>
      <c r="O651">
        <v>1896</v>
      </c>
      <c r="P651">
        <v>44786</v>
      </c>
      <c r="Q651" t="str">
        <v>Central</v>
      </c>
      <c r="R651" t="str">
        <v>Chair</v>
      </c>
      <c r="S651" t="str">
        <v>Furniture</v>
      </c>
      <c r="T651">
        <v>4689.82</v>
      </c>
      <c r="U651" t="str">
        <v>David Raymond</v>
      </c>
      <c r="V651">
        <v>32196</v>
      </c>
      <c r="W651">
        <v>44796</v>
      </c>
      <c r="X651">
        <v>28.56</v>
      </c>
      <c r="Y651">
        <v>1339.4125919999997</v>
      </c>
      <c r="Z651">
        <v>3350.407408</v>
      </c>
      <c r="AC651" t="str">
        <v>Cap</v>
      </c>
      <c r="AD651">
        <v>1044.8375270000001</v>
      </c>
      <c r="AF651">
        <v>1893</v>
      </c>
      <c r="AG651" t="str">
        <v>Bed</v>
      </c>
      <c r="AH651">
        <v>1311.512097</v>
      </c>
    </row>
    <row r="652" spans="1:34" x14ac:dyDescent="0.3">
      <c r="A652" s="1">
        <v>1650</v>
      </c>
      <c r="B652" s="2">
        <v>44820</v>
      </c>
      <c r="C652" s="1" t="s">
        <v>26</v>
      </c>
      <c r="D652" s="1" t="s">
        <v>33</v>
      </c>
      <c r="E652" s="1" t="s">
        <v>16</v>
      </c>
      <c r="F652" s="1">
        <v>981.87</v>
      </c>
      <c r="G652" s="1" t="s">
        <v>165</v>
      </c>
      <c r="H652" s="2">
        <v>29887</v>
      </c>
      <c r="I652" s="2">
        <v>44827</v>
      </c>
      <c r="J652" s="1">
        <v>0.65</v>
      </c>
      <c r="K652" s="4">
        <f t="shared" si="20"/>
        <v>6.3821550000000009</v>
      </c>
      <c r="L652" s="4">
        <f t="shared" si="21"/>
        <v>975.48784499999999</v>
      </c>
      <c r="O652">
        <v>1897</v>
      </c>
      <c r="P652">
        <v>44225</v>
      </c>
      <c r="Q652" t="str">
        <v>South</v>
      </c>
      <c r="R652" t="str">
        <v>Smartphone</v>
      </c>
      <c r="S652" t="str">
        <v>Electronics</v>
      </c>
      <c r="T652">
        <v>2668.25</v>
      </c>
      <c r="U652" t="str">
        <v>Curtis George</v>
      </c>
      <c r="V652">
        <v>31467</v>
      </c>
      <c r="W652">
        <v>44232</v>
      </c>
      <c r="X652">
        <v>16.52</v>
      </c>
      <c r="Y652">
        <v>440.79489999999998</v>
      </c>
      <c r="Z652">
        <v>2227.4551000000001</v>
      </c>
      <c r="AC652" t="str">
        <v>Chair</v>
      </c>
      <c r="AD652">
        <v>3350.407408</v>
      </c>
      <c r="AF652">
        <v>1895</v>
      </c>
      <c r="AG652" t="str">
        <v>Cap</v>
      </c>
      <c r="AH652">
        <v>1044.8375270000001</v>
      </c>
    </row>
    <row r="653" spans="1:34" x14ac:dyDescent="0.3">
      <c r="A653" s="1">
        <v>1651</v>
      </c>
      <c r="B653" s="2">
        <v>44720</v>
      </c>
      <c r="C653" s="1" t="s">
        <v>10</v>
      </c>
      <c r="D653" s="1" t="s">
        <v>65</v>
      </c>
      <c r="E653" s="1" t="s">
        <v>19</v>
      </c>
      <c r="F653" s="1">
        <v>563.67999999999995</v>
      </c>
      <c r="G653" s="1" t="s">
        <v>143</v>
      </c>
      <c r="H653" s="2">
        <v>37490</v>
      </c>
      <c r="I653" s="2">
        <v>44724</v>
      </c>
      <c r="J653" s="1">
        <v>18.170000000000002</v>
      </c>
      <c r="K653" s="4">
        <f t="shared" si="20"/>
        <v>102.42065600000001</v>
      </c>
      <c r="L653" s="4">
        <f t="shared" si="21"/>
        <v>461.25934399999994</v>
      </c>
      <c r="O653">
        <v>1898</v>
      </c>
      <c r="P653">
        <v>44273</v>
      </c>
      <c r="Q653" t="str">
        <v>Central</v>
      </c>
      <c r="R653" t="str">
        <v>T-Shirt</v>
      </c>
      <c r="S653" t="str">
        <v>Clothing</v>
      </c>
      <c r="T653">
        <v>3591.29</v>
      </c>
      <c r="U653" t="str">
        <v>Cassandra Mckinney</v>
      </c>
      <c r="V653">
        <v>36760</v>
      </c>
      <c r="W653">
        <v>44283</v>
      </c>
      <c r="X653">
        <v>11.69</v>
      </c>
      <c r="Y653">
        <v>419.82180099999994</v>
      </c>
      <c r="Z653">
        <v>3171.4681989999999</v>
      </c>
      <c r="AC653" t="str">
        <v>Smartphone</v>
      </c>
      <c r="AD653">
        <v>2227.4551000000001</v>
      </c>
      <c r="AF653">
        <v>1896</v>
      </c>
      <c r="AG653" t="str">
        <v>Chair</v>
      </c>
      <c r="AH653">
        <v>3350.407408</v>
      </c>
    </row>
    <row r="654" spans="1:34" x14ac:dyDescent="0.3">
      <c r="A654" s="1">
        <v>1652</v>
      </c>
      <c r="B654" s="2">
        <v>44476</v>
      </c>
      <c r="C654" s="1" t="s">
        <v>10</v>
      </c>
      <c r="D654" s="1" t="s">
        <v>58</v>
      </c>
      <c r="E654" s="1" t="s">
        <v>31</v>
      </c>
      <c r="F654" s="1">
        <v>1065.97</v>
      </c>
      <c r="G654" s="1" t="s">
        <v>135</v>
      </c>
      <c r="H654" s="2">
        <v>38018</v>
      </c>
      <c r="I654" s="2">
        <v>44489</v>
      </c>
      <c r="J654" s="1">
        <v>16.690000000000001</v>
      </c>
      <c r="K654" s="4">
        <f t="shared" si="20"/>
        <v>177.91039300000003</v>
      </c>
      <c r="L654" s="4">
        <f t="shared" si="21"/>
        <v>888.05960700000003</v>
      </c>
      <c r="O654">
        <v>1900</v>
      </c>
      <c r="P654">
        <v>45824</v>
      </c>
      <c r="Q654" t="str">
        <v>West</v>
      </c>
      <c r="R654" t="str">
        <v>Bed</v>
      </c>
      <c r="S654" t="str">
        <v>Furniture</v>
      </c>
      <c r="T654">
        <v>3162.97</v>
      </c>
      <c r="U654" t="str">
        <v>Mark Swanson</v>
      </c>
      <c r="V654">
        <v>36099</v>
      </c>
      <c r="W654">
        <v>45836</v>
      </c>
      <c r="X654">
        <v>5.03</v>
      </c>
      <c r="Y654">
        <v>159.09739100000002</v>
      </c>
      <c r="Z654">
        <v>3003.872609</v>
      </c>
      <c r="AC654" t="str">
        <v>T-Shirt</v>
      </c>
      <c r="AD654">
        <v>3171.4681989999999</v>
      </c>
      <c r="AF654">
        <v>1897</v>
      </c>
      <c r="AG654" t="str">
        <v>Smartphone</v>
      </c>
      <c r="AH654">
        <v>2227.4551000000001</v>
      </c>
    </row>
    <row r="655" spans="1:34" x14ac:dyDescent="0.3">
      <c r="A655" s="1">
        <v>1653</v>
      </c>
      <c r="B655" s="2">
        <v>44374</v>
      </c>
      <c r="C655" s="1" t="s">
        <v>14</v>
      </c>
      <c r="D655" s="1" t="s">
        <v>36</v>
      </c>
      <c r="E655" s="1" t="s">
        <v>28</v>
      </c>
      <c r="F655" s="1">
        <v>1898.29</v>
      </c>
      <c r="G655" s="1" t="s">
        <v>304</v>
      </c>
      <c r="H655" s="2">
        <v>36246</v>
      </c>
      <c r="I655" s="2">
        <v>44386</v>
      </c>
      <c r="J655" s="1">
        <v>30.32</v>
      </c>
      <c r="K655" s="4">
        <f t="shared" si="20"/>
        <v>575.56152800000007</v>
      </c>
      <c r="L655" s="4">
        <f t="shared" si="21"/>
        <v>1322.7284719999998</v>
      </c>
      <c r="O655">
        <v>1901</v>
      </c>
      <c r="P655">
        <v>45510</v>
      </c>
      <c r="Q655" t="str">
        <v>North</v>
      </c>
      <c r="R655" t="str">
        <v>Wheat</v>
      </c>
      <c r="S655" t="str">
        <v>Groceries</v>
      </c>
      <c r="T655">
        <v>1671.46</v>
      </c>
      <c r="U655" t="str">
        <v>Jerry Smith</v>
      </c>
      <c r="V655">
        <v>26027</v>
      </c>
      <c r="W655">
        <v>45523</v>
      </c>
      <c r="X655">
        <v>12.98</v>
      </c>
      <c r="Y655">
        <v>216.95550800000001</v>
      </c>
      <c r="Z655">
        <v>1454.504492</v>
      </c>
      <c r="AC655" t="str">
        <v>Bed</v>
      </c>
      <c r="AD655">
        <v>3003.872609</v>
      </c>
      <c r="AF655">
        <v>1898</v>
      </c>
      <c r="AG655" t="str">
        <v>T-Shirt</v>
      </c>
      <c r="AH655">
        <v>3171.4681989999999</v>
      </c>
    </row>
    <row r="656" spans="1:34" x14ac:dyDescent="0.3">
      <c r="A656" s="1">
        <v>1654</v>
      </c>
      <c r="B656" s="2">
        <v>44437</v>
      </c>
      <c r="C656" s="1" t="s">
        <v>26</v>
      </c>
      <c r="D656" s="1" t="s">
        <v>30</v>
      </c>
      <c r="E656" s="1" t="s">
        <v>31</v>
      </c>
      <c r="F656" s="1">
        <v>2209.92</v>
      </c>
      <c r="G656" s="1" t="s">
        <v>238</v>
      </c>
      <c r="H656" s="2">
        <v>31880</v>
      </c>
      <c r="I656" s="2">
        <v>44450</v>
      </c>
      <c r="J656" s="1">
        <v>4.3099999999999996</v>
      </c>
      <c r="K656" s="4">
        <f t="shared" si="20"/>
        <v>95.247551999999999</v>
      </c>
      <c r="L656" s="4">
        <f t="shared" si="21"/>
        <v>2114.6724480000003</v>
      </c>
      <c r="O656">
        <v>1902</v>
      </c>
      <c r="P656">
        <v>45722</v>
      </c>
      <c r="Q656" t="str">
        <v>East</v>
      </c>
      <c r="R656" t="str">
        <v>Rice</v>
      </c>
      <c r="S656" t="str">
        <v>Groceries</v>
      </c>
      <c r="T656">
        <v>4425.9799999999996</v>
      </c>
      <c r="U656" t="str">
        <v>Savannah Smith</v>
      </c>
      <c r="V656">
        <v>35889</v>
      </c>
      <c r="W656">
        <v>45731</v>
      </c>
      <c r="X656">
        <v>21.97</v>
      </c>
      <c r="Y656">
        <v>972.38780599999984</v>
      </c>
      <c r="Z656">
        <v>3453.5921939999998</v>
      </c>
      <c r="AC656" t="str">
        <v>Wheat</v>
      </c>
      <c r="AD656">
        <v>1454.504492</v>
      </c>
      <c r="AF656">
        <v>1900</v>
      </c>
      <c r="AG656" t="str">
        <v>Bed</v>
      </c>
      <c r="AH656">
        <v>3003.872609</v>
      </c>
    </row>
    <row r="657" spans="1:34" x14ac:dyDescent="0.3">
      <c r="A657" s="1">
        <v>1655</v>
      </c>
      <c r="B657" s="2">
        <v>44345</v>
      </c>
      <c r="C657" s="1" t="s">
        <v>26</v>
      </c>
      <c r="D657" s="1" t="s">
        <v>22</v>
      </c>
      <c r="E657" s="1" t="s">
        <v>19</v>
      </c>
      <c r="F657" s="1">
        <v>2307.13</v>
      </c>
      <c r="G657" s="1" t="s">
        <v>171</v>
      </c>
      <c r="H657" s="2">
        <v>31261</v>
      </c>
      <c r="I657" s="2">
        <v>44354</v>
      </c>
      <c r="J657" s="1">
        <v>37.06</v>
      </c>
      <c r="K657" s="4">
        <f t="shared" si="20"/>
        <v>855.02237800000012</v>
      </c>
      <c r="L657" s="4">
        <f t="shared" si="21"/>
        <v>1452.107622</v>
      </c>
      <c r="O657">
        <v>1903</v>
      </c>
      <c r="P657">
        <v>45709</v>
      </c>
      <c r="Q657" t="str">
        <v>East</v>
      </c>
      <c r="R657" t="str">
        <v>Oil</v>
      </c>
      <c r="S657" t="str">
        <v>Groceries</v>
      </c>
      <c r="T657">
        <v>2140.41</v>
      </c>
      <c r="U657" t="str">
        <v>Wesley Olson</v>
      </c>
      <c r="V657">
        <v>27166</v>
      </c>
      <c r="W657">
        <v>45719</v>
      </c>
      <c r="X657">
        <v>38.58</v>
      </c>
      <c r="Y657">
        <v>825.77017799999987</v>
      </c>
      <c r="Z657">
        <v>1314.6398220000001</v>
      </c>
      <c r="AC657" t="str">
        <v>Rice</v>
      </c>
      <c r="AD657">
        <v>3453.5921939999998</v>
      </c>
      <c r="AF657">
        <v>1901</v>
      </c>
      <c r="AG657" t="str">
        <v>Wheat</v>
      </c>
      <c r="AH657">
        <v>1454.504492</v>
      </c>
    </row>
    <row r="658" spans="1:34" x14ac:dyDescent="0.3">
      <c r="A658" s="1">
        <v>1656</v>
      </c>
      <c r="B658" s="2">
        <v>44918</v>
      </c>
      <c r="C658" s="1" t="s">
        <v>35</v>
      </c>
      <c r="D658" s="1" t="s">
        <v>88</v>
      </c>
      <c r="E658" s="1" t="s">
        <v>16</v>
      </c>
      <c r="F658" s="1">
        <v>1309.18</v>
      </c>
      <c r="G658" s="1" t="s">
        <v>130</v>
      </c>
      <c r="H658" s="2">
        <v>38750</v>
      </c>
      <c r="I658" s="2">
        <v>44928</v>
      </c>
      <c r="J658" s="1">
        <v>26.82</v>
      </c>
      <c r="K658" s="4">
        <f t="shared" si="20"/>
        <v>351.12207599999999</v>
      </c>
      <c r="L658" s="4">
        <f t="shared" si="21"/>
        <v>958.05792400000007</v>
      </c>
      <c r="O658">
        <v>1904</v>
      </c>
      <c r="P658">
        <v>45077</v>
      </c>
      <c r="Q658" t="str">
        <v>East</v>
      </c>
      <c r="R658" t="str">
        <v>Headphones</v>
      </c>
      <c r="S658" t="str">
        <v>Electronics</v>
      </c>
      <c r="T658">
        <v>3313.01</v>
      </c>
      <c r="U658" t="str">
        <v>Tony Rose</v>
      </c>
      <c r="V658">
        <v>31764</v>
      </c>
      <c r="W658">
        <v>45090</v>
      </c>
      <c r="X658">
        <v>4.28</v>
      </c>
      <c r="Y658">
        <v>141.79682800000003</v>
      </c>
      <c r="Z658">
        <v>3171.2131720000002</v>
      </c>
      <c r="AC658" t="str">
        <v>Oil</v>
      </c>
      <c r="AD658">
        <v>1314.6398220000001</v>
      </c>
      <c r="AF658">
        <v>1902</v>
      </c>
      <c r="AG658" t="str">
        <v>Rice</v>
      </c>
      <c r="AH658">
        <v>3453.5921939999998</v>
      </c>
    </row>
    <row r="659" spans="1:34" x14ac:dyDescent="0.3">
      <c r="A659" s="1">
        <v>1657</v>
      </c>
      <c r="B659" s="2">
        <v>44362</v>
      </c>
      <c r="C659" s="1" t="s">
        <v>10</v>
      </c>
      <c r="D659" s="1" t="s">
        <v>55</v>
      </c>
      <c r="E659" s="1" t="s">
        <v>31</v>
      </c>
      <c r="F659" s="1">
        <v>528.41999999999996</v>
      </c>
      <c r="G659" s="1" t="s">
        <v>108</v>
      </c>
      <c r="H659" s="2">
        <v>33413</v>
      </c>
      <c r="I659" s="2">
        <v>44371</v>
      </c>
      <c r="J659" s="1">
        <v>23.23</v>
      </c>
      <c r="K659" s="4">
        <f t="shared" si="20"/>
        <v>122.751966</v>
      </c>
      <c r="L659" s="4">
        <f t="shared" si="21"/>
        <v>405.66803399999998</v>
      </c>
      <c r="O659">
        <v>1905</v>
      </c>
      <c r="P659">
        <v>44945</v>
      </c>
      <c r="Q659" t="str">
        <v>North</v>
      </c>
      <c r="R659" t="str">
        <v>Chair</v>
      </c>
      <c r="S659" t="str">
        <v>Furniture</v>
      </c>
      <c r="T659">
        <v>4965.43</v>
      </c>
      <c r="U659" t="str">
        <v>Richard Gould</v>
      </c>
      <c r="V659">
        <v>28747</v>
      </c>
      <c r="W659">
        <v>44956</v>
      </c>
      <c r="X659">
        <v>23.85</v>
      </c>
      <c r="Y659">
        <v>1184.2550550000001</v>
      </c>
      <c r="Z659">
        <v>3781.1749450000002</v>
      </c>
      <c r="AC659" t="str">
        <v>Headphones</v>
      </c>
      <c r="AD659">
        <v>3171.2131720000002</v>
      </c>
      <c r="AF659">
        <v>1903</v>
      </c>
      <c r="AG659" t="str">
        <v>Oil</v>
      </c>
      <c r="AH659">
        <v>1314.6398220000001</v>
      </c>
    </row>
    <row r="660" spans="1:34" x14ac:dyDescent="0.3">
      <c r="A660" s="1">
        <v>1658</v>
      </c>
      <c r="B660" s="2">
        <v>44430</v>
      </c>
      <c r="C660" s="1" t="s">
        <v>35</v>
      </c>
      <c r="D660" s="1" t="s">
        <v>49</v>
      </c>
      <c r="E660" s="1" t="s">
        <v>12</v>
      </c>
      <c r="F660" s="1">
        <v>2670.17</v>
      </c>
      <c r="G660" s="1" t="s">
        <v>288</v>
      </c>
      <c r="H660" s="2">
        <v>29810</v>
      </c>
      <c r="I660" s="2">
        <v>44441</v>
      </c>
      <c r="J660" s="1">
        <v>15.3</v>
      </c>
      <c r="K660" s="4">
        <f t="shared" si="20"/>
        <v>408.53600999999998</v>
      </c>
      <c r="L660" s="4">
        <f t="shared" si="21"/>
        <v>2261.6339900000003</v>
      </c>
      <c r="O660">
        <v>1906</v>
      </c>
      <c r="P660">
        <v>44731</v>
      </c>
      <c r="Q660" t="str">
        <v>West</v>
      </c>
      <c r="R660" t="str">
        <v>Cricket Bat</v>
      </c>
      <c r="S660" t="str">
        <v>Sports</v>
      </c>
      <c r="T660">
        <v>4140.05</v>
      </c>
      <c r="U660" t="str">
        <v>David Noble</v>
      </c>
      <c r="V660">
        <v>22594</v>
      </c>
      <c r="W660">
        <v>44736</v>
      </c>
      <c r="X660">
        <v>0.33</v>
      </c>
      <c r="Y660">
        <v>13.662165</v>
      </c>
      <c r="Z660">
        <v>4126.3878350000005</v>
      </c>
      <c r="AC660" t="str">
        <v>Chair</v>
      </c>
      <c r="AD660">
        <v>3781.1749450000002</v>
      </c>
      <c r="AF660">
        <v>1904</v>
      </c>
      <c r="AG660" t="str">
        <v>Headphones</v>
      </c>
      <c r="AH660">
        <v>3171.2131720000002</v>
      </c>
    </row>
    <row r="661" spans="1:34" x14ac:dyDescent="0.3">
      <c r="A661" s="1">
        <v>1659</v>
      </c>
      <c r="B661" s="2">
        <v>45036</v>
      </c>
      <c r="C661" s="1" t="s">
        <v>21</v>
      </c>
      <c r="D661" s="1" t="s">
        <v>71</v>
      </c>
      <c r="E661" s="1" t="s">
        <v>31</v>
      </c>
      <c r="F661" s="1">
        <v>2555.38</v>
      </c>
      <c r="G661" s="1" t="s">
        <v>305</v>
      </c>
      <c r="H661" s="2">
        <v>21940</v>
      </c>
      <c r="I661" s="2">
        <v>45041</v>
      </c>
      <c r="J661" s="1">
        <v>19.41</v>
      </c>
      <c r="K661" s="4">
        <f t="shared" si="20"/>
        <v>495.999258</v>
      </c>
      <c r="L661" s="4">
        <f t="shared" si="21"/>
        <v>2059.3807420000003</v>
      </c>
      <c r="O661">
        <v>1907</v>
      </c>
      <c r="P661">
        <v>45762</v>
      </c>
      <c r="Q661" t="str">
        <v>South</v>
      </c>
      <c r="R661" t="str">
        <v>Camera</v>
      </c>
      <c r="S661" t="str">
        <v>Electronics</v>
      </c>
      <c r="T661">
        <v>1722.88</v>
      </c>
      <c r="U661" t="str">
        <v>Robert Edwards</v>
      </c>
      <c r="V661">
        <v>32330</v>
      </c>
      <c r="W661">
        <v>45764</v>
      </c>
      <c r="X661">
        <v>27.61</v>
      </c>
      <c r="Y661">
        <v>475.68716800000004</v>
      </c>
      <c r="Z661">
        <v>1247.1928320000002</v>
      </c>
      <c r="AC661" t="str">
        <v>Cricket Bat</v>
      </c>
      <c r="AD661">
        <v>4126.3878350000005</v>
      </c>
      <c r="AF661">
        <v>1905</v>
      </c>
      <c r="AG661" t="str">
        <v>Chair</v>
      </c>
      <c r="AH661">
        <v>3781.1749450000002</v>
      </c>
    </row>
    <row r="662" spans="1:34" x14ac:dyDescent="0.3">
      <c r="A662" s="1">
        <v>1660</v>
      </c>
      <c r="B662" s="2">
        <v>44120</v>
      </c>
      <c r="C662" s="1" t="s">
        <v>26</v>
      </c>
      <c r="D662" s="1" t="s">
        <v>55</v>
      </c>
      <c r="E662" s="1" t="s">
        <v>31</v>
      </c>
      <c r="F662" s="1">
        <v>4831.3999999999996</v>
      </c>
      <c r="G662" s="1" t="s">
        <v>163</v>
      </c>
      <c r="H662" s="2">
        <v>30364</v>
      </c>
      <c r="I662" s="2">
        <v>44127</v>
      </c>
      <c r="J662" s="1">
        <v>19.36</v>
      </c>
      <c r="K662" s="4">
        <f t="shared" si="20"/>
        <v>935.35903999999994</v>
      </c>
      <c r="L662" s="4">
        <f t="shared" si="21"/>
        <v>3896.0409599999998</v>
      </c>
      <c r="O662">
        <v>1908</v>
      </c>
      <c r="P662">
        <v>45286</v>
      </c>
      <c r="Q662" t="str">
        <v>West</v>
      </c>
      <c r="R662" t="str">
        <v>Tennis Racket</v>
      </c>
      <c r="S662" t="str">
        <v>Sports</v>
      </c>
      <c r="T662">
        <v>1275.42</v>
      </c>
      <c r="U662" t="str">
        <v>Kurt Cabrera</v>
      </c>
      <c r="V662">
        <v>28065</v>
      </c>
      <c r="W662">
        <v>45296</v>
      </c>
      <c r="X662">
        <v>4.88</v>
      </c>
      <c r="Y662">
        <v>62.240496</v>
      </c>
      <c r="Z662">
        <v>1213.1795040000002</v>
      </c>
      <c r="AC662" t="str">
        <v>Camera</v>
      </c>
      <c r="AD662">
        <v>1247.1928320000002</v>
      </c>
      <c r="AF662">
        <v>1906</v>
      </c>
      <c r="AG662" t="str">
        <v>Cricket Bat</v>
      </c>
      <c r="AH662">
        <v>4126.3878350000005</v>
      </c>
    </row>
    <row r="663" spans="1:34" x14ac:dyDescent="0.3">
      <c r="A663" s="1">
        <v>1661</v>
      </c>
      <c r="B663" s="2">
        <v>45816</v>
      </c>
      <c r="C663" s="1" t="s">
        <v>14</v>
      </c>
      <c r="D663" s="1" t="s">
        <v>22</v>
      </c>
      <c r="E663" s="1" t="s">
        <v>19</v>
      </c>
      <c r="F663" s="1">
        <v>4672.3599999999997</v>
      </c>
      <c r="G663" s="1" t="s">
        <v>189</v>
      </c>
      <c r="H663" s="2">
        <v>34164</v>
      </c>
      <c r="I663" s="2">
        <v>45827</v>
      </c>
      <c r="J663" s="1">
        <v>14.4</v>
      </c>
      <c r="K663" s="4">
        <f t="shared" si="20"/>
        <v>672.81984</v>
      </c>
      <c r="L663" s="4">
        <f t="shared" si="21"/>
        <v>3999.5401599999996</v>
      </c>
      <c r="O663">
        <v>1909</v>
      </c>
      <c r="P663">
        <v>44909</v>
      </c>
      <c r="Q663" t="str">
        <v>West</v>
      </c>
      <c r="R663" t="str">
        <v>Camera</v>
      </c>
      <c r="S663" t="str">
        <v>Electronics</v>
      </c>
      <c r="T663">
        <v>3335.8</v>
      </c>
      <c r="U663" t="str">
        <v>Mrs. Rebecca Young</v>
      </c>
      <c r="V663">
        <v>30820</v>
      </c>
      <c r="W663">
        <v>44917</v>
      </c>
      <c r="X663">
        <v>33.119999999999997</v>
      </c>
      <c r="Y663">
        <v>1104.8169600000001</v>
      </c>
      <c r="Z663">
        <v>2230.9830400000001</v>
      </c>
      <c r="AC663" t="str">
        <v>Tennis Racket</v>
      </c>
      <c r="AD663">
        <v>1213.1795040000002</v>
      </c>
      <c r="AF663">
        <v>1907</v>
      </c>
      <c r="AG663" t="str">
        <v>Camera</v>
      </c>
      <c r="AH663">
        <v>1247.1928320000002</v>
      </c>
    </row>
    <row r="664" spans="1:34" x14ac:dyDescent="0.3">
      <c r="A664" s="1">
        <v>1662</v>
      </c>
      <c r="B664" s="2">
        <v>44407</v>
      </c>
      <c r="C664" s="1" t="s">
        <v>26</v>
      </c>
      <c r="D664" s="1" t="s">
        <v>38</v>
      </c>
      <c r="E664" s="1" t="s">
        <v>28</v>
      </c>
      <c r="F664" s="1">
        <v>849.78</v>
      </c>
      <c r="G664" s="1" t="s">
        <v>262</v>
      </c>
      <c r="H664" s="2">
        <v>36590</v>
      </c>
      <c r="I664" s="2">
        <v>44420</v>
      </c>
      <c r="J664" s="1">
        <v>1.58</v>
      </c>
      <c r="K664" s="4">
        <f t="shared" si="20"/>
        <v>13.426524000000001</v>
      </c>
      <c r="L664" s="4">
        <f t="shared" si="21"/>
        <v>836.353476</v>
      </c>
      <c r="O664">
        <v>1911</v>
      </c>
      <c r="P664">
        <v>45354</v>
      </c>
      <c r="Q664" t="str">
        <v>North</v>
      </c>
      <c r="R664" t="str">
        <v>Football</v>
      </c>
      <c r="S664" t="str">
        <v>Sports</v>
      </c>
      <c r="T664">
        <v>2218.13</v>
      </c>
      <c r="U664" t="str">
        <v>Edward Gonzalez</v>
      </c>
      <c r="V664">
        <v>38750</v>
      </c>
      <c r="W664">
        <v>45361</v>
      </c>
      <c r="X664">
        <v>42.31</v>
      </c>
      <c r="Y664">
        <v>938.49080300000014</v>
      </c>
      <c r="Z664">
        <v>1279.639197</v>
      </c>
      <c r="AC664" t="str">
        <v>Camera</v>
      </c>
      <c r="AD664">
        <v>2230.9830400000001</v>
      </c>
      <c r="AF664">
        <v>1908</v>
      </c>
      <c r="AG664" t="str">
        <v>Tennis Racket</v>
      </c>
      <c r="AH664">
        <v>1213.1795040000002</v>
      </c>
    </row>
    <row r="665" spans="1:34" x14ac:dyDescent="0.3">
      <c r="A665" s="1">
        <v>1663</v>
      </c>
      <c r="B665" s="2">
        <v>44120</v>
      </c>
      <c r="C665" s="1" t="s">
        <v>21</v>
      </c>
      <c r="D665" s="1" t="s">
        <v>88</v>
      </c>
      <c r="E665" s="1" t="s">
        <v>16</v>
      </c>
      <c r="F665" s="1">
        <v>1174.31</v>
      </c>
      <c r="G665" s="1" t="s">
        <v>300</v>
      </c>
      <c r="H665" s="2">
        <v>24322</v>
      </c>
      <c r="I665" s="2">
        <v>44129</v>
      </c>
      <c r="J665" s="1">
        <v>14.95</v>
      </c>
      <c r="K665" s="4">
        <f t="shared" si="20"/>
        <v>175.55934499999998</v>
      </c>
      <c r="L665" s="4">
        <f t="shared" si="21"/>
        <v>998.75065499999994</v>
      </c>
      <c r="O665">
        <v>1913</v>
      </c>
      <c r="P665">
        <v>45260</v>
      </c>
      <c r="Q665" t="str">
        <v>East</v>
      </c>
      <c r="R665" t="str">
        <v>Oil</v>
      </c>
      <c r="S665" t="str">
        <v>Groceries</v>
      </c>
      <c r="T665">
        <v>3442.63</v>
      </c>
      <c r="U665" t="str">
        <v>Gabriel Watson</v>
      </c>
      <c r="V665">
        <v>34427</v>
      </c>
      <c r="W665">
        <v>45274</v>
      </c>
      <c r="X665">
        <v>23.72</v>
      </c>
      <c r="Y665">
        <v>816.59183600000006</v>
      </c>
      <c r="Z665">
        <v>2626.0381640000001</v>
      </c>
      <c r="AC665" t="str">
        <v>Football</v>
      </c>
      <c r="AD665">
        <v>1279.639197</v>
      </c>
      <c r="AF665">
        <v>1909</v>
      </c>
      <c r="AG665" t="str">
        <v>Camera</v>
      </c>
      <c r="AH665">
        <v>2230.9830400000001</v>
      </c>
    </row>
    <row r="666" spans="1:34" x14ac:dyDescent="0.3">
      <c r="A666" s="1">
        <v>1664</v>
      </c>
      <c r="B666" s="2">
        <v>45789</v>
      </c>
      <c r="C666" s="1" t="s">
        <v>14</v>
      </c>
      <c r="D666" s="1" t="s">
        <v>27</v>
      </c>
      <c r="E666" s="1" t="s">
        <v>28</v>
      </c>
      <c r="F666" s="1">
        <v>209.13</v>
      </c>
      <c r="G666" s="1" t="s">
        <v>149</v>
      </c>
      <c r="H666" s="2">
        <v>26155</v>
      </c>
      <c r="I666" s="2">
        <v>45793</v>
      </c>
      <c r="J666" s="1">
        <v>19.75</v>
      </c>
      <c r="K666" s="4">
        <f t="shared" si="20"/>
        <v>41.303175000000003</v>
      </c>
      <c r="L666" s="4">
        <f t="shared" si="21"/>
        <v>167.82682499999999</v>
      </c>
      <c r="O666">
        <v>1914</v>
      </c>
      <c r="P666">
        <v>44398</v>
      </c>
      <c r="Q666" t="str">
        <v>West</v>
      </c>
      <c r="R666" t="str">
        <v>Cricket Bat</v>
      </c>
      <c r="S666" t="str">
        <v>Sports</v>
      </c>
      <c r="T666">
        <v>4270.34</v>
      </c>
      <c r="U666" t="str">
        <v>Timothy Castaneda</v>
      </c>
      <c r="V666">
        <v>31880</v>
      </c>
      <c r="W666">
        <v>44410</v>
      </c>
      <c r="X666">
        <v>8.23</v>
      </c>
      <c r="Y666">
        <v>351.448982</v>
      </c>
      <c r="Z666">
        <v>3918.8910180000003</v>
      </c>
      <c r="AC666" t="str">
        <v>Oil</v>
      </c>
      <c r="AD666">
        <v>2626.0381640000001</v>
      </c>
      <c r="AF666">
        <v>1911</v>
      </c>
      <c r="AG666" t="str">
        <v>Football</v>
      </c>
      <c r="AH666">
        <v>1279.639197</v>
      </c>
    </row>
    <row r="667" spans="1:34" x14ac:dyDescent="0.3">
      <c r="A667" s="1">
        <v>1665</v>
      </c>
      <c r="B667" s="2">
        <v>44583</v>
      </c>
      <c r="C667" s="1" t="s">
        <v>26</v>
      </c>
      <c r="D667" s="1" t="s">
        <v>11</v>
      </c>
      <c r="E667" s="1" t="s">
        <v>12</v>
      </c>
      <c r="F667" s="1">
        <v>4882.18</v>
      </c>
      <c r="G667" s="1" t="s">
        <v>169</v>
      </c>
      <c r="H667" s="2">
        <v>37894</v>
      </c>
      <c r="I667" s="2">
        <v>44590</v>
      </c>
      <c r="J667" s="1">
        <v>28.88</v>
      </c>
      <c r="K667" s="4">
        <f t="shared" si="20"/>
        <v>1409.9735840000001</v>
      </c>
      <c r="L667" s="4">
        <f t="shared" si="21"/>
        <v>3472.206416</v>
      </c>
      <c r="O667">
        <v>1915</v>
      </c>
      <c r="P667">
        <v>44264</v>
      </c>
      <c r="Q667" t="str">
        <v>Central</v>
      </c>
      <c r="R667" t="str">
        <v>Basketball</v>
      </c>
      <c r="S667" t="str">
        <v>Sports</v>
      </c>
      <c r="T667">
        <v>1651.51</v>
      </c>
      <c r="U667" t="str">
        <v>Nathaniel Gonzalez</v>
      </c>
      <c r="V667">
        <v>31082</v>
      </c>
      <c r="W667">
        <v>44266</v>
      </c>
      <c r="X667">
        <v>16.899999999999999</v>
      </c>
      <c r="Y667">
        <v>279.10518999999999</v>
      </c>
      <c r="Z667">
        <v>1372.40481</v>
      </c>
      <c r="AC667" t="str">
        <v>Cricket Bat</v>
      </c>
      <c r="AD667">
        <v>3918.8910180000003</v>
      </c>
      <c r="AF667">
        <v>1913</v>
      </c>
      <c r="AG667" t="str">
        <v>Oil</v>
      </c>
      <c r="AH667">
        <v>2626.0381640000001</v>
      </c>
    </row>
    <row r="668" spans="1:34" x14ac:dyDescent="0.3">
      <c r="A668" s="1">
        <v>1666</v>
      </c>
      <c r="B668" s="2">
        <v>45636</v>
      </c>
      <c r="C668" s="1" t="s">
        <v>10</v>
      </c>
      <c r="D668" s="1" t="s">
        <v>71</v>
      </c>
      <c r="E668" s="1" t="s">
        <v>31</v>
      </c>
      <c r="F668" s="1">
        <v>639.63</v>
      </c>
      <c r="G668" s="1" t="s">
        <v>301</v>
      </c>
      <c r="H668" s="2">
        <v>31775</v>
      </c>
      <c r="I668" s="2">
        <v>45641</v>
      </c>
      <c r="J668" s="1">
        <v>41.11</v>
      </c>
      <c r="K668" s="4">
        <f t="shared" si="20"/>
        <v>262.95189299999998</v>
      </c>
      <c r="L668" s="4">
        <f t="shared" si="21"/>
        <v>376.67810700000001</v>
      </c>
      <c r="O668">
        <v>1916</v>
      </c>
      <c r="P668">
        <v>44360</v>
      </c>
      <c r="Q668" t="str">
        <v>Central</v>
      </c>
      <c r="R668" t="str">
        <v>Rice</v>
      </c>
      <c r="S668" t="str">
        <v>Groceries</v>
      </c>
      <c r="T668">
        <v>2540.2399999999998</v>
      </c>
      <c r="U668" t="str">
        <v>Andrew Weaver</v>
      </c>
      <c r="V668">
        <v>33394</v>
      </c>
      <c r="W668">
        <v>44372</v>
      </c>
      <c r="X668">
        <v>33.18</v>
      </c>
      <c r="Y668">
        <v>842.85163199999988</v>
      </c>
      <c r="Z668">
        <v>1697.3883679999999</v>
      </c>
      <c r="AC668" t="str">
        <v>Basketball</v>
      </c>
      <c r="AD668">
        <v>1372.40481</v>
      </c>
      <c r="AF668">
        <v>1914</v>
      </c>
      <c r="AG668" t="str">
        <v>Cricket Bat</v>
      </c>
      <c r="AH668">
        <v>3918.8910180000003</v>
      </c>
    </row>
    <row r="669" spans="1:34" x14ac:dyDescent="0.3">
      <c r="A669" s="1">
        <v>1667</v>
      </c>
      <c r="B669" s="2">
        <v>44932</v>
      </c>
      <c r="C669" s="1" t="s">
        <v>35</v>
      </c>
      <c r="D669" s="1" t="s">
        <v>24</v>
      </c>
      <c r="E669" s="1" t="s">
        <v>19</v>
      </c>
      <c r="F669" s="1">
        <v>2188.62</v>
      </c>
      <c r="G669" s="1" t="s">
        <v>136</v>
      </c>
      <c r="H669" s="2">
        <v>23704</v>
      </c>
      <c r="I669" s="2">
        <v>44942</v>
      </c>
      <c r="J669" s="1">
        <v>30.97</v>
      </c>
      <c r="K669" s="4">
        <f t="shared" si="20"/>
        <v>677.81561399999987</v>
      </c>
      <c r="L669" s="4">
        <f t="shared" si="21"/>
        <v>1510.804386</v>
      </c>
      <c r="O669">
        <v>1917</v>
      </c>
      <c r="P669">
        <v>45643</v>
      </c>
      <c r="Q669" t="str">
        <v>East</v>
      </c>
      <c r="R669" t="str">
        <v>Basketball</v>
      </c>
      <c r="S669" t="str">
        <v>Sports</v>
      </c>
      <c r="T669">
        <v>4900.82</v>
      </c>
      <c r="U669" t="str">
        <v>Lee Hobbs</v>
      </c>
      <c r="V669">
        <v>30299</v>
      </c>
      <c r="W669">
        <v>45655</v>
      </c>
      <c r="X669">
        <v>26.72</v>
      </c>
      <c r="Y669">
        <v>1309.499104</v>
      </c>
      <c r="Z669">
        <v>3591.3208959999997</v>
      </c>
      <c r="AC669" t="str">
        <v>Rice</v>
      </c>
      <c r="AD669">
        <v>1697.3883679999999</v>
      </c>
      <c r="AF669">
        <v>1915</v>
      </c>
      <c r="AG669" t="str">
        <v>Basketball</v>
      </c>
      <c r="AH669">
        <v>1372.40481</v>
      </c>
    </row>
    <row r="670" spans="1:34" x14ac:dyDescent="0.3">
      <c r="A670" s="1">
        <v>1668</v>
      </c>
      <c r="B670" s="2">
        <v>44744</v>
      </c>
      <c r="C670" s="1" t="s">
        <v>35</v>
      </c>
      <c r="D670" s="1" t="s">
        <v>69</v>
      </c>
      <c r="E670" s="1" t="s">
        <v>12</v>
      </c>
      <c r="F670" s="1">
        <v>789.74</v>
      </c>
      <c r="G670" s="1" t="s">
        <v>89</v>
      </c>
      <c r="H670" s="2">
        <v>37141</v>
      </c>
      <c r="I670" s="2">
        <v>44749</v>
      </c>
      <c r="J670" s="1">
        <v>5.84</v>
      </c>
      <c r="K670" s="4">
        <f t="shared" si="20"/>
        <v>46.120815999999998</v>
      </c>
      <c r="L670" s="4">
        <f t="shared" si="21"/>
        <v>743.61918400000002</v>
      </c>
      <c r="O670">
        <v>1918</v>
      </c>
      <c r="P670">
        <v>45298</v>
      </c>
      <c r="Q670" t="str">
        <v>South</v>
      </c>
      <c r="R670" t="str">
        <v>Chair</v>
      </c>
      <c r="S670" t="str">
        <v>Furniture</v>
      </c>
      <c r="T670">
        <v>4280.42</v>
      </c>
      <c r="U670" t="str">
        <v>Darren Coleman</v>
      </c>
      <c r="V670">
        <v>24719</v>
      </c>
      <c r="W670">
        <v>45300</v>
      </c>
      <c r="X670">
        <v>45.87</v>
      </c>
      <c r="Y670">
        <v>1963.4286540000001</v>
      </c>
      <c r="Z670">
        <v>2316.9913459999998</v>
      </c>
      <c r="AC670" t="str">
        <v>Basketball</v>
      </c>
      <c r="AD670">
        <v>3591.3208959999997</v>
      </c>
      <c r="AF670">
        <v>1916</v>
      </c>
      <c r="AG670" t="str">
        <v>Rice</v>
      </c>
      <c r="AH670">
        <v>1697.3883679999999</v>
      </c>
    </row>
    <row r="671" spans="1:34" x14ac:dyDescent="0.3">
      <c r="A671" s="1">
        <v>1669</v>
      </c>
      <c r="B671" s="2">
        <v>44270</v>
      </c>
      <c r="C671" s="1" t="s">
        <v>26</v>
      </c>
      <c r="D671" s="1" t="s">
        <v>65</v>
      </c>
      <c r="E671" s="1" t="s">
        <v>19</v>
      </c>
      <c r="F671" s="1">
        <v>3669.41</v>
      </c>
      <c r="G671" s="1" t="s">
        <v>207</v>
      </c>
      <c r="H671" s="2">
        <v>23988</v>
      </c>
      <c r="I671" s="2">
        <v>44284</v>
      </c>
      <c r="J671" s="1">
        <v>42.15</v>
      </c>
      <c r="K671" s="4">
        <f t="shared" si="20"/>
        <v>1546.6563149999999</v>
      </c>
      <c r="L671" s="4">
        <f t="shared" si="21"/>
        <v>2122.7536849999997</v>
      </c>
      <c r="O671">
        <v>1920</v>
      </c>
      <c r="P671">
        <v>45806</v>
      </c>
      <c r="Q671" t="str">
        <v>East</v>
      </c>
      <c r="R671" t="str">
        <v>Rice</v>
      </c>
      <c r="S671" t="str">
        <v>Groceries</v>
      </c>
      <c r="T671">
        <v>1915.59</v>
      </c>
      <c r="U671" t="str">
        <v>Tyler Frye</v>
      </c>
      <c r="V671">
        <v>22210</v>
      </c>
      <c r="W671">
        <v>45810</v>
      </c>
      <c r="X671">
        <v>31.63</v>
      </c>
      <c r="Y671">
        <v>605.90111699999989</v>
      </c>
      <c r="Z671">
        <v>1309.688883</v>
      </c>
      <c r="AC671" t="str">
        <v>Chair</v>
      </c>
      <c r="AD671">
        <v>2316.9913459999998</v>
      </c>
      <c r="AF671">
        <v>1917</v>
      </c>
      <c r="AG671" t="str">
        <v>Basketball</v>
      </c>
      <c r="AH671">
        <v>3591.3208959999997</v>
      </c>
    </row>
    <row r="672" spans="1:34" x14ac:dyDescent="0.3">
      <c r="A672" s="1">
        <v>1670</v>
      </c>
      <c r="B672" s="2">
        <v>45041</v>
      </c>
      <c r="C672" s="1" t="s">
        <v>21</v>
      </c>
      <c r="D672" s="1" t="s">
        <v>69</v>
      </c>
      <c r="E672" s="1" t="s">
        <v>31</v>
      </c>
      <c r="F672" s="1">
        <v>2238.67</v>
      </c>
      <c r="G672" s="1" t="s">
        <v>142</v>
      </c>
      <c r="H672" s="2">
        <v>29541</v>
      </c>
      <c r="I672" s="2">
        <v>45049</v>
      </c>
      <c r="J672" s="1">
        <v>12.27</v>
      </c>
      <c r="K672" s="4">
        <f t="shared" si="20"/>
        <v>274.68480899999997</v>
      </c>
      <c r="L672" s="4">
        <f t="shared" si="21"/>
        <v>1963.9851910000002</v>
      </c>
      <c r="O672">
        <v>1922</v>
      </c>
      <c r="P672">
        <v>45034</v>
      </c>
      <c r="Q672" t="str">
        <v>Central</v>
      </c>
      <c r="R672" t="str">
        <v>Eggs</v>
      </c>
      <c r="S672" t="str">
        <v>Groceries</v>
      </c>
      <c r="T672">
        <v>3524.42</v>
      </c>
      <c r="U672" t="str">
        <v>Jacqueline Chen</v>
      </c>
      <c r="V672">
        <v>25163</v>
      </c>
      <c r="W672">
        <v>45040</v>
      </c>
      <c r="X672">
        <v>47.61</v>
      </c>
      <c r="Y672">
        <v>1677.9763619999999</v>
      </c>
      <c r="Z672">
        <v>1846.4436380000002</v>
      </c>
      <c r="AC672" t="str">
        <v>Rice</v>
      </c>
      <c r="AD672">
        <v>1309.688883</v>
      </c>
      <c r="AF672">
        <v>1918</v>
      </c>
      <c r="AG672" t="str">
        <v>Chair</v>
      </c>
      <c r="AH672">
        <v>2316.9913459999998</v>
      </c>
    </row>
    <row r="673" spans="1:34" x14ac:dyDescent="0.3">
      <c r="A673" s="1">
        <v>1671</v>
      </c>
      <c r="B673" s="2">
        <v>45412</v>
      </c>
      <c r="C673" s="1" t="s">
        <v>10</v>
      </c>
      <c r="D673" s="1" t="s">
        <v>15</v>
      </c>
      <c r="E673" s="1" t="s">
        <v>16</v>
      </c>
      <c r="F673" s="1">
        <v>1138.79</v>
      </c>
      <c r="G673" s="1" t="s">
        <v>85</v>
      </c>
      <c r="H673" s="2">
        <v>37236</v>
      </c>
      <c r="I673" s="2">
        <v>45422</v>
      </c>
      <c r="J673" s="1">
        <v>32.72</v>
      </c>
      <c r="K673" s="4">
        <f t="shared" si="20"/>
        <v>372.61208799999997</v>
      </c>
      <c r="L673" s="4">
        <f t="shared" si="21"/>
        <v>766.17791199999999</v>
      </c>
      <c r="O673">
        <v>1923</v>
      </c>
      <c r="P673">
        <v>44304</v>
      </c>
      <c r="Q673" t="str">
        <v>South</v>
      </c>
      <c r="R673" t="str">
        <v>Tablet</v>
      </c>
      <c r="S673" t="str">
        <v>Electronics</v>
      </c>
      <c r="T673">
        <v>1287.42</v>
      </c>
      <c r="U673" t="str">
        <v>Robert Nunez</v>
      </c>
      <c r="V673">
        <v>26300</v>
      </c>
      <c r="W673">
        <v>44313</v>
      </c>
      <c r="X673">
        <v>1.5</v>
      </c>
      <c r="Y673">
        <v>19.311299999999999</v>
      </c>
      <c r="Z673">
        <v>1268.1087</v>
      </c>
      <c r="AC673" t="str">
        <v>Eggs</v>
      </c>
      <c r="AD673">
        <v>1846.4436380000002</v>
      </c>
      <c r="AF673">
        <v>1920</v>
      </c>
      <c r="AG673" t="str">
        <v>Rice</v>
      </c>
      <c r="AH673">
        <v>1309.688883</v>
      </c>
    </row>
    <row r="674" spans="1:34" x14ac:dyDescent="0.3">
      <c r="A674" s="1">
        <v>1672</v>
      </c>
      <c r="B674" s="2">
        <v>45872</v>
      </c>
      <c r="C674" s="1" t="s">
        <v>21</v>
      </c>
      <c r="D674" s="1" t="s">
        <v>11</v>
      </c>
      <c r="E674" s="1" t="s">
        <v>12</v>
      </c>
      <c r="F674" s="1">
        <v>1098.3800000000001</v>
      </c>
      <c r="G674" s="1" t="s">
        <v>133</v>
      </c>
      <c r="H674" s="2">
        <v>23264</v>
      </c>
      <c r="I674" s="2">
        <v>45875</v>
      </c>
      <c r="J674" s="1">
        <v>9.08</v>
      </c>
      <c r="K674" s="4">
        <f t="shared" si="20"/>
        <v>99.732904000000019</v>
      </c>
      <c r="L674" s="4">
        <f t="shared" si="21"/>
        <v>998.64709600000015</v>
      </c>
      <c r="O674">
        <v>1926</v>
      </c>
      <c r="P674">
        <v>44778</v>
      </c>
      <c r="Q674" t="str">
        <v>Central</v>
      </c>
      <c r="R674" t="str">
        <v>Table</v>
      </c>
      <c r="S674" t="str">
        <v>Furniture</v>
      </c>
      <c r="T674">
        <v>4978.8</v>
      </c>
      <c r="U674" t="str">
        <v>William Key</v>
      </c>
      <c r="V674">
        <v>34209</v>
      </c>
      <c r="W674">
        <v>44790</v>
      </c>
      <c r="X674">
        <v>19.88</v>
      </c>
      <c r="Y674">
        <v>989.78543999999988</v>
      </c>
      <c r="Z674">
        <v>3989.0145600000005</v>
      </c>
      <c r="AC674" t="str">
        <v>Tablet</v>
      </c>
      <c r="AD674">
        <v>1268.1087</v>
      </c>
      <c r="AF674">
        <v>1922</v>
      </c>
      <c r="AG674" t="str">
        <v>Eggs</v>
      </c>
      <c r="AH674">
        <v>1846.4436380000002</v>
      </c>
    </row>
    <row r="675" spans="1:34" x14ac:dyDescent="0.3">
      <c r="A675" s="1">
        <v>1673</v>
      </c>
      <c r="B675" s="2">
        <v>44190</v>
      </c>
      <c r="C675" s="1" t="s">
        <v>35</v>
      </c>
      <c r="D675" s="1" t="s">
        <v>44</v>
      </c>
      <c r="E675" s="1" t="s">
        <v>16</v>
      </c>
      <c r="F675" s="1">
        <v>1502.05</v>
      </c>
      <c r="G675" s="1" t="s">
        <v>95</v>
      </c>
      <c r="H675" s="2">
        <v>25821</v>
      </c>
      <c r="I675" s="2">
        <v>44201</v>
      </c>
      <c r="J675" s="1">
        <v>10.3</v>
      </c>
      <c r="K675" s="4">
        <f t="shared" si="20"/>
        <v>154.71115</v>
      </c>
      <c r="L675" s="4">
        <f t="shared" si="21"/>
        <v>1347.3388499999999</v>
      </c>
      <c r="O675">
        <v>1927</v>
      </c>
      <c r="P675">
        <v>44664</v>
      </c>
      <c r="Q675" t="str">
        <v>North</v>
      </c>
      <c r="R675" t="str">
        <v>Milk</v>
      </c>
      <c r="S675" t="str">
        <v>Groceries</v>
      </c>
      <c r="T675">
        <v>4206.6099999999997</v>
      </c>
      <c r="U675" t="str">
        <v>Alyssa Schroeder</v>
      </c>
      <c r="V675">
        <v>34557</v>
      </c>
      <c r="W675">
        <v>44670</v>
      </c>
      <c r="X675">
        <v>26.31</v>
      </c>
      <c r="Y675">
        <v>1106.7590909999999</v>
      </c>
      <c r="Z675">
        <v>3099.8509089999998</v>
      </c>
      <c r="AC675" t="str">
        <v>Table</v>
      </c>
      <c r="AD675">
        <v>3989.0145600000005</v>
      </c>
      <c r="AF675">
        <v>1923</v>
      </c>
      <c r="AG675" t="str">
        <v>Tablet</v>
      </c>
      <c r="AH675">
        <v>1268.1087</v>
      </c>
    </row>
    <row r="676" spans="1:34" x14ac:dyDescent="0.3">
      <c r="A676" s="1">
        <v>1674</v>
      </c>
      <c r="B676" s="2">
        <v>45177</v>
      </c>
      <c r="C676" s="1" t="s">
        <v>14</v>
      </c>
      <c r="D676" s="1" t="s">
        <v>18</v>
      </c>
      <c r="E676" s="1" t="s">
        <v>19</v>
      </c>
      <c r="F676" s="1">
        <v>542.29999999999995</v>
      </c>
      <c r="G676" s="1" t="s">
        <v>190</v>
      </c>
      <c r="H676" s="2">
        <v>33354</v>
      </c>
      <c r="I676" s="2">
        <v>45190</v>
      </c>
      <c r="J676" s="1">
        <v>41.18</v>
      </c>
      <c r="K676" s="4">
        <f t="shared" si="20"/>
        <v>223.31913999999998</v>
      </c>
      <c r="L676" s="4">
        <f t="shared" si="21"/>
        <v>318.98086000000001</v>
      </c>
      <c r="O676">
        <v>1928</v>
      </c>
      <c r="P676">
        <v>45402</v>
      </c>
      <c r="Q676" t="str">
        <v>Central</v>
      </c>
      <c r="R676" t="str">
        <v>Table</v>
      </c>
      <c r="S676" t="str">
        <v>Furniture</v>
      </c>
      <c r="T676">
        <v>3917.77</v>
      </c>
      <c r="U676" t="str">
        <v>Daniel Cabrera</v>
      </c>
      <c r="V676">
        <v>24033</v>
      </c>
      <c r="W676">
        <v>45403</v>
      </c>
      <c r="X676">
        <v>18.149999999999999</v>
      </c>
      <c r="Y676">
        <v>711.07525499999997</v>
      </c>
      <c r="Z676">
        <v>3206.6947449999998</v>
      </c>
      <c r="AC676" t="str">
        <v>Milk</v>
      </c>
      <c r="AD676">
        <v>3099.8509089999998</v>
      </c>
      <c r="AF676">
        <v>1926</v>
      </c>
      <c r="AG676" t="str">
        <v>Table</v>
      </c>
      <c r="AH676">
        <v>3989.0145600000005</v>
      </c>
    </row>
    <row r="677" spans="1:34" x14ac:dyDescent="0.3">
      <c r="A677" s="1">
        <v>1675</v>
      </c>
      <c r="B677" s="2">
        <v>45015</v>
      </c>
      <c r="C677" s="1" t="s">
        <v>35</v>
      </c>
      <c r="D677" s="1" t="s">
        <v>33</v>
      </c>
      <c r="E677" s="1" t="s">
        <v>16</v>
      </c>
      <c r="F677" s="1">
        <v>1210.26</v>
      </c>
      <c r="G677" s="1" t="s">
        <v>306</v>
      </c>
      <c r="H677" s="2">
        <v>23652</v>
      </c>
      <c r="I677" s="2">
        <v>45027</v>
      </c>
      <c r="J677" s="1">
        <v>45.32</v>
      </c>
      <c r="K677" s="4">
        <f t="shared" si="20"/>
        <v>548.48983199999998</v>
      </c>
      <c r="L677" s="4">
        <f t="shared" si="21"/>
        <v>661.77016800000001</v>
      </c>
      <c r="O677">
        <v>1930</v>
      </c>
      <c r="P677">
        <v>45578</v>
      </c>
      <c r="Q677" t="str">
        <v>East</v>
      </c>
      <c r="R677" t="str">
        <v>Table</v>
      </c>
      <c r="S677" t="str">
        <v>Furniture</v>
      </c>
      <c r="T677">
        <v>3782.03</v>
      </c>
      <c r="U677" t="str">
        <v>Joshua Joseph</v>
      </c>
      <c r="V677">
        <v>29386</v>
      </c>
      <c r="W677">
        <v>45590</v>
      </c>
      <c r="X677">
        <v>10.24</v>
      </c>
      <c r="Y677">
        <v>387.27987200000001</v>
      </c>
      <c r="Z677">
        <v>3394.7501280000001</v>
      </c>
      <c r="AC677" t="str">
        <v>Table</v>
      </c>
      <c r="AD677">
        <v>3206.6947449999998</v>
      </c>
      <c r="AF677">
        <v>1927</v>
      </c>
      <c r="AG677" t="str">
        <v>Milk</v>
      </c>
      <c r="AH677">
        <v>3099.8509089999998</v>
      </c>
    </row>
    <row r="678" spans="1:34" x14ac:dyDescent="0.3">
      <c r="A678" s="1">
        <v>1676</v>
      </c>
      <c r="B678" s="2">
        <v>44325</v>
      </c>
      <c r="C678" s="1" t="s">
        <v>10</v>
      </c>
      <c r="D678" s="1" t="s">
        <v>11</v>
      </c>
      <c r="E678" s="1" t="s">
        <v>12</v>
      </c>
      <c r="F678" s="1">
        <v>1155.43</v>
      </c>
      <c r="G678" s="1" t="s">
        <v>37</v>
      </c>
      <c r="H678" s="2">
        <v>27534</v>
      </c>
      <c r="I678" s="2">
        <v>44326</v>
      </c>
      <c r="J678" s="1">
        <v>36.01</v>
      </c>
      <c r="K678" s="4">
        <f t="shared" si="20"/>
        <v>416.07034299999998</v>
      </c>
      <c r="L678" s="4">
        <f t="shared" si="21"/>
        <v>739.35965700000008</v>
      </c>
      <c r="O678">
        <v>1932</v>
      </c>
      <c r="P678">
        <v>44067</v>
      </c>
      <c r="Q678" t="str">
        <v>North</v>
      </c>
      <c r="R678" t="str">
        <v>Headphones</v>
      </c>
      <c r="S678" t="str">
        <v>Electronics</v>
      </c>
      <c r="T678">
        <v>4472.6000000000004</v>
      </c>
      <c r="U678" t="str">
        <v>Cassandra Mckinney</v>
      </c>
      <c r="V678">
        <v>36760</v>
      </c>
      <c r="W678">
        <v>44072</v>
      </c>
      <c r="X678">
        <v>17.690000000000001</v>
      </c>
      <c r="Y678">
        <v>791.20294000000013</v>
      </c>
      <c r="Z678">
        <v>3681.3970600000002</v>
      </c>
      <c r="AC678" t="str">
        <v>Table</v>
      </c>
      <c r="AD678">
        <v>3394.7501280000001</v>
      </c>
      <c r="AF678">
        <v>1928</v>
      </c>
      <c r="AG678" t="str">
        <v>Table</v>
      </c>
      <c r="AH678">
        <v>3206.6947449999998</v>
      </c>
    </row>
    <row r="679" spans="1:34" x14ac:dyDescent="0.3">
      <c r="A679" s="1">
        <v>1677</v>
      </c>
      <c r="B679" s="2">
        <v>44508</v>
      </c>
      <c r="C679" s="1" t="s">
        <v>35</v>
      </c>
      <c r="D679" s="1" t="s">
        <v>58</v>
      </c>
      <c r="E679" s="1" t="s">
        <v>31</v>
      </c>
      <c r="F679" s="1">
        <v>4727.7700000000004</v>
      </c>
      <c r="G679" s="1" t="s">
        <v>307</v>
      </c>
      <c r="H679" s="2">
        <v>30321</v>
      </c>
      <c r="I679" s="2">
        <v>44513</v>
      </c>
      <c r="J679" s="1">
        <v>7.46</v>
      </c>
      <c r="K679" s="4">
        <f t="shared" si="20"/>
        <v>352.69164200000006</v>
      </c>
      <c r="L679" s="4">
        <f t="shared" si="21"/>
        <v>4375.0783580000007</v>
      </c>
      <c r="O679">
        <v>1933</v>
      </c>
      <c r="P679">
        <v>44864</v>
      </c>
      <c r="Q679" t="str">
        <v>Central</v>
      </c>
      <c r="R679" t="str">
        <v>T-Shirt</v>
      </c>
      <c r="S679" t="str">
        <v>Clothing</v>
      </c>
      <c r="T679">
        <v>2128.62</v>
      </c>
      <c r="U679" t="str">
        <v>Jason Gomez</v>
      </c>
      <c r="V679">
        <v>32685</v>
      </c>
      <c r="W679">
        <v>44878</v>
      </c>
      <c r="X679">
        <v>40.1</v>
      </c>
      <c r="Y679">
        <v>853.57662000000005</v>
      </c>
      <c r="Z679">
        <v>1275.0433799999998</v>
      </c>
      <c r="AC679" t="str">
        <v>Headphones</v>
      </c>
      <c r="AD679">
        <v>3681.3970600000002</v>
      </c>
      <c r="AF679">
        <v>1930</v>
      </c>
      <c r="AG679" t="str">
        <v>Table</v>
      </c>
      <c r="AH679">
        <v>3394.7501280000001</v>
      </c>
    </row>
    <row r="680" spans="1:34" x14ac:dyDescent="0.3">
      <c r="A680" s="1">
        <v>1678</v>
      </c>
      <c r="B680" s="2">
        <v>44869</v>
      </c>
      <c r="C680" s="1" t="s">
        <v>26</v>
      </c>
      <c r="D680" s="1" t="s">
        <v>58</v>
      </c>
      <c r="E680" s="1" t="s">
        <v>31</v>
      </c>
      <c r="F680" s="1">
        <v>542.16999999999996</v>
      </c>
      <c r="G680" s="1" t="s">
        <v>159</v>
      </c>
      <c r="H680" s="2">
        <v>38194</v>
      </c>
      <c r="I680" s="2">
        <v>44870</v>
      </c>
      <c r="J680" s="1">
        <v>12.99</v>
      </c>
      <c r="K680" s="4">
        <f t="shared" si="20"/>
        <v>70.427883000000008</v>
      </c>
      <c r="L680" s="4">
        <f t="shared" si="21"/>
        <v>471.74211699999995</v>
      </c>
      <c r="O680">
        <v>1935</v>
      </c>
      <c r="P680">
        <v>45710</v>
      </c>
      <c r="Q680" t="str">
        <v>East</v>
      </c>
      <c r="R680" t="str">
        <v>Football</v>
      </c>
      <c r="S680" t="str">
        <v>Sports</v>
      </c>
      <c r="T680">
        <v>3345.99</v>
      </c>
      <c r="U680" t="str">
        <v>Joseph Vaughan</v>
      </c>
      <c r="V680">
        <v>24706</v>
      </c>
      <c r="W680">
        <v>45721</v>
      </c>
      <c r="X680">
        <v>38.380000000000003</v>
      </c>
      <c r="Y680">
        <v>1284.1909620000001</v>
      </c>
      <c r="Z680">
        <v>2061.7990379999997</v>
      </c>
      <c r="AC680" t="str">
        <v>T-Shirt</v>
      </c>
      <c r="AD680">
        <v>1275.0433799999998</v>
      </c>
      <c r="AF680">
        <v>1932</v>
      </c>
      <c r="AG680" t="str">
        <v>Headphones</v>
      </c>
      <c r="AH680">
        <v>3681.3970600000002</v>
      </c>
    </row>
    <row r="681" spans="1:34" x14ac:dyDescent="0.3">
      <c r="A681" s="1">
        <v>1679</v>
      </c>
      <c r="B681" s="2">
        <v>44505</v>
      </c>
      <c r="C681" s="1" t="s">
        <v>35</v>
      </c>
      <c r="D681" s="1" t="s">
        <v>55</v>
      </c>
      <c r="E681" s="1" t="s">
        <v>31</v>
      </c>
      <c r="F681" s="1">
        <v>4303.21</v>
      </c>
      <c r="G681" s="1" t="s">
        <v>139</v>
      </c>
      <c r="H681" s="2">
        <v>29381</v>
      </c>
      <c r="I681" s="2">
        <v>44512</v>
      </c>
      <c r="J681" s="1">
        <v>33.68</v>
      </c>
      <c r="K681" s="4">
        <f t="shared" si="20"/>
        <v>1449.321128</v>
      </c>
      <c r="L681" s="4">
        <f t="shared" si="21"/>
        <v>2853.888872</v>
      </c>
      <c r="O681">
        <v>1937</v>
      </c>
      <c r="P681">
        <v>44704</v>
      </c>
      <c r="Q681" t="str">
        <v>West</v>
      </c>
      <c r="R681" t="str">
        <v>Wardrobe</v>
      </c>
      <c r="S681" t="str">
        <v>Furniture</v>
      </c>
      <c r="T681">
        <v>4141.28</v>
      </c>
      <c r="U681" t="str">
        <v>William Stevenson</v>
      </c>
      <c r="V681">
        <v>38442</v>
      </c>
      <c r="W681">
        <v>44713</v>
      </c>
      <c r="X681">
        <v>45.35</v>
      </c>
      <c r="Y681">
        <v>1878.0704799999999</v>
      </c>
      <c r="Z681">
        <v>2263.2095199999999</v>
      </c>
      <c r="AC681" t="str">
        <v>Football</v>
      </c>
      <c r="AD681">
        <v>2061.7990379999997</v>
      </c>
      <c r="AF681">
        <v>1933</v>
      </c>
      <c r="AG681" t="str">
        <v>T-Shirt</v>
      </c>
      <c r="AH681">
        <v>1275.0433799999998</v>
      </c>
    </row>
    <row r="682" spans="1:34" x14ac:dyDescent="0.3">
      <c r="A682" s="1">
        <v>1680</v>
      </c>
      <c r="B682" s="2">
        <v>45161</v>
      </c>
      <c r="C682" s="1" t="s">
        <v>35</v>
      </c>
      <c r="D682" s="1" t="s">
        <v>71</v>
      </c>
      <c r="E682" s="1" t="s">
        <v>31</v>
      </c>
      <c r="F682" s="1">
        <v>4991.41</v>
      </c>
      <c r="G682" s="1" t="s">
        <v>308</v>
      </c>
      <c r="H682" s="2">
        <v>35336</v>
      </c>
      <c r="I682" s="2">
        <v>45167</v>
      </c>
      <c r="J682" s="1">
        <v>41.94</v>
      </c>
      <c r="K682" s="4">
        <f t="shared" si="20"/>
        <v>2093.3973539999997</v>
      </c>
      <c r="L682" s="4">
        <f t="shared" si="21"/>
        <v>2898.0126460000001</v>
      </c>
      <c r="O682">
        <v>1938</v>
      </c>
      <c r="P682">
        <v>45162</v>
      </c>
      <c r="Q682" t="str">
        <v>West</v>
      </c>
      <c r="R682" t="str">
        <v>Headphones</v>
      </c>
      <c r="S682" t="str">
        <v>Electronics</v>
      </c>
      <c r="T682">
        <v>3591.8</v>
      </c>
      <c r="U682" t="str">
        <v>Matthew Gonzalez</v>
      </c>
      <c r="V682">
        <v>25321</v>
      </c>
      <c r="W682">
        <v>45171</v>
      </c>
      <c r="X682">
        <v>14.86</v>
      </c>
      <c r="Y682">
        <v>533.74147999999991</v>
      </c>
      <c r="Z682">
        <v>3058.0585200000005</v>
      </c>
      <c r="AC682" t="str">
        <v>Wardrobe</v>
      </c>
      <c r="AD682">
        <v>2263.2095199999999</v>
      </c>
      <c r="AF682">
        <v>1935</v>
      </c>
      <c r="AG682" t="str">
        <v>Football</v>
      </c>
      <c r="AH682">
        <v>2061.7990379999997</v>
      </c>
    </row>
    <row r="683" spans="1:34" x14ac:dyDescent="0.3">
      <c r="A683" s="1">
        <v>1681</v>
      </c>
      <c r="B683" s="2">
        <v>44233</v>
      </c>
      <c r="C683" s="1" t="s">
        <v>26</v>
      </c>
      <c r="D683" s="1" t="s">
        <v>69</v>
      </c>
      <c r="E683" s="1" t="s">
        <v>12</v>
      </c>
      <c r="F683" s="1">
        <v>3113.17</v>
      </c>
      <c r="G683" s="1" t="s">
        <v>276</v>
      </c>
      <c r="H683" s="2">
        <v>33394</v>
      </c>
      <c r="I683" s="2">
        <v>44244</v>
      </c>
      <c r="J683" s="1">
        <v>1.17</v>
      </c>
      <c r="K683" s="4">
        <f t="shared" si="20"/>
        <v>36.424088999999995</v>
      </c>
      <c r="L683" s="4">
        <f t="shared" si="21"/>
        <v>3076.745911</v>
      </c>
      <c r="O683">
        <v>1939</v>
      </c>
      <c r="P683">
        <v>44974</v>
      </c>
      <c r="Q683" t="str">
        <v>North</v>
      </c>
      <c r="R683" t="str">
        <v>Laptop</v>
      </c>
      <c r="S683" t="str">
        <v>Electronics</v>
      </c>
      <c r="T683">
        <v>4649.03</v>
      </c>
      <c r="U683" t="str">
        <v>Samuel Humphrey</v>
      </c>
      <c r="V683">
        <v>30887</v>
      </c>
      <c r="W683">
        <v>44983</v>
      </c>
      <c r="X683">
        <v>18.34</v>
      </c>
      <c r="Y683">
        <v>852.63210200000003</v>
      </c>
      <c r="Z683">
        <v>3796.3978979999997</v>
      </c>
      <c r="AC683" t="str">
        <v>Headphones</v>
      </c>
      <c r="AD683">
        <v>3058.0585200000005</v>
      </c>
      <c r="AF683">
        <v>1937</v>
      </c>
      <c r="AG683" t="str">
        <v>Wardrobe</v>
      </c>
      <c r="AH683">
        <v>2263.2095199999999</v>
      </c>
    </row>
    <row r="684" spans="1:34" x14ac:dyDescent="0.3">
      <c r="A684" s="1">
        <v>1682</v>
      </c>
      <c r="B684" s="2">
        <v>44756</v>
      </c>
      <c r="C684" s="1" t="s">
        <v>21</v>
      </c>
      <c r="D684" s="1" t="s">
        <v>71</v>
      </c>
      <c r="E684" s="1" t="s">
        <v>31</v>
      </c>
      <c r="F684" s="1">
        <v>1401.86</v>
      </c>
      <c r="G684" s="1" t="s">
        <v>140</v>
      </c>
      <c r="H684" s="2">
        <v>24579</v>
      </c>
      <c r="I684" s="2">
        <v>44764</v>
      </c>
      <c r="J684" s="1">
        <v>46.91</v>
      </c>
      <c r="K684" s="4">
        <f t="shared" si="20"/>
        <v>657.61252599999989</v>
      </c>
      <c r="L684" s="4">
        <f t="shared" si="21"/>
        <v>744.24747400000001</v>
      </c>
      <c r="O684">
        <v>1940</v>
      </c>
      <c r="P684">
        <v>44896</v>
      </c>
      <c r="Q684" t="str">
        <v>East</v>
      </c>
      <c r="R684" t="str">
        <v>Table</v>
      </c>
      <c r="S684" t="str">
        <v>Furniture</v>
      </c>
      <c r="T684">
        <v>2701.12</v>
      </c>
      <c r="U684" t="str">
        <v>Elizabeth Obrien</v>
      </c>
      <c r="V684">
        <v>35818</v>
      </c>
      <c r="W684">
        <v>44902</v>
      </c>
      <c r="X684">
        <v>4.6500000000000004</v>
      </c>
      <c r="Y684">
        <v>125.60208000000002</v>
      </c>
      <c r="Z684">
        <v>2575.5179199999998</v>
      </c>
      <c r="AC684" t="str">
        <v>Laptop</v>
      </c>
      <c r="AD684">
        <v>3796.3978979999997</v>
      </c>
      <c r="AF684">
        <v>1938</v>
      </c>
      <c r="AG684" t="str">
        <v>Headphones</v>
      </c>
      <c r="AH684">
        <v>3058.0585200000005</v>
      </c>
    </row>
    <row r="685" spans="1:34" x14ac:dyDescent="0.3">
      <c r="A685" s="1">
        <v>1683</v>
      </c>
      <c r="B685" s="2">
        <v>44229</v>
      </c>
      <c r="C685" s="1" t="s">
        <v>35</v>
      </c>
      <c r="D685" s="1" t="s">
        <v>18</v>
      </c>
      <c r="E685" s="1" t="s">
        <v>19</v>
      </c>
      <c r="F685" s="1">
        <v>2109.39</v>
      </c>
      <c r="G685" s="1" t="s">
        <v>261</v>
      </c>
      <c r="H685" s="2">
        <v>23920</v>
      </c>
      <c r="I685" s="2">
        <v>44235</v>
      </c>
      <c r="J685" s="1">
        <v>19.059999999999999</v>
      </c>
      <c r="K685" s="4">
        <f t="shared" si="20"/>
        <v>402.04973399999994</v>
      </c>
      <c r="L685" s="4">
        <f t="shared" si="21"/>
        <v>1707.3402659999999</v>
      </c>
      <c r="O685">
        <v>1941</v>
      </c>
      <c r="P685">
        <v>45776</v>
      </c>
      <c r="Q685" t="str">
        <v>North</v>
      </c>
      <c r="R685" t="str">
        <v>Laptop</v>
      </c>
      <c r="S685" t="str">
        <v>Electronics</v>
      </c>
      <c r="T685">
        <v>1951.11</v>
      </c>
      <c r="U685" t="str">
        <v>Curtis George</v>
      </c>
      <c r="V685">
        <v>31467</v>
      </c>
      <c r="W685">
        <v>45781</v>
      </c>
      <c r="X685">
        <v>32.76</v>
      </c>
      <c r="Y685">
        <v>639.18363599999998</v>
      </c>
      <c r="Z685">
        <v>1311.9263639999999</v>
      </c>
      <c r="AC685" t="str">
        <v>Table</v>
      </c>
      <c r="AD685">
        <v>2575.5179199999998</v>
      </c>
      <c r="AF685">
        <v>1939</v>
      </c>
      <c r="AG685" t="str">
        <v>Laptop</v>
      </c>
      <c r="AH685">
        <v>3796.3978979999997</v>
      </c>
    </row>
    <row r="686" spans="1:34" x14ac:dyDescent="0.3">
      <c r="A686" s="1">
        <v>1684</v>
      </c>
      <c r="B686" s="2">
        <v>45114</v>
      </c>
      <c r="C686" s="1" t="s">
        <v>21</v>
      </c>
      <c r="D686" s="1" t="s">
        <v>15</v>
      </c>
      <c r="E686" s="1" t="s">
        <v>16</v>
      </c>
      <c r="F686" s="1">
        <v>3439.5</v>
      </c>
      <c r="G686" s="1" t="s">
        <v>64</v>
      </c>
      <c r="H686" s="2">
        <v>32375</v>
      </c>
      <c r="I686" s="2">
        <v>45126</v>
      </c>
      <c r="J686" s="1">
        <v>16.34</v>
      </c>
      <c r="K686" s="4">
        <f t="shared" si="20"/>
        <v>562.01429999999993</v>
      </c>
      <c r="L686" s="4">
        <f t="shared" si="21"/>
        <v>2877.4857000000002</v>
      </c>
      <c r="O686">
        <v>1942</v>
      </c>
      <c r="P686">
        <v>44399</v>
      </c>
      <c r="Q686" t="str">
        <v>South</v>
      </c>
      <c r="R686" t="str">
        <v>Rice</v>
      </c>
      <c r="S686" t="str">
        <v>Groceries</v>
      </c>
      <c r="T686">
        <v>4608.12</v>
      </c>
      <c r="U686" t="str">
        <v>Timothy Castaneda</v>
      </c>
      <c r="V686">
        <v>31880</v>
      </c>
      <c r="W686">
        <v>44403</v>
      </c>
      <c r="X686">
        <v>43.95</v>
      </c>
      <c r="Y686">
        <v>2025.26874</v>
      </c>
      <c r="Z686">
        <v>2582.8512599999999</v>
      </c>
      <c r="AC686" t="str">
        <v>Laptop</v>
      </c>
      <c r="AD686">
        <v>1311.9263639999999</v>
      </c>
      <c r="AF686">
        <v>1940</v>
      </c>
      <c r="AG686" t="str">
        <v>Table</v>
      </c>
      <c r="AH686">
        <v>2575.5179199999998</v>
      </c>
    </row>
    <row r="687" spans="1:34" x14ac:dyDescent="0.3">
      <c r="A687" s="1">
        <v>1685</v>
      </c>
      <c r="B687" s="2">
        <v>44226</v>
      </c>
      <c r="C687" s="1" t="s">
        <v>14</v>
      </c>
      <c r="D687" s="1" t="s">
        <v>61</v>
      </c>
      <c r="E687" s="1" t="s">
        <v>19</v>
      </c>
      <c r="F687" s="1">
        <v>3971.47</v>
      </c>
      <c r="G687" s="1" t="s">
        <v>309</v>
      </c>
      <c r="H687" s="2">
        <v>23838</v>
      </c>
      <c r="I687" s="2">
        <v>44227</v>
      </c>
      <c r="J687" s="1">
        <v>0.9</v>
      </c>
      <c r="K687" s="4">
        <f t="shared" si="20"/>
        <v>35.743230000000004</v>
      </c>
      <c r="L687" s="4">
        <f t="shared" si="21"/>
        <v>3935.7267699999998</v>
      </c>
      <c r="O687">
        <v>1943</v>
      </c>
      <c r="P687">
        <v>44656</v>
      </c>
      <c r="Q687" t="str">
        <v>North</v>
      </c>
      <c r="R687" t="str">
        <v>Chair</v>
      </c>
      <c r="S687" t="str">
        <v>Furniture</v>
      </c>
      <c r="T687">
        <v>2211.34</v>
      </c>
      <c r="U687" t="str">
        <v>Justin Robinson</v>
      </c>
      <c r="V687">
        <v>35629</v>
      </c>
      <c r="W687">
        <v>44662</v>
      </c>
      <c r="X687">
        <v>10.82</v>
      </c>
      <c r="Y687">
        <v>239.26698800000003</v>
      </c>
      <c r="Z687">
        <v>1972.0730120000001</v>
      </c>
      <c r="AC687" t="str">
        <v>Rice</v>
      </c>
      <c r="AD687">
        <v>2582.8512599999999</v>
      </c>
      <c r="AF687">
        <v>1941</v>
      </c>
      <c r="AG687" t="str">
        <v>Laptop</v>
      </c>
      <c r="AH687">
        <v>1311.9263639999999</v>
      </c>
    </row>
    <row r="688" spans="1:34" x14ac:dyDescent="0.3">
      <c r="A688" s="1">
        <v>1686</v>
      </c>
      <c r="B688" s="2">
        <v>44632</v>
      </c>
      <c r="C688" s="1" t="s">
        <v>14</v>
      </c>
      <c r="D688" s="1" t="s">
        <v>71</v>
      </c>
      <c r="E688" s="1" t="s">
        <v>31</v>
      </c>
      <c r="F688" s="1">
        <v>1083.4100000000001</v>
      </c>
      <c r="G688" s="1" t="s">
        <v>117</v>
      </c>
      <c r="H688" s="2">
        <v>23513</v>
      </c>
      <c r="I688" s="2">
        <v>44633</v>
      </c>
      <c r="J688" s="1">
        <v>36.5</v>
      </c>
      <c r="K688" s="4">
        <f t="shared" si="20"/>
        <v>395.44465000000002</v>
      </c>
      <c r="L688" s="4">
        <f t="shared" si="21"/>
        <v>687.96535000000006</v>
      </c>
      <c r="O688">
        <v>1944</v>
      </c>
      <c r="P688">
        <v>44115</v>
      </c>
      <c r="Q688" t="str">
        <v>Central</v>
      </c>
      <c r="R688" t="str">
        <v>Sofa</v>
      </c>
      <c r="S688" t="str">
        <v>Furniture</v>
      </c>
      <c r="T688">
        <v>2815.86</v>
      </c>
      <c r="U688" t="str">
        <v>Sylvia Landry</v>
      </c>
      <c r="V688">
        <v>35642</v>
      </c>
      <c r="W688">
        <v>44119</v>
      </c>
      <c r="X688">
        <v>7.31</v>
      </c>
      <c r="Y688">
        <v>205.83936600000001</v>
      </c>
      <c r="Z688">
        <v>2610.020634</v>
      </c>
      <c r="AC688" t="str">
        <v>Chair</v>
      </c>
      <c r="AD688">
        <v>1972.0730120000001</v>
      </c>
      <c r="AF688">
        <v>1942</v>
      </c>
      <c r="AG688" t="str">
        <v>Rice</v>
      </c>
      <c r="AH688">
        <v>2582.8512599999999</v>
      </c>
    </row>
    <row r="689" spans="1:34" x14ac:dyDescent="0.3">
      <c r="A689" s="1">
        <v>1687</v>
      </c>
      <c r="B689" s="2">
        <v>45763</v>
      </c>
      <c r="C689" s="1" t="s">
        <v>21</v>
      </c>
      <c r="D689" s="1" t="s">
        <v>69</v>
      </c>
      <c r="E689" s="1" t="s">
        <v>12</v>
      </c>
      <c r="F689" s="1">
        <v>2262.52</v>
      </c>
      <c r="G689" s="1" t="s">
        <v>303</v>
      </c>
      <c r="H689" s="2">
        <v>30474</v>
      </c>
      <c r="I689" s="2">
        <v>45775</v>
      </c>
      <c r="J689" s="1">
        <v>4.95</v>
      </c>
      <c r="K689" s="4">
        <f t="shared" si="20"/>
        <v>111.99474000000001</v>
      </c>
      <c r="L689" s="4">
        <f t="shared" si="21"/>
        <v>2150.5252599999999</v>
      </c>
      <c r="O689">
        <v>1945</v>
      </c>
      <c r="P689">
        <v>45006</v>
      </c>
      <c r="Q689" t="str">
        <v>West</v>
      </c>
      <c r="R689" t="str">
        <v>Milk</v>
      </c>
      <c r="S689" t="str">
        <v>Groceries</v>
      </c>
      <c r="T689">
        <v>2209.85</v>
      </c>
      <c r="U689" t="str">
        <v>David Ingram</v>
      </c>
      <c r="V689">
        <v>25663</v>
      </c>
      <c r="W689">
        <v>45011</v>
      </c>
      <c r="X689">
        <v>35.65</v>
      </c>
      <c r="Y689">
        <v>787.81152499999996</v>
      </c>
      <c r="Z689">
        <v>1422.0384749999998</v>
      </c>
      <c r="AC689" t="str">
        <v>Sofa</v>
      </c>
      <c r="AD689">
        <v>2610.020634</v>
      </c>
      <c r="AF689">
        <v>1943</v>
      </c>
      <c r="AG689" t="str">
        <v>Chair</v>
      </c>
      <c r="AH689">
        <v>1972.0730120000001</v>
      </c>
    </row>
    <row r="690" spans="1:34" x14ac:dyDescent="0.3">
      <c r="A690" s="1">
        <v>1688</v>
      </c>
      <c r="B690" s="2">
        <v>44973</v>
      </c>
      <c r="C690" s="1" t="s">
        <v>21</v>
      </c>
      <c r="D690" s="1" t="s">
        <v>71</v>
      </c>
      <c r="E690" s="1" t="s">
        <v>31</v>
      </c>
      <c r="F690" s="1">
        <v>4036.71</v>
      </c>
      <c r="G690" s="1" t="s">
        <v>260</v>
      </c>
      <c r="H690" s="2">
        <v>38628</v>
      </c>
      <c r="I690" s="2">
        <v>44976</v>
      </c>
      <c r="J690" s="1">
        <v>30.2</v>
      </c>
      <c r="K690" s="4">
        <f t="shared" si="20"/>
        <v>1219.0864199999999</v>
      </c>
      <c r="L690" s="4">
        <f t="shared" si="21"/>
        <v>2817.6235800000004</v>
      </c>
      <c r="O690">
        <v>1946</v>
      </c>
      <c r="P690">
        <v>45032</v>
      </c>
      <c r="Q690" t="str">
        <v>Central</v>
      </c>
      <c r="R690" t="str">
        <v>Basketball</v>
      </c>
      <c r="S690" t="str">
        <v>Sports</v>
      </c>
      <c r="T690">
        <v>3412.98</v>
      </c>
      <c r="U690" t="str">
        <v>Samuel Humphrey</v>
      </c>
      <c r="V690">
        <v>30887</v>
      </c>
      <c r="W690">
        <v>45041</v>
      </c>
      <c r="X690">
        <v>43.36</v>
      </c>
      <c r="Y690">
        <v>1479.8681280000001</v>
      </c>
      <c r="Z690">
        <v>1933.1118719999999</v>
      </c>
      <c r="AC690" t="str">
        <v>Milk</v>
      </c>
      <c r="AD690">
        <v>1422.0384749999998</v>
      </c>
      <c r="AF690">
        <v>1944</v>
      </c>
      <c r="AG690" t="str">
        <v>Sofa</v>
      </c>
      <c r="AH690">
        <v>2610.020634</v>
      </c>
    </row>
    <row r="691" spans="1:34" x14ac:dyDescent="0.3">
      <c r="A691" s="1">
        <v>1689</v>
      </c>
      <c r="B691" s="2">
        <v>44624</v>
      </c>
      <c r="C691" s="1" t="s">
        <v>14</v>
      </c>
      <c r="D691" s="1" t="s">
        <v>53</v>
      </c>
      <c r="E691" s="1" t="s">
        <v>28</v>
      </c>
      <c r="F691" s="1">
        <v>2762.66</v>
      </c>
      <c r="G691" s="1" t="s">
        <v>310</v>
      </c>
      <c r="H691" s="2">
        <v>23309</v>
      </c>
      <c r="I691" s="2">
        <v>44631</v>
      </c>
      <c r="J691" s="1">
        <v>21.79</v>
      </c>
      <c r="K691" s="4">
        <f t="shared" si="20"/>
        <v>601.98361399999987</v>
      </c>
      <c r="L691" s="4">
        <f t="shared" si="21"/>
        <v>2160.6763860000001</v>
      </c>
      <c r="O691">
        <v>1947</v>
      </c>
      <c r="P691">
        <v>44509</v>
      </c>
      <c r="Q691" t="str">
        <v>South</v>
      </c>
      <c r="R691" t="str">
        <v>Jeans</v>
      </c>
      <c r="S691" t="str">
        <v>Clothing</v>
      </c>
      <c r="T691">
        <v>3690.16</v>
      </c>
      <c r="U691" t="str">
        <v>Jesse Green</v>
      </c>
      <c r="V691">
        <v>36087</v>
      </c>
      <c r="W691">
        <v>44517</v>
      </c>
      <c r="X691">
        <v>40.450000000000003</v>
      </c>
      <c r="Y691">
        <v>1492.6697200000001</v>
      </c>
      <c r="Z691">
        <v>2197.49028</v>
      </c>
      <c r="AC691" t="str">
        <v>Basketball</v>
      </c>
      <c r="AD691">
        <v>1933.1118719999999</v>
      </c>
      <c r="AF691">
        <v>1945</v>
      </c>
      <c r="AG691" t="str">
        <v>Milk</v>
      </c>
      <c r="AH691">
        <v>1422.0384749999998</v>
      </c>
    </row>
    <row r="692" spans="1:34" x14ac:dyDescent="0.3">
      <c r="A692" s="1">
        <v>1690</v>
      </c>
      <c r="B692" s="2">
        <v>44526</v>
      </c>
      <c r="C692" s="1" t="s">
        <v>14</v>
      </c>
      <c r="D692" s="1" t="s">
        <v>24</v>
      </c>
      <c r="E692" s="1" t="s">
        <v>19</v>
      </c>
      <c r="F692" s="1">
        <v>2795.54</v>
      </c>
      <c r="G692" s="1" t="s">
        <v>32</v>
      </c>
      <c r="H692" s="2">
        <v>27166</v>
      </c>
      <c r="I692" s="2">
        <v>44537</v>
      </c>
      <c r="J692" s="1">
        <v>14.81</v>
      </c>
      <c r="K692" s="4">
        <f t="shared" si="20"/>
        <v>414.019474</v>
      </c>
      <c r="L692" s="4">
        <f t="shared" si="21"/>
        <v>2381.5205259999998</v>
      </c>
      <c r="O692">
        <v>1948</v>
      </c>
      <c r="P692">
        <v>45669</v>
      </c>
      <c r="Q692" t="str">
        <v>North</v>
      </c>
      <c r="R692" t="str">
        <v>Smartphone</v>
      </c>
      <c r="S692" t="str">
        <v>Electronics</v>
      </c>
      <c r="T692">
        <v>3714.34</v>
      </c>
      <c r="U692" t="str">
        <v>Shane Morgan</v>
      </c>
      <c r="V692">
        <v>25099</v>
      </c>
      <c r="W692">
        <v>45670</v>
      </c>
      <c r="X692">
        <v>47.5</v>
      </c>
      <c r="Y692">
        <v>1764.3115</v>
      </c>
      <c r="Z692">
        <v>1950.0285000000001</v>
      </c>
      <c r="AC692" t="str">
        <v>Jeans</v>
      </c>
      <c r="AD692">
        <v>2197.49028</v>
      </c>
      <c r="AF692">
        <v>1946</v>
      </c>
      <c r="AG692" t="str">
        <v>Basketball</v>
      </c>
      <c r="AH692">
        <v>1933.1118719999999</v>
      </c>
    </row>
    <row r="693" spans="1:34" x14ac:dyDescent="0.3">
      <c r="A693" s="1">
        <v>1691</v>
      </c>
      <c r="B693" s="2">
        <v>44396</v>
      </c>
      <c r="C693" s="1" t="s">
        <v>21</v>
      </c>
      <c r="D693" s="1" t="s">
        <v>61</v>
      </c>
      <c r="E693" s="1" t="s">
        <v>19</v>
      </c>
      <c r="F693" s="1">
        <v>2136.2600000000002</v>
      </c>
      <c r="G693" s="1" t="s">
        <v>264</v>
      </c>
      <c r="H693" s="2">
        <v>30232</v>
      </c>
      <c r="I693" s="2">
        <v>44404</v>
      </c>
      <c r="J693" s="1">
        <v>4</v>
      </c>
      <c r="K693" s="4">
        <f t="shared" si="20"/>
        <v>85.450400000000016</v>
      </c>
      <c r="L693" s="4">
        <f t="shared" si="21"/>
        <v>2050.8096</v>
      </c>
      <c r="O693">
        <v>1950</v>
      </c>
      <c r="P693">
        <v>45678</v>
      </c>
      <c r="Q693" t="str">
        <v>West</v>
      </c>
      <c r="R693" t="str">
        <v>Basketball</v>
      </c>
      <c r="S693" t="str">
        <v>Sports</v>
      </c>
      <c r="T693">
        <v>3443.53</v>
      </c>
      <c r="U693" t="str">
        <v>Elizabeth Lee MD</v>
      </c>
      <c r="V693">
        <v>25948</v>
      </c>
      <c r="W693">
        <v>45679</v>
      </c>
      <c r="X693">
        <v>21.96</v>
      </c>
      <c r="Y693">
        <v>756.19918800000005</v>
      </c>
      <c r="Z693">
        <v>2687.3308120000002</v>
      </c>
      <c r="AC693" t="str">
        <v>Smartphone</v>
      </c>
      <c r="AD693">
        <v>1950.0285000000001</v>
      </c>
      <c r="AF693">
        <v>1947</v>
      </c>
      <c r="AG693" t="str">
        <v>Jeans</v>
      </c>
      <c r="AH693">
        <v>2197.49028</v>
      </c>
    </row>
    <row r="694" spans="1:34" x14ac:dyDescent="0.3">
      <c r="A694" s="1">
        <v>1692</v>
      </c>
      <c r="B694" s="2">
        <v>45302</v>
      </c>
      <c r="C694" s="1" t="s">
        <v>21</v>
      </c>
      <c r="D694" s="1" t="s">
        <v>40</v>
      </c>
      <c r="E694" s="1" t="s">
        <v>16</v>
      </c>
      <c r="F694" s="1">
        <v>4150.93</v>
      </c>
      <c r="G694" s="1" t="s">
        <v>223</v>
      </c>
      <c r="H694" s="2">
        <v>35407</v>
      </c>
      <c r="I694" s="2">
        <v>45315</v>
      </c>
      <c r="J694" s="1">
        <v>46.04</v>
      </c>
      <c r="K694" s="4">
        <f t="shared" si="20"/>
        <v>1911.088172</v>
      </c>
      <c r="L694" s="4">
        <f t="shared" si="21"/>
        <v>2239.8418280000005</v>
      </c>
      <c r="O694">
        <v>1951</v>
      </c>
      <c r="P694">
        <v>44071</v>
      </c>
      <c r="Q694" t="str">
        <v>South</v>
      </c>
      <c r="R694" t="str">
        <v>Shoes</v>
      </c>
      <c r="S694" t="str">
        <v>Sports</v>
      </c>
      <c r="T694">
        <v>3359.09</v>
      </c>
      <c r="U694" t="str">
        <v>Donald Burke</v>
      </c>
      <c r="V694">
        <v>35702</v>
      </c>
      <c r="W694">
        <v>44074</v>
      </c>
      <c r="X694">
        <v>26.73</v>
      </c>
      <c r="Y694">
        <v>897.88475699999992</v>
      </c>
      <c r="Z694">
        <v>2461.2052430000003</v>
      </c>
      <c r="AC694" t="str">
        <v>Basketball</v>
      </c>
      <c r="AD694">
        <v>2687.3308120000002</v>
      </c>
      <c r="AF694">
        <v>1948</v>
      </c>
      <c r="AG694" t="str">
        <v>Smartphone</v>
      </c>
      <c r="AH694">
        <v>1950.0285000000001</v>
      </c>
    </row>
    <row r="695" spans="1:34" x14ac:dyDescent="0.3">
      <c r="A695" s="1">
        <v>1693</v>
      </c>
      <c r="B695" s="2">
        <v>44528</v>
      </c>
      <c r="C695" s="1" t="s">
        <v>21</v>
      </c>
      <c r="D695" s="1" t="s">
        <v>40</v>
      </c>
      <c r="E695" s="1" t="s">
        <v>16</v>
      </c>
      <c r="F695" s="1">
        <v>3648.4</v>
      </c>
      <c r="G695" s="1" t="s">
        <v>221</v>
      </c>
      <c r="H695" s="2">
        <v>35658</v>
      </c>
      <c r="I695" s="2">
        <v>44542</v>
      </c>
      <c r="J695" s="1">
        <v>42.7</v>
      </c>
      <c r="K695" s="4">
        <f t="shared" si="20"/>
        <v>1557.8668000000002</v>
      </c>
      <c r="L695" s="4">
        <f t="shared" si="21"/>
        <v>2090.5331999999999</v>
      </c>
      <c r="O695">
        <v>1952</v>
      </c>
      <c r="P695">
        <v>45575</v>
      </c>
      <c r="Q695" t="str">
        <v>North</v>
      </c>
      <c r="R695" t="str">
        <v>Football</v>
      </c>
      <c r="S695" t="str">
        <v>Sports</v>
      </c>
      <c r="T695">
        <v>2503.42</v>
      </c>
      <c r="U695" t="str">
        <v>Kyle Thomas</v>
      </c>
      <c r="V695">
        <v>29541</v>
      </c>
      <c r="W695">
        <v>45580</v>
      </c>
      <c r="X695">
        <v>5.45</v>
      </c>
      <c r="Y695">
        <v>136.43639000000002</v>
      </c>
      <c r="Z695">
        <v>2366.9836100000002</v>
      </c>
      <c r="AC695" t="str">
        <v>Shoes</v>
      </c>
      <c r="AD695">
        <v>2461.2052430000003</v>
      </c>
      <c r="AF695">
        <v>1950</v>
      </c>
      <c r="AG695" t="str">
        <v>Basketball</v>
      </c>
      <c r="AH695">
        <v>2687.3308120000002</v>
      </c>
    </row>
    <row r="696" spans="1:34" x14ac:dyDescent="0.3">
      <c r="A696" s="1">
        <v>1694</v>
      </c>
      <c r="B696" s="2">
        <v>45503</v>
      </c>
      <c r="C696" s="1" t="s">
        <v>26</v>
      </c>
      <c r="D696" s="1" t="s">
        <v>15</v>
      </c>
      <c r="E696" s="1" t="s">
        <v>16</v>
      </c>
      <c r="F696" s="1">
        <v>4655.5200000000004</v>
      </c>
      <c r="G696" s="1" t="s">
        <v>128</v>
      </c>
      <c r="H696" s="2">
        <v>37961</v>
      </c>
      <c r="I696" s="2">
        <v>45516</v>
      </c>
      <c r="J696" s="1">
        <v>14.23</v>
      </c>
      <c r="K696" s="4">
        <f t="shared" si="20"/>
        <v>662.48049600000013</v>
      </c>
      <c r="L696" s="4">
        <f t="shared" si="21"/>
        <v>3993.0395040000003</v>
      </c>
      <c r="O696">
        <v>1953</v>
      </c>
      <c r="P696">
        <v>45189</v>
      </c>
      <c r="Q696" t="str">
        <v>East</v>
      </c>
      <c r="R696" t="str">
        <v>Laptop</v>
      </c>
      <c r="S696" t="str">
        <v>Electronics</v>
      </c>
      <c r="T696">
        <v>1687.13</v>
      </c>
      <c r="U696" t="str">
        <v>Juan White</v>
      </c>
      <c r="V696">
        <v>35321</v>
      </c>
      <c r="W696">
        <v>45201</v>
      </c>
      <c r="X696">
        <v>8.3800000000000008</v>
      </c>
      <c r="Y696">
        <v>141.38149400000003</v>
      </c>
      <c r="Z696">
        <v>1545.7485060000001</v>
      </c>
      <c r="AC696" t="str">
        <v>Football</v>
      </c>
      <c r="AD696">
        <v>2366.9836100000002</v>
      </c>
      <c r="AF696">
        <v>1951</v>
      </c>
      <c r="AG696" t="str">
        <v>Shoes</v>
      </c>
      <c r="AH696">
        <v>2461.2052430000003</v>
      </c>
    </row>
    <row r="697" spans="1:34" x14ac:dyDescent="0.3">
      <c r="A697" s="1">
        <v>1695</v>
      </c>
      <c r="B697" s="2">
        <v>44766</v>
      </c>
      <c r="C697" s="1" t="s">
        <v>10</v>
      </c>
      <c r="D697" s="1" t="s">
        <v>38</v>
      </c>
      <c r="E697" s="1" t="s">
        <v>28</v>
      </c>
      <c r="F697" s="1">
        <v>1621.73</v>
      </c>
      <c r="G697" s="1" t="s">
        <v>237</v>
      </c>
      <c r="H697" s="2">
        <v>27455</v>
      </c>
      <c r="I697" s="2">
        <v>44773</v>
      </c>
      <c r="J697" s="1">
        <v>28.48</v>
      </c>
      <c r="K697" s="4">
        <f t="shared" si="20"/>
        <v>461.86870399999998</v>
      </c>
      <c r="L697" s="4">
        <f t="shared" si="21"/>
        <v>1159.861296</v>
      </c>
      <c r="O697">
        <v>1955</v>
      </c>
      <c r="P697">
        <v>44402</v>
      </c>
      <c r="Q697" t="str">
        <v>East</v>
      </c>
      <c r="R697" t="str">
        <v>Milk</v>
      </c>
      <c r="S697" t="str">
        <v>Groceries</v>
      </c>
      <c r="T697">
        <v>1837.14</v>
      </c>
      <c r="U697" t="str">
        <v>Sylvia Landry</v>
      </c>
      <c r="V697">
        <v>35642</v>
      </c>
      <c r="W697">
        <v>44412</v>
      </c>
      <c r="X697">
        <v>26.52</v>
      </c>
      <c r="Y697">
        <v>487.20952800000003</v>
      </c>
      <c r="Z697">
        <v>1349.930472</v>
      </c>
      <c r="AC697" t="str">
        <v>Laptop</v>
      </c>
      <c r="AD697">
        <v>1545.7485060000001</v>
      </c>
      <c r="AF697">
        <v>1952</v>
      </c>
      <c r="AG697" t="str">
        <v>Football</v>
      </c>
      <c r="AH697">
        <v>2366.9836100000002</v>
      </c>
    </row>
    <row r="698" spans="1:34" x14ac:dyDescent="0.3">
      <c r="A698" s="1">
        <v>1696</v>
      </c>
      <c r="B698" s="2">
        <v>44546</v>
      </c>
      <c r="C698" s="1" t="s">
        <v>14</v>
      </c>
      <c r="D698" s="1" t="s">
        <v>73</v>
      </c>
      <c r="E698" s="1" t="s">
        <v>28</v>
      </c>
      <c r="F698" s="1">
        <v>4970.46</v>
      </c>
      <c r="G698" s="1" t="s">
        <v>271</v>
      </c>
      <c r="H698" s="2">
        <v>22796</v>
      </c>
      <c r="I698" s="2">
        <v>44554</v>
      </c>
      <c r="J698" s="1">
        <v>7.16</v>
      </c>
      <c r="K698" s="4">
        <f t="shared" si="20"/>
        <v>355.88493599999998</v>
      </c>
      <c r="L698" s="4">
        <f t="shared" si="21"/>
        <v>4614.5750639999997</v>
      </c>
      <c r="O698">
        <v>1956</v>
      </c>
      <c r="P698">
        <v>44520</v>
      </c>
      <c r="Q698" t="str">
        <v>West</v>
      </c>
      <c r="R698" t="str">
        <v>Basketball</v>
      </c>
      <c r="S698" t="str">
        <v>Sports</v>
      </c>
      <c r="T698">
        <v>4483.1499999999996</v>
      </c>
      <c r="U698" t="str">
        <v>Anthony Kim</v>
      </c>
      <c r="V698">
        <v>34205</v>
      </c>
      <c r="W698">
        <v>44526</v>
      </c>
      <c r="X698">
        <v>40.35</v>
      </c>
      <c r="Y698">
        <v>1808.9510250000001</v>
      </c>
      <c r="Z698">
        <v>2674.1989749999993</v>
      </c>
      <c r="AC698" t="str">
        <v>Milk</v>
      </c>
      <c r="AD698">
        <v>1349.930472</v>
      </c>
      <c r="AF698">
        <v>1953</v>
      </c>
      <c r="AG698" t="str">
        <v>Laptop</v>
      </c>
      <c r="AH698">
        <v>1545.7485060000001</v>
      </c>
    </row>
    <row r="699" spans="1:34" x14ac:dyDescent="0.3">
      <c r="A699" s="1">
        <v>1697</v>
      </c>
      <c r="B699" s="2">
        <v>44208</v>
      </c>
      <c r="C699" s="1" t="s">
        <v>26</v>
      </c>
      <c r="D699" s="1" t="s">
        <v>49</v>
      </c>
      <c r="E699" s="1" t="s">
        <v>12</v>
      </c>
      <c r="F699" s="1">
        <v>3077.28</v>
      </c>
      <c r="G699" s="1" t="s">
        <v>60</v>
      </c>
      <c r="H699" s="2">
        <v>33482</v>
      </c>
      <c r="I699" s="2">
        <v>44211</v>
      </c>
      <c r="J699" s="1">
        <v>8.57</v>
      </c>
      <c r="K699" s="4">
        <f t="shared" si="20"/>
        <v>263.72289599999999</v>
      </c>
      <c r="L699" s="4">
        <f t="shared" si="21"/>
        <v>2813.5571040000004</v>
      </c>
      <c r="O699">
        <v>1958</v>
      </c>
      <c r="P699">
        <v>44353</v>
      </c>
      <c r="Q699" t="str">
        <v>South</v>
      </c>
      <c r="R699" t="str">
        <v>Rice</v>
      </c>
      <c r="S699" t="str">
        <v>Groceries</v>
      </c>
      <c r="T699">
        <v>2931.39</v>
      </c>
      <c r="U699" t="str">
        <v>Robert Simon</v>
      </c>
      <c r="V699">
        <v>28675</v>
      </c>
      <c r="W699">
        <v>44356</v>
      </c>
      <c r="X699">
        <v>41.44</v>
      </c>
      <c r="Y699">
        <v>1214.768016</v>
      </c>
      <c r="Z699">
        <v>1716.6219839999999</v>
      </c>
      <c r="AC699" t="str">
        <v>Basketball</v>
      </c>
      <c r="AD699">
        <v>2674.1989749999993</v>
      </c>
      <c r="AF699">
        <v>1955</v>
      </c>
      <c r="AG699" t="str">
        <v>Milk</v>
      </c>
      <c r="AH699">
        <v>1349.930472</v>
      </c>
    </row>
    <row r="700" spans="1:34" x14ac:dyDescent="0.3">
      <c r="A700" s="1">
        <v>1698</v>
      </c>
      <c r="B700" s="2">
        <v>45490</v>
      </c>
      <c r="C700" s="1" t="s">
        <v>10</v>
      </c>
      <c r="D700" s="1" t="s">
        <v>73</v>
      </c>
      <c r="E700" s="1" t="s">
        <v>28</v>
      </c>
      <c r="F700" s="1">
        <v>4876.51</v>
      </c>
      <c r="G700" s="1" t="s">
        <v>121</v>
      </c>
      <c r="H700" s="2">
        <v>24580</v>
      </c>
      <c r="I700" s="2">
        <v>45501</v>
      </c>
      <c r="J700" s="1">
        <v>10.16</v>
      </c>
      <c r="K700" s="4">
        <f t="shared" si="20"/>
        <v>495.453416</v>
      </c>
      <c r="L700" s="4">
        <f t="shared" si="21"/>
        <v>4381.0565839999999</v>
      </c>
      <c r="O700">
        <v>1959</v>
      </c>
      <c r="P700">
        <v>45785</v>
      </c>
      <c r="Q700" t="str">
        <v>East</v>
      </c>
      <c r="R700" t="str">
        <v>Football</v>
      </c>
      <c r="S700" t="str">
        <v>Sports</v>
      </c>
      <c r="T700">
        <v>4482.41</v>
      </c>
      <c r="U700" t="str">
        <v>Michelle Pitts</v>
      </c>
      <c r="V700">
        <v>38087</v>
      </c>
      <c r="W700">
        <v>45797</v>
      </c>
      <c r="X700">
        <v>45.9</v>
      </c>
      <c r="Y700">
        <v>2057.4261899999997</v>
      </c>
      <c r="Z700">
        <v>2424.9838100000002</v>
      </c>
      <c r="AC700" t="str">
        <v>Rice</v>
      </c>
      <c r="AD700">
        <v>1716.6219839999999</v>
      </c>
      <c r="AF700">
        <v>1956</v>
      </c>
      <c r="AG700" t="str">
        <v>Basketball</v>
      </c>
      <c r="AH700">
        <v>2674.1989749999993</v>
      </c>
    </row>
    <row r="701" spans="1:34" x14ac:dyDescent="0.3">
      <c r="A701" s="1">
        <v>1699</v>
      </c>
      <c r="B701" s="2">
        <v>45506</v>
      </c>
      <c r="C701" s="1" t="s">
        <v>21</v>
      </c>
      <c r="D701" s="1" t="s">
        <v>36</v>
      </c>
      <c r="E701" s="1" t="s">
        <v>28</v>
      </c>
      <c r="F701" s="1">
        <v>482.18</v>
      </c>
      <c r="G701" s="1" t="s">
        <v>278</v>
      </c>
      <c r="H701" s="2">
        <v>36036</v>
      </c>
      <c r="I701" s="2">
        <v>45517</v>
      </c>
      <c r="J701" s="1">
        <v>11.55</v>
      </c>
      <c r="K701" s="4">
        <f t="shared" si="20"/>
        <v>55.691790000000005</v>
      </c>
      <c r="L701" s="4">
        <f t="shared" si="21"/>
        <v>426.48820999999998</v>
      </c>
      <c r="O701">
        <v>1960</v>
      </c>
      <c r="P701">
        <v>45063</v>
      </c>
      <c r="Q701" t="str">
        <v>Central</v>
      </c>
      <c r="R701" t="str">
        <v>Shoes</v>
      </c>
      <c r="S701" t="str">
        <v>Clothing</v>
      </c>
      <c r="T701">
        <v>2174.3000000000002</v>
      </c>
      <c r="U701" t="str">
        <v>David Ingram</v>
      </c>
      <c r="V701">
        <v>25663</v>
      </c>
      <c r="W701">
        <v>45073</v>
      </c>
      <c r="X701">
        <v>31.81</v>
      </c>
      <c r="Y701">
        <v>691.64483000000007</v>
      </c>
      <c r="Z701">
        <v>1482.65517</v>
      </c>
      <c r="AC701" t="str">
        <v>Football</v>
      </c>
      <c r="AD701">
        <v>2424.9838100000002</v>
      </c>
      <c r="AF701">
        <v>1958</v>
      </c>
      <c r="AG701" t="str">
        <v>Rice</v>
      </c>
      <c r="AH701">
        <v>1716.6219839999999</v>
      </c>
    </row>
    <row r="702" spans="1:34" x14ac:dyDescent="0.3">
      <c r="A702" s="1">
        <v>1700</v>
      </c>
      <c r="B702" s="2">
        <v>44706</v>
      </c>
      <c r="C702" s="1" t="s">
        <v>35</v>
      </c>
      <c r="D702" s="1" t="s">
        <v>69</v>
      </c>
      <c r="E702" s="1" t="s">
        <v>12</v>
      </c>
      <c r="F702" s="1">
        <v>842.12</v>
      </c>
      <c r="G702" s="1" t="s">
        <v>196</v>
      </c>
      <c r="H702" s="2">
        <v>26300</v>
      </c>
      <c r="I702" s="2">
        <v>44714</v>
      </c>
      <c r="J702" s="1">
        <v>1.36</v>
      </c>
      <c r="K702" s="4">
        <f t="shared" si="20"/>
        <v>11.452832000000001</v>
      </c>
      <c r="L702" s="4">
        <f t="shared" si="21"/>
        <v>830.66716799999995</v>
      </c>
      <c r="O702">
        <v>1962</v>
      </c>
      <c r="P702">
        <v>44515</v>
      </c>
      <c r="Q702" t="str">
        <v>East</v>
      </c>
      <c r="R702" t="str">
        <v>Tablet</v>
      </c>
      <c r="S702" t="str">
        <v>Electronics</v>
      </c>
      <c r="T702">
        <v>3171.06</v>
      </c>
      <c r="U702" t="str">
        <v>David Blevins</v>
      </c>
      <c r="V702">
        <v>30410</v>
      </c>
      <c r="W702">
        <v>44529</v>
      </c>
      <c r="X702">
        <v>47.15</v>
      </c>
      <c r="Y702">
        <v>1495.1547899999998</v>
      </c>
      <c r="Z702">
        <v>1675.9052100000001</v>
      </c>
      <c r="AC702" t="str">
        <v>Shoes</v>
      </c>
      <c r="AD702">
        <v>1482.65517</v>
      </c>
      <c r="AF702">
        <v>1959</v>
      </c>
      <c r="AG702" t="str">
        <v>Football</v>
      </c>
      <c r="AH702">
        <v>2424.9838100000002</v>
      </c>
    </row>
    <row r="703" spans="1:34" x14ac:dyDescent="0.3">
      <c r="A703" s="1">
        <v>1701</v>
      </c>
      <c r="B703" s="2">
        <v>44103</v>
      </c>
      <c r="C703" s="1" t="s">
        <v>35</v>
      </c>
      <c r="D703" s="1" t="s">
        <v>24</v>
      </c>
      <c r="E703" s="1" t="s">
        <v>19</v>
      </c>
      <c r="F703" s="1">
        <v>970.42</v>
      </c>
      <c r="G703" s="1" t="s">
        <v>249</v>
      </c>
      <c r="H703" s="2">
        <v>28555</v>
      </c>
      <c r="I703" s="2">
        <v>44106</v>
      </c>
      <c r="J703" s="1">
        <v>23.45</v>
      </c>
      <c r="K703" s="4">
        <f t="shared" si="20"/>
        <v>227.56348999999997</v>
      </c>
      <c r="L703" s="4">
        <f t="shared" si="21"/>
        <v>742.85650999999996</v>
      </c>
      <c r="O703">
        <v>1963</v>
      </c>
      <c r="P703">
        <v>44608</v>
      </c>
      <c r="Q703" t="str">
        <v>Central</v>
      </c>
      <c r="R703" t="str">
        <v>Jacket</v>
      </c>
      <c r="S703" t="str">
        <v>Clothing</v>
      </c>
      <c r="T703">
        <v>4888.68</v>
      </c>
      <c r="U703" t="str">
        <v>Matthew Stone</v>
      </c>
      <c r="V703">
        <v>34871</v>
      </c>
      <c r="W703">
        <v>44619</v>
      </c>
      <c r="X703">
        <v>38.729999999999997</v>
      </c>
      <c r="Y703">
        <v>1893.3857640000001</v>
      </c>
      <c r="Z703">
        <v>2995.2942360000002</v>
      </c>
      <c r="AC703" t="str">
        <v>Tablet</v>
      </c>
      <c r="AD703">
        <v>1675.9052100000001</v>
      </c>
      <c r="AF703">
        <v>1960</v>
      </c>
      <c r="AG703" t="str">
        <v>Shoes</v>
      </c>
      <c r="AH703">
        <v>1482.65517</v>
      </c>
    </row>
    <row r="704" spans="1:34" x14ac:dyDescent="0.3">
      <c r="A704" s="1">
        <v>1702</v>
      </c>
      <c r="B704" s="2">
        <v>44907</v>
      </c>
      <c r="C704" s="1" t="s">
        <v>14</v>
      </c>
      <c r="D704" s="1" t="s">
        <v>61</v>
      </c>
      <c r="E704" s="1" t="s">
        <v>19</v>
      </c>
      <c r="F704" s="1">
        <v>1928.08</v>
      </c>
      <c r="G704" s="1" t="s">
        <v>13</v>
      </c>
      <c r="H704" s="2">
        <v>24348</v>
      </c>
      <c r="I704" s="2">
        <v>44908</v>
      </c>
      <c r="J704" s="1">
        <v>2.2200000000000002</v>
      </c>
      <c r="K704" s="4">
        <f t="shared" si="20"/>
        <v>42.803376</v>
      </c>
      <c r="L704" s="4">
        <f t="shared" si="21"/>
        <v>1885.2766239999999</v>
      </c>
      <c r="O704">
        <v>1965</v>
      </c>
      <c r="P704">
        <v>44788</v>
      </c>
      <c r="Q704" t="str">
        <v>South</v>
      </c>
      <c r="R704" t="str">
        <v>Laptop</v>
      </c>
      <c r="S704" t="str">
        <v>Electronics</v>
      </c>
      <c r="T704">
        <v>4581.2299999999996</v>
      </c>
      <c r="U704" t="str">
        <v>Dorothy Thomas</v>
      </c>
      <c r="V704">
        <v>30364</v>
      </c>
      <c r="W704">
        <v>44793</v>
      </c>
      <c r="X704">
        <v>47.09</v>
      </c>
      <c r="Y704">
        <v>2157.301207</v>
      </c>
      <c r="Z704">
        <v>2423.9287929999996</v>
      </c>
      <c r="AC704" t="str">
        <v>Jacket</v>
      </c>
      <c r="AD704">
        <v>2995.2942360000002</v>
      </c>
      <c r="AF704">
        <v>1962</v>
      </c>
      <c r="AG704" t="str">
        <v>Tablet</v>
      </c>
      <c r="AH704">
        <v>1675.9052100000001</v>
      </c>
    </row>
    <row r="705" spans="1:34" x14ac:dyDescent="0.3">
      <c r="A705" s="1">
        <v>1703</v>
      </c>
      <c r="B705" s="2">
        <v>44329</v>
      </c>
      <c r="C705" s="1" t="s">
        <v>14</v>
      </c>
      <c r="D705" s="1" t="s">
        <v>55</v>
      </c>
      <c r="E705" s="1" t="s">
        <v>31</v>
      </c>
      <c r="F705" s="1">
        <v>710.4</v>
      </c>
      <c r="G705" s="1" t="s">
        <v>137</v>
      </c>
      <c r="H705" s="2">
        <v>36905</v>
      </c>
      <c r="I705" s="2">
        <v>44333</v>
      </c>
      <c r="J705" s="1">
        <v>6.09</v>
      </c>
      <c r="K705" s="4">
        <f t="shared" si="20"/>
        <v>43.263359999999999</v>
      </c>
      <c r="L705" s="4">
        <f t="shared" si="21"/>
        <v>667.13663999999994</v>
      </c>
      <c r="O705">
        <v>1966</v>
      </c>
      <c r="P705">
        <v>44086</v>
      </c>
      <c r="Q705" t="str">
        <v>East</v>
      </c>
      <c r="R705" t="str">
        <v>Smartphone</v>
      </c>
      <c r="S705" t="str">
        <v>Electronics</v>
      </c>
      <c r="T705">
        <v>2299.33</v>
      </c>
      <c r="U705" t="str">
        <v>Alexandria Stone</v>
      </c>
      <c r="V705">
        <v>26472</v>
      </c>
      <c r="W705">
        <v>44095</v>
      </c>
      <c r="X705">
        <v>27.15</v>
      </c>
      <c r="Y705">
        <v>624.2680949999999</v>
      </c>
      <c r="Z705">
        <v>1675.061905</v>
      </c>
      <c r="AC705" t="str">
        <v>Laptop</v>
      </c>
      <c r="AD705">
        <v>2423.9287929999996</v>
      </c>
      <c r="AF705">
        <v>1963</v>
      </c>
      <c r="AG705" t="str">
        <v>Jacket</v>
      </c>
      <c r="AH705">
        <v>2995.2942360000002</v>
      </c>
    </row>
    <row r="706" spans="1:34" x14ac:dyDescent="0.3">
      <c r="A706" s="1">
        <v>1704</v>
      </c>
      <c r="B706" s="2">
        <v>44120</v>
      </c>
      <c r="C706" s="1" t="s">
        <v>21</v>
      </c>
      <c r="D706" s="1" t="s">
        <v>36</v>
      </c>
      <c r="E706" s="1" t="s">
        <v>28</v>
      </c>
      <c r="F706" s="1">
        <v>1451.27</v>
      </c>
      <c r="G706" s="1" t="s">
        <v>56</v>
      </c>
      <c r="H706" s="2">
        <v>25712</v>
      </c>
      <c r="I706" s="2">
        <v>44128</v>
      </c>
      <c r="J706" s="1">
        <v>24.93</v>
      </c>
      <c r="K706" s="4">
        <f t="shared" si="20"/>
        <v>361.80161099999998</v>
      </c>
      <c r="L706" s="4">
        <f t="shared" si="21"/>
        <v>1089.4683890000001</v>
      </c>
      <c r="O706">
        <v>1967</v>
      </c>
      <c r="P706">
        <v>44316</v>
      </c>
      <c r="Q706" t="str">
        <v>South</v>
      </c>
      <c r="R706" t="str">
        <v>Milk</v>
      </c>
      <c r="S706" t="str">
        <v>Groceries</v>
      </c>
      <c r="T706">
        <v>2148.19</v>
      </c>
      <c r="U706" t="str">
        <v>Cynthia Brown</v>
      </c>
      <c r="V706">
        <v>35407</v>
      </c>
      <c r="W706">
        <v>44324</v>
      </c>
      <c r="X706">
        <v>31.44</v>
      </c>
      <c r="Y706">
        <v>675.39093600000001</v>
      </c>
      <c r="Z706">
        <v>1472.799064</v>
      </c>
      <c r="AC706" t="str">
        <v>Smartphone</v>
      </c>
      <c r="AD706">
        <v>1675.061905</v>
      </c>
      <c r="AF706">
        <v>1965</v>
      </c>
      <c r="AG706" t="str">
        <v>Laptop</v>
      </c>
      <c r="AH706">
        <v>2423.9287929999996</v>
      </c>
    </row>
    <row r="707" spans="1:34" x14ac:dyDescent="0.3">
      <c r="A707" s="1">
        <v>1705</v>
      </c>
      <c r="B707" s="2">
        <v>45019</v>
      </c>
      <c r="C707" s="1" t="s">
        <v>21</v>
      </c>
      <c r="D707" s="1" t="s">
        <v>55</v>
      </c>
      <c r="E707" s="1" t="s">
        <v>31</v>
      </c>
      <c r="F707" s="1">
        <v>4397.05</v>
      </c>
      <c r="G707" s="1" t="s">
        <v>216</v>
      </c>
      <c r="H707" s="2">
        <v>31419</v>
      </c>
      <c r="I707" s="2">
        <v>45022</v>
      </c>
      <c r="J707" s="1">
        <v>18.420000000000002</v>
      </c>
      <c r="K707" s="4">
        <f t="shared" ref="K707:K770" si="22">F707*J707%</f>
        <v>809.9366100000002</v>
      </c>
      <c r="L707" s="4">
        <f t="shared" ref="L707:L770" si="23">F707-K707</f>
        <v>3587.11339</v>
      </c>
      <c r="O707">
        <v>1968</v>
      </c>
      <c r="P707">
        <v>44287</v>
      </c>
      <c r="Q707" t="str">
        <v>West</v>
      </c>
      <c r="R707" t="str">
        <v>Headphones</v>
      </c>
      <c r="S707" t="str">
        <v>Electronics</v>
      </c>
      <c r="T707">
        <v>4578.1099999999997</v>
      </c>
      <c r="U707" t="str">
        <v>Darryl Cooper</v>
      </c>
      <c r="V707">
        <v>38378</v>
      </c>
      <c r="W707">
        <v>44289</v>
      </c>
      <c r="X707">
        <v>32.28</v>
      </c>
      <c r="Y707">
        <v>1477.8139080000001</v>
      </c>
      <c r="Z707">
        <v>3100.2960919999996</v>
      </c>
      <c r="AC707" t="str">
        <v>Milk</v>
      </c>
      <c r="AD707">
        <v>1472.799064</v>
      </c>
      <c r="AF707">
        <v>1966</v>
      </c>
      <c r="AG707" t="str">
        <v>Smartphone</v>
      </c>
      <c r="AH707">
        <v>1675.061905</v>
      </c>
    </row>
    <row r="708" spans="1:34" x14ac:dyDescent="0.3">
      <c r="A708" s="1">
        <v>1706</v>
      </c>
      <c r="B708" s="2">
        <v>45165</v>
      </c>
      <c r="C708" s="1" t="s">
        <v>35</v>
      </c>
      <c r="D708" s="1" t="s">
        <v>38</v>
      </c>
      <c r="E708" s="1" t="s">
        <v>28</v>
      </c>
      <c r="F708" s="1">
        <v>3244.23</v>
      </c>
      <c r="G708" s="1" t="s">
        <v>282</v>
      </c>
      <c r="H708" s="2">
        <v>38073</v>
      </c>
      <c r="I708" s="2">
        <v>45171</v>
      </c>
      <c r="J708" s="1">
        <v>48.8</v>
      </c>
      <c r="K708" s="4">
        <f t="shared" si="22"/>
        <v>1583.18424</v>
      </c>
      <c r="L708" s="4">
        <f t="shared" si="23"/>
        <v>1661.04576</v>
      </c>
      <c r="O708">
        <v>1969</v>
      </c>
      <c r="P708">
        <v>45483</v>
      </c>
      <c r="Q708" t="str">
        <v>West</v>
      </c>
      <c r="R708" t="str">
        <v>T-Shirt</v>
      </c>
      <c r="S708" t="str">
        <v>Clothing</v>
      </c>
      <c r="T708">
        <v>1321.82</v>
      </c>
      <c r="U708" t="str">
        <v>Matthew Moore</v>
      </c>
      <c r="V708">
        <v>29366</v>
      </c>
      <c r="W708">
        <v>45497</v>
      </c>
      <c r="X708">
        <v>8.65</v>
      </c>
      <c r="Y708">
        <v>114.33743</v>
      </c>
      <c r="Z708">
        <v>1207.4825699999999</v>
      </c>
      <c r="AC708" t="str">
        <v>Headphones</v>
      </c>
      <c r="AD708">
        <v>3100.2960919999996</v>
      </c>
      <c r="AF708">
        <v>1967</v>
      </c>
      <c r="AG708" t="str">
        <v>Milk</v>
      </c>
      <c r="AH708">
        <v>1472.799064</v>
      </c>
    </row>
    <row r="709" spans="1:34" x14ac:dyDescent="0.3">
      <c r="A709" s="1">
        <v>1707</v>
      </c>
      <c r="B709" s="2">
        <v>45213</v>
      </c>
      <c r="C709" s="1" t="s">
        <v>35</v>
      </c>
      <c r="D709" s="1" t="s">
        <v>73</v>
      </c>
      <c r="E709" s="1" t="s">
        <v>28</v>
      </c>
      <c r="F709" s="1">
        <v>963.24</v>
      </c>
      <c r="G709" s="1" t="s">
        <v>78</v>
      </c>
      <c r="H709" s="2">
        <v>25099</v>
      </c>
      <c r="I709" s="2">
        <v>45218</v>
      </c>
      <c r="J709" s="1">
        <v>46.92</v>
      </c>
      <c r="K709" s="4">
        <f t="shared" si="22"/>
        <v>451.95220799999998</v>
      </c>
      <c r="L709" s="4">
        <f t="shared" si="23"/>
        <v>511.28779200000002</v>
      </c>
      <c r="O709">
        <v>1970</v>
      </c>
      <c r="P709">
        <v>44111</v>
      </c>
      <c r="Q709" t="str">
        <v>West</v>
      </c>
      <c r="R709" t="str">
        <v>Cap</v>
      </c>
      <c r="S709" t="str">
        <v>Clothing</v>
      </c>
      <c r="T709">
        <v>4786.34</v>
      </c>
      <c r="U709" t="str">
        <v>Kristin Brown</v>
      </c>
      <c r="V709">
        <v>35343</v>
      </c>
      <c r="W709">
        <v>44115</v>
      </c>
      <c r="X709">
        <v>34.32</v>
      </c>
      <c r="Y709">
        <v>1642.6718880000001</v>
      </c>
      <c r="Z709">
        <v>3143.6681120000003</v>
      </c>
      <c r="AC709" t="str">
        <v>T-Shirt</v>
      </c>
      <c r="AD709">
        <v>1207.4825699999999</v>
      </c>
      <c r="AF709">
        <v>1968</v>
      </c>
      <c r="AG709" t="str">
        <v>Headphones</v>
      </c>
      <c r="AH709">
        <v>3100.2960919999996</v>
      </c>
    </row>
    <row r="710" spans="1:34" x14ac:dyDescent="0.3">
      <c r="A710" s="1">
        <v>1708</v>
      </c>
      <c r="B710" s="2">
        <v>45285</v>
      </c>
      <c r="C710" s="1" t="s">
        <v>26</v>
      </c>
      <c r="D710" s="1" t="s">
        <v>58</v>
      </c>
      <c r="E710" s="1" t="s">
        <v>31</v>
      </c>
      <c r="F710" s="1">
        <v>4234.68</v>
      </c>
      <c r="G710" s="1" t="s">
        <v>87</v>
      </c>
      <c r="H710" s="2">
        <v>36012</v>
      </c>
      <c r="I710" s="2">
        <v>45299</v>
      </c>
      <c r="J710" s="1">
        <v>44.06</v>
      </c>
      <c r="K710" s="4">
        <f t="shared" si="22"/>
        <v>1865.8000080000004</v>
      </c>
      <c r="L710" s="4">
        <f t="shared" si="23"/>
        <v>2368.8799920000001</v>
      </c>
      <c r="O710">
        <v>1971</v>
      </c>
      <c r="P710">
        <v>45884</v>
      </c>
      <c r="Q710" t="str">
        <v>East</v>
      </c>
      <c r="R710" t="str">
        <v>Wheat</v>
      </c>
      <c r="S710" t="str">
        <v>Groceries</v>
      </c>
      <c r="T710">
        <v>3228.56</v>
      </c>
      <c r="U710" t="str">
        <v>Derek Boyle</v>
      </c>
      <c r="V710">
        <v>27534</v>
      </c>
      <c r="W710">
        <v>45890</v>
      </c>
      <c r="X710">
        <v>48.72</v>
      </c>
      <c r="Y710">
        <v>1572.9544319999998</v>
      </c>
      <c r="Z710">
        <v>1655.6055680000002</v>
      </c>
      <c r="AC710" t="str">
        <v>Cap</v>
      </c>
      <c r="AD710">
        <v>3143.6681120000003</v>
      </c>
      <c r="AF710">
        <v>1969</v>
      </c>
      <c r="AG710" t="str">
        <v>T-Shirt</v>
      </c>
      <c r="AH710">
        <v>1207.4825699999999</v>
      </c>
    </row>
    <row r="711" spans="1:34" x14ac:dyDescent="0.3">
      <c r="A711" s="1">
        <v>1709</v>
      </c>
      <c r="B711" s="2">
        <v>45795</v>
      </c>
      <c r="C711" s="1" t="s">
        <v>14</v>
      </c>
      <c r="D711" s="1" t="s">
        <v>71</v>
      </c>
      <c r="E711" s="1" t="s">
        <v>31</v>
      </c>
      <c r="F711" s="1">
        <v>549.34</v>
      </c>
      <c r="G711" s="1" t="s">
        <v>81</v>
      </c>
      <c r="H711" s="2">
        <v>38350</v>
      </c>
      <c r="I711" s="2">
        <v>45807</v>
      </c>
      <c r="J711" s="1">
        <v>10.1</v>
      </c>
      <c r="K711" s="4">
        <f t="shared" si="22"/>
        <v>55.483339999999998</v>
      </c>
      <c r="L711" s="4">
        <f t="shared" si="23"/>
        <v>493.85666000000003</v>
      </c>
      <c r="O711">
        <v>1972</v>
      </c>
      <c r="P711">
        <v>44421</v>
      </c>
      <c r="Q711" t="str">
        <v>South</v>
      </c>
      <c r="R711" t="str">
        <v>Rice</v>
      </c>
      <c r="S711" t="str">
        <v>Groceries</v>
      </c>
      <c r="T711">
        <v>2697.91</v>
      </c>
      <c r="U711" t="str">
        <v>Lisa Garcia</v>
      </c>
      <c r="V711">
        <v>31578</v>
      </c>
      <c r="W711">
        <v>44431</v>
      </c>
      <c r="X711">
        <v>40.82</v>
      </c>
      <c r="Y711">
        <v>1101.2868619999999</v>
      </c>
      <c r="Z711">
        <v>1596.6231379999999</v>
      </c>
      <c r="AC711" t="str">
        <v>Wheat</v>
      </c>
      <c r="AD711">
        <v>1655.6055680000002</v>
      </c>
      <c r="AF711">
        <v>1970</v>
      </c>
      <c r="AG711" t="str">
        <v>Cap</v>
      </c>
      <c r="AH711">
        <v>3143.6681120000003</v>
      </c>
    </row>
    <row r="712" spans="1:34" x14ac:dyDescent="0.3">
      <c r="A712" s="1">
        <v>1710</v>
      </c>
      <c r="B712" s="2">
        <v>44386</v>
      </c>
      <c r="C712" s="1" t="s">
        <v>14</v>
      </c>
      <c r="D712" s="1" t="s">
        <v>36</v>
      </c>
      <c r="E712" s="1" t="s">
        <v>28</v>
      </c>
      <c r="F712" s="1">
        <v>4680.0200000000004</v>
      </c>
      <c r="G712" s="1" t="s">
        <v>230</v>
      </c>
      <c r="H712" s="2">
        <v>35642</v>
      </c>
      <c r="I712" s="2">
        <v>44400</v>
      </c>
      <c r="J712" s="1">
        <v>13.82</v>
      </c>
      <c r="K712" s="4">
        <f t="shared" si="22"/>
        <v>646.77876400000002</v>
      </c>
      <c r="L712" s="4">
        <f t="shared" si="23"/>
        <v>4033.2412360000003</v>
      </c>
      <c r="O712">
        <v>1973</v>
      </c>
      <c r="P712">
        <v>44350</v>
      </c>
      <c r="Q712" t="str">
        <v>South</v>
      </c>
      <c r="R712" t="str">
        <v>Rice</v>
      </c>
      <c r="S712" t="str">
        <v>Groceries</v>
      </c>
      <c r="T712">
        <v>3250.71</v>
      </c>
      <c r="U712" t="str">
        <v>Sara Keller</v>
      </c>
      <c r="V712">
        <v>27526</v>
      </c>
      <c r="W712">
        <v>44352</v>
      </c>
      <c r="X712">
        <v>38.67</v>
      </c>
      <c r="Y712">
        <v>1257.049557</v>
      </c>
      <c r="Z712">
        <v>1993.660443</v>
      </c>
      <c r="AC712" t="str">
        <v>Rice</v>
      </c>
      <c r="AD712">
        <v>1596.6231379999999</v>
      </c>
      <c r="AF712">
        <v>1971</v>
      </c>
      <c r="AG712" t="str">
        <v>Wheat</v>
      </c>
      <c r="AH712">
        <v>1655.6055680000002</v>
      </c>
    </row>
    <row r="713" spans="1:34" x14ac:dyDescent="0.3">
      <c r="A713" s="1">
        <v>1711</v>
      </c>
      <c r="B713" s="2">
        <v>44813</v>
      </c>
      <c r="C713" s="1" t="s">
        <v>14</v>
      </c>
      <c r="D713" s="1" t="s">
        <v>44</v>
      </c>
      <c r="E713" s="1" t="s">
        <v>16</v>
      </c>
      <c r="F713" s="1">
        <v>2860.6</v>
      </c>
      <c r="G713" s="1" t="s">
        <v>174</v>
      </c>
      <c r="H713" s="2">
        <v>38118</v>
      </c>
      <c r="I713" s="2">
        <v>44826</v>
      </c>
      <c r="J713" s="1">
        <v>25.1</v>
      </c>
      <c r="K713" s="4">
        <f t="shared" si="22"/>
        <v>718.01059999999995</v>
      </c>
      <c r="L713" s="4">
        <f t="shared" si="23"/>
        <v>2142.5893999999998</v>
      </c>
      <c r="O713">
        <v>1974</v>
      </c>
      <c r="P713">
        <v>44959</v>
      </c>
      <c r="Q713" t="str">
        <v>South</v>
      </c>
      <c r="R713" t="str">
        <v>Camera</v>
      </c>
      <c r="S713" t="str">
        <v>Electronics</v>
      </c>
      <c r="T713">
        <v>1777.81</v>
      </c>
      <c r="U713" t="str">
        <v>Samuel Humphrey</v>
      </c>
      <c r="V713">
        <v>30887</v>
      </c>
      <c r="W713">
        <v>44966</v>
      </c>
      <c r="X713">
        <v>36.43</v>
      </c>
      <c r="Y713">
        <v>647.65618300000006</v>
      </c>
      <c r="Z713">
        <v>1130.1538169999999</v>
      </c>
      <c r="AC713" t="str">
        <v>Rice</v>
      </c>
      <c r="AD713">
        <v>1993.660443</v>
      </c>
      <c r="AF713">
        <v>1972</v>
      </c>
      <c r="AG713" t="str">
        <v>Rice</v>
      </c>
      <c r="AH713">
        <v>1596.6231379999999</v>
      </c>
    </row>
    <row r="714" spans="1:34" x14ac:dyDescent="0.3">
      <c r="A714" s="1">
        <v>1712</v>
      </c>
      <c r="B714" s="2">
        <v>44722</v>
      </c>
      <c r="C714" s="1" t="s">
        <v>14</v>
      </c>
      <c r="D714" s="1" t="s">
        <v>69</v>
      </c>
      <c r="E714" s="1" t="s">
        <v>31</v>
      </c>
      <c r="F714" s="1">
        <v>202.8</v>
      </c>
      <c r="G714" s="1" t="s">
        <v>311</v>
      </c>
      <c r="H714" s="2">
        <v>29242</v>
      </c>
      <c r="I714" s="2">
        <v>44728</v>
      </c>
      <c r="J714" s="1">
        <v>48.41</v>
      </c>
      <c r="K714" s="4">
        <f t="shared" si="22"/>
        <v>98.175480000000007</v>
      </c>
      <c r="L714" s="4">
        <f t="shared" si="23"/>
        <v>104.62452</v>
      </c>
      <c r="O714">
        <v>1975</v>
      </c>
      <c r="P714">
        <v>45826</v>
      </c>
      <c r="Q714" t="str">
        <v>East</v>
      </c>
      <c r="R714" t="str">
        <v>Basketball</v>
      </c>
      <c r="S714" t="str">
        <v>Sports</v>
      </c>
      <c r="T714">
        <v>3112.42</v>
      </c>
      <c r="U714" t="str">
        <v>William Robles</v>
      </c>
      <c r="V714">
        <v>30786</v>
      </c>
      <c r="W714">
        <v>45830</v>
      </c>
      <c r="X714">
        <v>38.31</v>
      </c>
      <c r="Y714">
        <v>1192.3681019999999</v>
      </c>
      <c r="Z714">
        <v>1920.0518980000002</v>
      </c>
      <c r="AC714" t="str">
        <v>Camera</v>
      </c>
      <c r="AD714">
        <v>1130.1538169999999</v>
      </c>
      <c r="AF714">
        <v>1973</v>
      </c>
      <c r="AG714" t="str">
        <v>Rice</v>
      </c>
      <c r="AH714">
        <v>1993.660443</v>
      </c>
    </row>
    <row r="715" spans="1:34" x14ac:dyDescent="0.3">
      <c r="A715" s="1">
        <v>1713</v>
      </c>
      <c r="B715" s="2">
        <v>44443</v>
      </c>
      <c r="C715" s="1" t="s">
        <v>21</v>
      </c>
      <c r="D715" s="1" t="s">
        <v>102</v>
      </c>
      <c r="E715" s="1" t="s">
        <v>12</v>
      </c>
      <c r="F715" s="1">
        <v>540.61</v>
      </c>
      <c r="G715" s="1" t="s">
        <v>43</v>
      </c>
      <c r="H715" s="2">
        <v>33702</v>
      </c>
      <c r="I715" s="2">
        <v>44450</v>
      </c>
      <c r="J715" s="1">
        <v>7.72</v>
      </c>
      <c r="K715" s="4">
        <f t="shared" si="22"/>
        <v>41.735091999999995</v>
      </c>
      <c r="L715" s="4">
        <f t="shared" si="23"/>
        <v>498.874908</v>
      </c>
      <c r="O715">
        <v>1976</v>
      </c>
      <c r="P715">
        <v>45528</v>
      </c>
      <c r="Q715" t="str">
        <v>North</v>
      </c>
      <c r="R715" t="str">
        <v>Jeans</v>
      </c>
      <c r="S715" t="str">
        <v>Clothing</v>
      </c>
      <c r="T715">
        <v>1607.63</v>
      </c>
      <c r="U715" t="str">
        <v>James Kerr</v>
      </c>
      <c r="V715">
        <v>28863</v>
      </c>
      <c r="W715">
        <v>45536</v>
      </c>
      <c r="X715">
        <v>25.29</v>
      </c>
      <c r="Y715">
        <v>406.56962700000003</v>
      </c>
      <c r="Z715">
        <v>1201.060373</v>
      </c>
      <c r="AC715" t="str">
        <v>Basketball</v>
      </c>
      <c r="AD715">
        <v>1920.0518980000002</v>
      </c>
      <c r="AF715">
        <v>1974</v>
      </c>
      <c r="AG715" t="str">
        <v>Camera</v>
      </c>
      <c r="AH715">
        <v>1130.1538169999999</v>
      </c>
    </row>
    <row r="716" spans="1:34" x14ac:dyDescent="0.3">
      <c r="A716" s="1">
        <v>1714</v>
      </c>
      <c r="B716" s="2">
        <v>44594</v>
      </c>
      <c r="C716" s="1" t="s">
        <v>35</v>
      </c>
      <c r="D716" s="1" t="s">
        <v>65</v>
      </c>
      <c r="E716" s="1" t="s">
        <v>19</v>
      </c>
      <c r="F716" s="1">
        <v>3533.67</v>
      </c>
      <c r="G716" s="1" t="s">
        <v>289</v>
      </c>
      <c r="H716" s="2">
        <v>21923</v>
      </c>
      <c r="I716" s="2">
        <v>44607</v>
      </c>
      <c r="J716" s="1">
        <v>1.1299999999999999</v>
      </c>
      <c r="K716" s="4">
        <f t="shared" si="22"/>
        <v>39.930470999999997</v>
      </c>
      <c r="L716" s="4">
        <f t="shared" si="23"/>
        <v>3493.7395289999999</v>
      </c>
      <c r="O716">
        <v>1977</v>
      </c>
      <c r="P716">
        <v>44608</v>
      </c>
      <c r="Q716" t="str">
        <v>Central</v>
      </c>
      <c r="R716" t="str">
        <v>Sofa</v>
      </c>
      <c r="S716" t="str">
        <v>Furniture</v>
      </c>
      <c r="T716">
        <v>4210.1099999999997</v>
      </c>
      <c r="U716" t="str">
        <v>Alicia Campbell</v>
      </c>
      <c r="V716">
        <v>33984</v>
      </c>
      <c r="W716">
        <v>44611</v>
      </c>
      <c r="X716">
        <v>24.74</v>
      </c>
      <c r="Y716">
        <v>1041.5812139999998</v>
      </c>
      <c r="Z716">
        <v>3168.5287859999999</v>
      </c>
      <c r="AC716" t="str">
        <v>Jeans</v>
      </c>
      <c r="AD716">
        <v>1201.060373</v>
      </c>
      <c r="AF716">
        <v>1975</v>
      </c>
      <c r="AG716" t="str">
        <v>Basketball</v>
      </c>
      <c r="AH716">
        <v>1920.0518980000002</v>
      </c>
    </row>
    <row r="717" spans="1:34" x14ac:dyDescent="0.3">
      <c r="A717" s="1">
        <v>1715</v>
      </c>
      <c r="B717" s="2">
        <v>45049</v>
      </c>
      <c r="C717" s="1" t="s">
        <v>14</v>
      </c>
      <c r="D717" s="1" t="s">
        <v>11</v>
      </c>
      <c r="E717" s="1" t="s">
        <v>12</v>
      </c>
      <c r="F717" s="1">
        <v>2679.23</v>
      </c>
      <c r="G717" s="1" t="s">
        <v>113</v>
      </c>
      <c r="H717" s="2">
        <v>25579</v>
      </c>
      <c r="I717" s="2">
        <v>45059</v>
      </c>
      <c r="J717" s="1">
        <v>19.5</v>
      </c>
      <c r="K717" s="4">
        <f t="shared" si="22"/>
        <v>522.44984999999997</v>
      </c>
      <c r="L717" s="4">
        <f t="shared" si="23"/>
        <v>2156.78015</v>
      </c>
      <c r="O717">
        <v>1979</v>
      </c>
      <c r="P717">
        <v>45714</v>
      </c>
      <c r="Q717" t="str">
        <v>West</v>
      </c>
      <c r="R717" t="str">
        <v>Jacket</v>
      </c>
      <c r="S717" t="str">
        <v>Clothing</v>
      </c>
      <c r="T717">
        <v>3651.65</v>
      </c>
      <c r="U717" t="str">
        <v>Jennifer Booth</v>
      </c>
      <c r="V717">
        <v>23369</v>
      </c>
      <c r="W717">
        <v>45723</v>
      </c>
      <c r="X717">
        <v>17.829999999999998</v>
      </c>
      <c r="Y717">
        <v>651.08919500000002</v>
      </c>
      <c r="Z717">
        <v>3000.5608050000001</v>
      </c>
      <c r="AC717" t="str">
        <v>Sofa</v>
      </c>
      <c r="AD717">
        <v>3168.5287859999999</v>
      </c>
      <c r="AF717">
        <v>1976</v>
      </c>
      <c r="AG717" t="str">
        <v>Jeans</v>
      </c>
      <c r="AH717">
        <v>1201.060373</v>
      </c>
    </row>
    <row r="718" spans="1:34" x14ac:dyDescent="0.3">
      <c r="A718" s="1">
        <v>1716</v>
      </c>
      <c r="B718" s="2">
        <v>45214</v>
      </c>
      <c r="C718" s="1" t="s">
        <v>21</v>
      </c>
      <c r="D718" s="1" t="s">
        <v>69</v>
      </c>
      <c r="E718" s="1" t="s">
        <v>31</v>
      </c>
      <c r="F718" s="1">
        <v>4121.55</v>
      </c>
      <c r="G718" s="1" t="s">
        <v>248</v>
      </c>
      <c r="H718" s="2">
        <v>32685</v>
      </c>
      <c r="I718" s="2">
        <v>45223</v>
      </c>
      <c r="J718" s="1">
        <v>35.71</v>
      </c>
      <c r="K718" s="4">
        <f t="shared" si="22"/>
        <v>1471.8055050000003</v>
      </c>
      <c r="L718" s="4">
        <f t="shared" si="23"/>
        <v>2649.7444949999999</v>
      </c>
      <c r="O718">
        <v>1980</v>
      </c>
      <c r="P718">
        <v>44666</v>
      </c>
      <c r="Q718" t="str">
        <v>South</v>
      </c>
      <c r="R718" t="str">
        <v>Smartphone</v>
      </c>
      <c r="S718" t="str">
        <v>Electronics</v>
      </c>
      <c r="T718">
        <v>2249.48</v>
      </c>
      <c r="U718" t="str">
        <v>Steven Santiago</v>
      </c>
      <c r="V718">
        <v>38478</v>
      </c>
      <c r="W718">
        <v>44671</v>
      </c>
      <c r="X718">
        <v>8.68</v>
      </c>
      <c r="Y718">
        <v>195.254864</v>
      </c>
      <c r="Z718">
        <v>2054.225136</v>
      </c>
      <c r="AC718" t="str">
        <v>Jacket</v>
      </c>
      <c r="AD718">
        <v>3000.5608050000001</v>
      </c>
      <c r="AF718">
        <v>1977</v>
      </c>
      <c r="AG718" t="str">
        <v>Sofa</v>
      </c>
      <c r="AH718">
        <v>3168.5287859999999</v>
      </c>
    </row>
    <row r="719" spans="1:34" x14ac:dyDescent="0.3">
      <c r="A719" s="1">
        <v>1717</v>
      </c>
      <c r="B719" s="2">
        <v>44535</v>
      </c>
      <c r="C719" s="1" t="s">
        <v>21</v>
      </c>
      <c r="D719" s="1" t="s">
        <v>88</v>
      </c>
      <c r="E719" s="1" t="s">
        <v>16</v>
      </c>
      <c r="F719" s="1">
        <v>3582.34</v>
      </c>
      <c r="G719" s="1" t="s">
        <v>113</v>
      </c>
      <c r="H719" s="2">
        <v>25579</v>
      </c>
      <c r="I719" s="2">
        <v>44540</v>
      </c>
      <c r="J719" s="1">
        <v>14.14</v>
      </c>
      <c r="K719" s="4">
        <f t="shared" si="22"/>
        <v>506.54287600000004</v>
      </c>
      <c r="L719" s="4">
        <f t="shared" si="23"/>
        <v>3075.7971240000002</v>
      </c>
      <c r="O719">
        <v>1982</v>
      </c>
      <c r="P719">
        <v>44780</v>
      </c>
      <c r="Q719" t="str">
        <v>South</v>
      </c>
      <c r="R719" t="str">
        <v>Camera</v>
      </c>
      <c r="S719" t="str">
        <v>Electronics</v>
      </c>
      <c r="T719">
        <v>3738.45</v>
      </c>
      <c r="U719" t="str">
        <v>Joseph Walter</v>
      </c>
      <c r="V719">
        <v>36329</v>
      </c>
      <c r="W719">
        <v>44783</v>
      </c>
      <c r="X719">
        <v>40.39</v>
      </c>
      <c r="Y719">
        <v>1509.9599549999998</v>
      </c>
      <c r="Z719">
        <v>2228.490045</v>
      </c>
      <c r="AC719" t="str">
        <v>Smartphone</v>
      </c>
      <c r="AD719">
        <v>2054.225136</v>
      </c>
      <c r="AF719">
        <v>1979</v>
      </c>
      <c r="AG719" t="str">
        <v>Jacket</v>
      </c>
      <c r="AH719">
        <v>3000.5608050000001</v>
      </c>
    </row>
    <row r="720" spans="1:34" x14ac:dyDescent="0.3">
      <c r="A720" s="1">
        <v>1718</v>
      </c>
      <c r="B720" s="2">
        <v>45287</v>
      </c>
      <c r="C720" s="1" t="s">
        <v>21</v>
      </c>
      <c r="D720" s="1" t="s">
        <v>22</v>
      </c>
      <c r="E720" s="1" t="s">
        <v>19</v>
      </c>
      <c r="F720" s="1">
        <v>3131.27</v>
      </c>
      <c r="G720" s="1" t="s">
        <v>145</v>
      </c>
      <c r="H720" s="2">
        <v>23470</v>
      </c>
      <c r="I720" s="2">
        <v>45298</v>
      </c>
      <c r="J720" s="1">
        <v>45.69</v>
      </c>
      <c r="K720" s="4">
        <f t="shared" si="22"/>
        <v>1430.6772629999998</v>
      </c>
      <c r="L720" s="4">
        <f t="shared" si="23"/>
        <v>1700.5927370000002</v>
      </c>
      <c r="O720">
        <v>1983</v>
      </c>
      <c r="P720">
        <v>45556</v>
      </c>
      <c r="Q720" t="str">
        <v>West</v>
      </c>
      <c r="R720" t="str">
        <v>Tennis Racket</v>
      </c>
      <c r="S720" t="str">
        <v>Sports</v>
      </c>
      <c r="T720">
        <v>2860.02</v>
      </c>
      <c r="U720" t="str">
        <v>Jonathan Gillespie MD</v>
      </c>
      <c r="V720">
        <v>23838</v>
      </c>
      <c r="W720">
        <v>45568</v>
      </c>
      <c r="X720">
        <v>9.4600000000000009</v>
      </c>
      <c r="Y720">
        <v>270.55789199999998</v>
      </c>
      <c r="Z720">
        <v>2589.4621080000002</v>
      </c>
      <c r="AC720" t="str">
        <v>Camera</v>
      </c>
      <c r="AD720">
        <v>2228.490045</v>
      </c>
      <c r="AF720">
        <v>1980</v>
      </c>
      <c r="AG720" t="str">
        <v>Smartphone</v>
      </c>
      <c r="AH720">
        <v>2054.225136</v>
      </c>
    </row>
    <row r="721" spans="1:34" x14ac:dyDescent="0.3">
      <c r="A721" s="1">
        <v>1719</v>
      </c>
      <c r="B721" s="2">
        <v>45133</v>
      </c>
      <c r="C721" s="1" t="s">
        <v>14</v>
      </c>
      <c r="D721" s="1" t="s">
        <v>40</v>
      </c>
      <c r="E721" s="1" t="s">
        <v>16</v>
      </c>
      <c r="F721" s="1">
        <v>717.7</v>
      </c>
      <c r="G721" s="1" t="s">
        <v>295</v>
      </c>
      <c r="H721" s="2">
        <v>23369</v>
      </c>
      <c r="I721" s="2">
        <v>45135</v>
      </c>
      <c r="J721" s="1">
        <v>13.77</v>
      </c>
      <c r="K721" s="4">
        <f t="shared" si="22"/>
        <v>98.827290000000005</v>
      </c>
      <c r="L721" s="4">
        <f t="shared" si="23"/>
        <v>618.8727100000001</v>
      </c>
      <c r="O721">
        <v>1984</v>
      </c>
      <c r="P721">
        <v>44207</v>
      </c>
      <c r="Q721" t="str">
        <v>West</v>
      </c>
      <c r="R721" t="str">
        <v>Camera</v>
      </c>
      <c r="S721" t="str">
        <v>Electronics</v>
      </c>
      <c r="T721">
        <v>2382.77</v>
      </c>
      <c r="U721" t="str">
        <v>Karen Hernandez</v>
      </c>
      <c r="V721">
        <v>30976</v>
      </c>
      <c r="W721">
        <v>44210</v>
      </c>
      <c r="X721">
        <v>28.79</v>
      </c>
      <c r="Y721">
        <v>685.99948299999994</v>
      </c>
      <c r="Z721">
        <v>1696.7705169999999</v>
      </c>
      <c r="AC721" t="str">
        <v>Tennis Racket</v>
      </c>
      <c r="AD721">
        <v>2589.4621080000002</v>
      </c>
      <c r="AF721">
        <v>1982</v>
      </c>
      <c r="AG721" t="str">
        <v>Camera</v>
      </c>
      <c r="AH721">
        <v>2228.490045</v>
      </c>
    </row>
    <row r="722" spans="1:34" x14ac:dyDescent="0.3">
      <c r="A722" s="1">
        <v>1720</v>
      </c>
      <c r="B722" s="2">
        <v>44377</v>
      </c>
      <c r="C722" s="1" t="s">
        <v>35</v>
      </c>
      <c r="D722" s="1" t="s">
        <v>11</v>
      </c>
      <c r="E722" s="1" t="s">
        <v>12</v>
      </c>
      <c r="F722" s="1">
        <v>3653.64</v>
      </c>
      <c r="G722" s="1" t="s">
        <v>312</v>
      </c>
      <c r="H722" s="2">
        <v>34765</v>
      </c>
      <c r="I722" s="2">
        <v>44380</v>
      </c>
      <c r="J722" s="1">
        <v>14.62</v>
      </c>
      <c r="K722" s="4">
        <f t="shared" si="22"/>
        <v>534.16216799999995</v>
      </c>
      <c r="L722" s="4">
        <f t="shared" si="23"/>
        <v>3119.477832</v>
      </c>
      <c r="O722">
        <v>1985</v>
      </c>
      <c r="P722">
        <v>45108</v>
      </c>
      <c r="Q722" t="str">
        <v>North</v>
      </c>
      <c r="R722" t="str">
        <v>Camera</v>
      </c>
      <c r="S722" t="str">
        <v>Electronics</v>
      </c>
      <c r="T722">
        <v>2464.46</v>
      </c>
      <c r="U722" t="str">
        <v>Jimmy Lopez</v>
      </c>
      <c r="V722">
        <v>36246</v>
      </c>
      <c r="W722">
        <v>45111</v>
      </c>
      <c r="X722">
        <v>20.329999999999998</v>
      </c>
      <c r="Y722">
        <v>501.02471799999995</v>
      </c>
      <c r="Z722">
        <v>1963.4352820000001</v>
      </c>
      <c r="AC722" t="str">
        <v>Camera</v>
      </c>
      <c r="AD722">
        <v>1696.7705169999999</v>
      </c>
      <c r="AF722">
        <v>1983</v>
      </c>
      <c r="AG722" t="str">
        <v>Tennis Racket</v>
      </c>
      <c r="AH722">
        <v>2589.4621080000002</v>
      </c>
    </row>
    <row r="723" spans="1:34" x14ac:dyDescent="0.3">
      <c r="A723" s="1">
        <v>1721</v>
      </c>
      <c r="B723" s="2">
        <v>44779</v>
      </c>
      <c r="C723" s="1" t="s">
        <v>21</v>
      </c>
      <c r="D723" s="1" t="s">
        <v>55</v>
      </c>
      <c r="E723" s="1" t="s">
        <v>31</v>
      </c>
      <c r="F723" s="1">
        <v>4120.01</v>
      </c>
      <c r="G723" s="1" t="s">
        <v>283</v>
      </c>
      <c r="H723" s="2">
        <v>30117</v>
      </c>
      <c r="I723" s="2">
        <v>44782</v>
      </c>
      <c r="J723" s="1">
        <v>1.46</v>
      </c>
      <c r="K723" s="4">
        <f t="shared" si="22"/>
        <v>60.152146000000002</v>
      </c>
      <c r="L723" s="4">
        <f t="shared" si="23"/>
        <v>4059.8578540000003</v>
      </c>
      <c r="O723">
        <v>1988</v>
      </c>
      <c r="P723">
        <v>44777</v>
      </c>
      <c r="Q723" t="str">
        <v>South</v>
      </c>
      <c r="R723" t="str">
        <v>Eggs</v>
      </c>
      <c r="S723" t="str">
        <v>Groceries</v>
      </c>
      <c r="T723">
        <v>2122.41</v>
      </c>
      <c r="U723" t="str">
        <v>John Adams</v>
      </c>
      <c r="V723">
        <v>22016</v>
      </c>
      <c r="W723">
        <v>44791</v>
      </c>
      <c r="X723">
        <v>16.09</v>
      </c>
      <c r="Y723">
        <v>341.49576899999994</v>
      </c>
      <c r="Z723">
        <v>1780.914231</v>
      </c>
      <c r="AC723" t="str">
        <v>Camera</v>
      </c>
      <c r="AD723">
        <v>1963.4352820000001</v>
      </c>
      <c r="AF723">
        <v>1984</v>
      </c>
      <c r="AG723" t="str">
        <v>Camera</v>
      </c>
      <c r="AH723">
        <v>1696.7705169999999</v>
      </c>
    </row>
    <row r="724" spans="1:34" x14ac:dyDescent="0.3">
      <c r="A724" s="1">
        <v>1722</v>
      </c>
      <c r="B724" s="2">
        <v>44813</v>
      </c>
      <c r="C724" s="1" t="s">
        <v>14</v>
      </c>
      <c r="D724" s="1" t="s">
        <v>22</v>
      </c>
      <c r="E724" s="1" t="s">
        <v>19</v>
      </c>
      <c r="F724" s="1">
        <v>1738.91</v>
      </c>
      <c r="G724" s="1" t="s">
        <v>229</v>
      </c>
      <c r="H724" s="2">
        <v>37783</v>
      </c>
      <c r="I724" s="2">
        <v>44820</v>
      </c>
      <c r="J724" s="1">
        <v>3.04</v>
      </c>
      <c r="K724" s="4">
        <f t="shared" si="22"/>
        <v>52.862864000000002</v>
      </c>
      <c r="L724" s="4">
        <f t="shared" si="23"/>
        <v>1686.0471360000001</v>
      </c>
      <c r="O724">
        <v>1989</v>
      </c>
      <c r="P724">
        <v>45091</v>
      </c>
      <c r="Q724" t="str">
        <v>West</v>
      </c>
      <c r="R724" t="str">
        <v>Cricket Bat</v>
      </c>
      <c r="S724" t="str">
        <v>Sports</v>
      </c>
      <c r="T724">
        <v>3431.74</v>
      </c>
      <c r="U724" t="str">
        <v>Gabriel Watson</v>
      </c>
      <c r="V724">
        <v>34427</v>
      </c>
      <c r="W724">
        <v>45093</v>
      </c>
      <c r="X724">
        <v>31.94</v>
      </c>
      <c r="Y724">
        <v>1096.0977559999999</v>
      </c>
      <c r="Z724">
        <v>2335.6422439999997</v>
      </c>
      <c r="AC724" t="str">
        <v>Eggs</v>
      </c>
      <c r="AD724">
        <v>1780.914231</v>
      </c>
      <c r="AF724">
        <v>1985</v>
      </c>
      <c r="AG724" t="str">
        <v>Camera</v>
      </c>
      <c r="AH724">
        <v>1963.4352820000001</v>
      </c>
    </row>
    <row r="725" spans="1:34" x14ac:dyDescent="0.3">
      <c r="A725" s="1">
        <v>1723</v>
      </c>
      <c r="B725" s="2">
        <v>45657</v>
      </c>
      <c r="C725" s="1" t="s">
        <v>21</v>
      </c>
      <c r="D725" s="1" t="s">
        <v>36</v>
      </c>
      <c r="E725" s="1" t="s">
        <v>28</v>
      </c>
      <c r="F725" s="1">
        <v>3158.37</v>
      </c>
      <c r="G725" s="1" t="s">
        <v>37</v>
      </c>
      <c r="H725" s="2">
        <v>27534</v>
      </c>
      <c r="I725" s="2">
        <v>45666</v>
      </c>
      <c r="J725" s="1">
        <v>49.54</v>
      </c>
      <c r="K725" s="4">
        <f t="shared" si="22"/>
        <v>1564.6564980000001</v>
      </c>
      <c r="L725" s="4">
        <f t="shared" si="23"/>
        <v>1593.7135019999998</v>
      </c>
      <c r="O725">
        <v>1990</v>
      </c>
      <c r="P725">
        <v>45222</v>
      </c>
      <c r="Q725" t="str">
        <v>West</v>
      </c>
      <c r="R725" t="str">
        <v>Chair</v>
      </c>
      <c r="S725" t="str">
        <v>Furniture</v>
      </c>
      <c r="T725">
        <v>4273.12</v>
      </c>
      <c r="U725" t="str">
        <v>Amanda West</v>
      </c>
      <c r="V725">
        <v>30356</v>
      </c>
      <c r="W725">
        <v>45232</v>
      </c>
      <c r="X725">
        <v>36.299999999999997</v>
      </c>
      <c r="Y725">
        <v>1551.14256</v>
      </c>
      <c r="Z725">
        <v>2721.9774399999997</v>
      </c>
      <c r="AC725" t="str">
        <v>Cricket Bat</v>
      </c>
      <c r="AD725">
        <v>2335.6422439999997</v>
      </c>
      <c r="AF725">
        <v>1988</v>
      </c>
      <c r="AG725" t="str">
        <v>Eggs</v>
      </c>
      <c r="AH725">
        <v>1780.914231</v>
      </c>
    </row>
    <row r="726" spans="1:34" x14ac:dyDescent="0.3">
      <c r="A726" s="1">
        <v>1724</v>
      </c>
      <c r="B726" s="2">
        <v>44535</v>
      </c>
      <c r="C726" s="1" t="s">
        <v>10</v>
      </c>
      <c r="D726" s="1" t="s">
        <v>69</v>
      </c>
      <c r="E726" s="1" t="s">
        <v>31</v>
      </c>
      <c r="F726" s="1">
        <v>3256.95</v>
      </c>
      <c r="G726" s="1" t="s">
        <v>83</v>
      </c>
      <c r="H726" s="2">
        <v>24673</v>
      </c>
      <c r="I726" s="2">
        <v>44546</v>
      </c>
      <c r="J726" s="1">
        <v>10.63</v>
      </c>
      <c r="K726" s="4">
        <f t="shared" si="22"/>
        <v>346.21378499999997</v>
      </c>
      <c r="L726" s="4">
        <f t="shared" si="23"/>
        <v>2910.7362149999999</v>
      </c>
      <c r="O726">
        <v>1993</v>
      </c>
      <c r="P726">
        <v>44395</v>
      </c>
      <c r="Q726" t="str">
        <v>South</v>
      </c>
      <c r="R726" t="str">
        <v>Cap</v>
      </c>
      <c r="S726" t="str">
        <v>Clothing</v>
      </c>
      <c r="T726">
        <v>2747.73</v>
      </c>
      <c r="U726" t="str">
        <v>Christopher Campbell</v>
      </c>
      <c r="V726">
        <v>26082</v>
      </c>
      <c r="W726">
        <v>44409</v>
      </c>
      <c r="X726">
        <v>27.71</v>
      </c>
      <c r="Y726">
        <v>761.395983</v>
      </c>
      <c r="Z726">
        <v>1986.3340170000001</v>
      </c>
      <c r="AC726" t="str">
        <v>Chair</v>
      </c>
      <c r="AD726">
        <v>2721.9774399999997</v>
      </c>
      <c r="AF726">
        <v>1989</v>
      </c>
      <c r="AG726" t="str">
        <v>Cricket Bat</v>
      </c>
      <c r="AH726">
        <v>2335.6422439999997</v>
      </c>
    </row>
    <row r="727" spans="1:34" x14ac:dyDescent="0.3">
      <c r="A727" s="1">
        <v>1725</v>
      </c>
      <c r="B727" s="2">
        <v>44333</v>
      </c>
      <c r="C727" s="1" t="s">
        <v>14</v>
      </c>
      <c r="D727" s="1" t="s">
        <v>47</v>
      </c>
      <c r="E727" s="1" t="s">
        <v>12</v>
      </c>
      <c r="F727" s="1">
        <v>1874.15</v>
      </c>
      <c r="G727" s="1" t="s">
        <v>157</v>
      </c>
      <c r="H727" s="2">
        <v>37189</v>
      </c>
      <c r="I727" s="2">
        <v>44339</v>
      </c>
      <c r="J727" s="1">
        <v>4.95</v>
      </c>
      <c r="K727" s="4">
        <f t="shared" si="22"/>
        <v>92.770425000000003</v>
      </c>
      <c r="L727" s="4">
        <f t="shared" si="23"/>
        <v>1781.3795750000002</v>
      </c>
      <c r="O727">
        <v>1994</v>
      </c>
      <c r="P727">
        <v>44922</v>
      </c>
      <c r="Q727" t="str">
        <v>Central</v>
      </c>
      <c r="R727" t="str">
        <v>Shoes</v>
      </c>
      <c r="S727" t="str">
        <v>Clothing</v>
      </c>
      <c r="T727">
        <v>3679.17</v>
      </c>
      <c r="U727" t="str">
        <v>Erik Garcia</v>
      </c>
      <c r="V727">
        <v>24802</v>
      </c>
      <c r="W727">
        <v>44936</v>
      </c>
      <c r="X727">
        <v>11.92</v>
      </c>
      <c r="Y727">
        <v>438.55706400000003</v>
      </c>
      <c r="Z727">
        <v>3240.612936</v>
      </c>
      <c r="AC727" t="str">
        <v>Cap</v>
      </c>
      <c r="AD727">
        <v>1986.3340170000001</v>
      </c>
      <c r="AF727">
        <v>1990</v>
      </c>
      <c r="AG727" t="str">
        <v>Chair</v>
      </c>
      <c r="AH727">
        <v>2721.9774399999997</v>
      </c>
    </row>
    <row r="728" spans="1:34" x14ac:dyDescent="0.3">
      <c r="A728" s="1">
        <v>1726</v>
      </c>
      <c r="B728" s="2">
        <v>45492</v>
      </c>
      <c r="C728" s="1" t="s">
        <v>10</v>
      </c>
      <c r="D728" s="1" t="s">
        <v>58</v>
      </c>
      <c r="E728" s="1" t="s">
        <v>31</v>
      </c>
      <c r="F728" s="1">
        <v>154.96</v>
      </c>
      <c r="G728" s="1" t="s">
        <v>13</v>
      </c>
      <c r="H728" s="2">
        <v>24348</v>
      </c>
      <c r="I728" s="2">
        <v>45495</v>
      </c>
      <c r="J728" s="1">
        <v>21.2</v>
      </c>
      <c r="K728" s="4">
        <f t="shared" si="22"/>
        <v>32.851520000000001</v>
      </c>
      <c r="L728" s="4">
        <f t="shared" si="23"/>
        <v>122.10848000000001</v>
      </c>
      <c r="O728">
        <v>1995</v>
      </c>
      <c r="P728">
        <v>44137</v>
      </c>
      <c r="Q728" t="str">
        <v>North</v>
      </c>
      <c r="R728" t="str">
        <v>Sofa</v>
      </c>
      <c r="S728" t="str">
        <v>Furniture</v>
      </c>
      <c r="T728">
        <v>2082.8000000000002</v>
      </c>
      <c r="U728" t="str">
        <v>Taylor Richardson</v>
      </c>
      <c r="V728">
        <v>25853</v>
      </c>
      <c r="W728">
        <v>44146</v>
      </c>
      <c r="X728">
        <v>30.49</v>
      </c>
      <c r="Y728">
        <v>635.04572000000007</v>
      </c>
      <c r="Z728">
        <v>1447.7542800000001</v>
      </c>
      <c r="AC728" t="str">
        <v>Shoes</v>
      </c>
      <c r="AD728">
        <v>3240.612936</v>
      </c>
      <c r="AF728">
        <v>1993</v>
      </c>
      <c r="AG728" t="str">
        <v>Cap</v>
      </c>
      <c r="AH728">
        <v>1986.3340170000001</v>
      </c>
    </row>
    <row r="729" spans="1:34" x14ac:dyDescent="0.3">
      <c r="A729" s="1">
        <v>1727</v>
      </c>
      <c r="B729" s="2">
        <v>45086</v>
      </c>
      <c r="C729" s="1" t="s">
        <v>14</v>
      </c>
      <c r="D729" s="1" t="s">
        <v>18</v>
      </c>
      <c r="E729" s="1" t="s">
        <v>19</v>
      </c>
      <c r="F729" s="1">
        <v>3947.62</v>
      </c>
      <c r="G729" s="1" t="s">
        <v>150</v>
      </c>
      <c r="H729" s="2">
        <v>31231</v>
      </c>
      <c r="I729" s="2">
        <v>45090</v>
      </c>
      <c r="J729" s="1">
        <v>19.93</v>
      </c>
      <c r="K729" s="4">
        <f t="shared" si="22"/>
        <v>786.76066600000001</v>
      </c>
      <c r="L729" s="4">
        <f t="shared" si="23"/>
        <v>3160.8593339999998</v>
      </c>
      <c r="O729">
        <v>1997</v>
      </c>
      <c r="P729">
        <v>44735</v>
      </c>
      <c r="Q729" t="str">
        <v>East</v>
      </c>
      <c r="R729" t="str">
        <v>Football</v>
      </c>
      <c r="S729" t="str">
        <v>Sports</v>
      </c>
      <c r="T729">
        <v>3798.58</v>
      </c>
      <c r="U729" t="str">
        <v>Marcia Anderson</v>
      </c>
      <c r="V729">
        <v>34537</v>
      </c>
      <c r="W729">
        <v>44746</v>
      </c>
      <c r="X729">
        <v>1.3</v>
      </c>
      <c r="Y729">
        <v>49.381540000000001</v>
      </c>
      <c r="Z729">
        <v>3749.1984600000001</v>
      </c>
      <c r="AC729" t="str">
        <v>Sofa</v>
      </c>
      <c r="AD729">
        <v>1447.7542800000001</v>
      </c>
      <c r="AF729">
        <v>1994</v>
      </c>
      <c r="AG729" t="str">
        <v>Shoes</v>
      </c>
      <c r="AH729">
        <v>3240.612936</v>
      </c>
    </row>
    <row r="730" spans="1:34" x14ac:dyDescent="0.3">
      <c r="A730" s="1">
        <v>1728</v>
      </c>
      <c r="B730" s="2">
        <v>44521</v>
      </c>
      <c r="C730" s="1" t="s">
        <v>35</v>
      </c>
      <c r="D730" s="1" t="s">
        <v>18</v>
      </c>
      <c r="E730" s="1" t="s">
        <v>19</v>
      </c>
      <c r="F730" s="1">
        <v>1193.6600000000001</v>
      </c>
      <c r="G730" s="1" t="s">
        <v>60</v>
      </c>
      <c r="H730" s="2">
        <v>33482</v>
      </c>
      <c r="I730" s="2">
        <v>44530</v>
      </c>
      <c r="J730" s="1">
        <v>37.83</v>
      </c>
      <c r="K730" s="4">
        <f t="shared" si="22"/>
        <v>451.561578</v>
      </c>
      <c r="L730" s="4">
        <f t="shared" si="23"/>
        <v>742.09842200000003</v>
      </c>
      <c r="O730">
        <v>1998</v>
      </c>
      <c r="P730">
        <v>45399</v>
      </c>
      <c r="Q730" t="str">
        <v>North</v>
      </c>
      <c r="R730" t="str">
        <v>Tablet</v>
      </c>
      <c r="S730" t="str">
        <v>Electronics</v>
      </c>
      <c r="T730">
        <v>2405.3000000000002</v>
      </c>
      <c r="U730" t="str">
        <v>Mrs. Marissa Hall</v>
      </c>
      <c r="V730">
        <v>24232</v>
      </c>
      <c r="W730">
        <v>45405</v>
      </c>
      <c r="X730">
        <v>14.82</v>
      </c>
      <c r="Y730">
        <v>356.46546000000001</v>
      </c>
      <c r="Z730">
        <v>2048.8345400000003</v>
      </c>
      <c r="AC730" t="str">
        <v>Football</v>
      </c>
      <c r="AD730">
        <v>3749.1984600000001</v>
      </c>
      <c r="AF730">
        <v>1995</v>
      </c>
      <c r="AG730" t="str">
        <v>Sofa</v>
      </c>
      <c r="AH730">
        <v>1447.7542800000001</v>
      </c>
    </row>
    <row r="731" spans="1:34" x14ac:dyDescent="0.3">
      <c r="A731" s="1">
        <v>1729</v>
      </c>
      <c r="B731" s="2">
        <v>45680</v>
      </c>
      <c r="C731" s="1" t="s">
        <v>21</v>
      </c>
      <c r="D731" s="1" t="s">
        <v>73</v>
      </c>
      <c r="E731" s="1" t="s">
        <v>28</v>
      </c>
      <c r="F731" s="1">
        <v>1844.63</v>
      </c>
      <c r="G731" s="1" t="s">
        <v>201</v>
      </c>
      <c r="H731" s="2">
        <v>23469</v>
      </c>
      <c r="I731" s="2">
        <v>45688</v>
      </c>
      <c r="J731" s="1">
        <v>42.25</v>
      </c>
      <c r="K731" s="4">
        <f t="shared" si="22"/>
        <v>779.35617500000001</v>
      </c>
      <c r="L731" s="4">
        <f t="shared" si="23"/>
        <v>1065.2738250000002</v>
      </c>
      <c r="AC731" t="str">
        <v>Tablet</v>
      </c>
      <c r="AD731">
        <v>2048.8345400000003</v>
      </c>
      <c r="AF731">
        <v>1997</v>
      </c>
      <c r="AG731" t="str">
        <v>Football</v>
      </c>
      <c r="AH731">
        <v>3749.1984600000001</v>
      </c>
    </row>
    <row r="732" spans="1:34" x14ac:dyDescent="0.3">
      <c r="A732" s="1">
        <v>1730</v>
      </c>
      <c r="B732" s="2">
        <v>45873</v>
      </c>
      <c r="C732" s="1" t="s">
        <v>35</v>
      </c>
      <c r="D732" s="1" t="s">
        <v>36</v>
      </c>
      <c r="E732" s="1" t="s">
        <v>28</v>
      </c>
      <c r="F732" s="1">
        <v>4539.5600000000004</v>
      </c>
      <c r="G732" s="1" t="s">
        <v>42</v>
      </c>
      <c r="H732" s="2">
        <v>26027</v>
      </c>
      <c r="I732" s="2">
        <v>45879</v>
      </c>
      <c r="J732" s="1">
        <v>44.93</v>
      </c>
      <c r="K732" s="4">
        <f t="shared" si="22"/>
        <v>2039.6243080000002</v>
      </c>
      <c r="L732" s="4">
        <f t="shared" si="23"/>
        <v>2499.935692</v>
      </c>
      <c r="AF732">
        <v>1998</v>
      </c>
      <c r="AG732" t="str">
        <v>Tablet</v>
      </c>
      <c r="AH732">
        <v>2048.8345400000003</v>
      </c>
    </row>
    <row r="733" spans="1:34" x14ac:dyDescent="0.3">
      <c r="A733" s="1">
        <v>1731</v>
      </c>
      <c r="B733" s="2">
        <v>45007</v>
      </c>
      <c r="C733" s="1" t="s">
        <v>14</v>
      </c>
      <c r="D733" s="1" t="s">
        <v>55</v>
      </c>
      <c r="E733" s="1" t="s">
        <v>31</v>
      </c>
      <c r="F733" s="1">
        <v>2167.87</v>
      </c>
      <c r="G733" s="1" t="s">
        <v>168</v>
      </c>
      <c r="H733" s="2">
        <v>37674</v>
      </c>
      <c r="I733" s="2">
        <v>45013</v>
      </c>
      <c r="J733" s="1">
        <v>43.08</v>
      </c>
      <c r="K733" s="4">
        <f t="shared" si="22"/>
        <v>933.91839599999992</v>
      </c>
      <c r="L733" s="4">
        <f t="shared" si="23"/>
        <v>1233.9516039999999</v>
      </c>
    </row>
    <row r="734" spans="1:34" x14ac:dyDescent="0.3">
      <c r="A734" s="1">
        <v>1732</v>
      </c>
      <c r="B734" s="2">
        <v>45568</v>
      </c>
      <c r="C734" s="1" t="s">
        <v>26</v>
      </c>
      <c r="D734" s="1" t="s">
        <v>44</v>
      </c>
      <c r="E734" s="1" t="s">
        <v>16</v>
      </c>
      <c r="F734" s="1">
        <v>4749.59</v>
      </c>
      <c r="G734" s="1" t="s">
        <v>236</v>
      </c>
      <c r="H734" s="2">
        <v>36099</v>
      </c>
      <c r="I734" s="2">
        <v>45579</v>
      </c>
      <c r="J734" s="1">
        <v>25.38</v>
      </c>
      <c r="K734" s="4">
        <f t="shared" si="22"/>
        <v>1205.4459419999998</v>
      </c>
      <c r="L734" s="4">
        <f t="shared" si="23"/>
        <v>3544.1440580000003</v>
      </c>
    </row>
    <row r="735" spans="1:34" x14ac:dyDescent="0.3">
      <c r="A735" s="1">
        <v>1733</v>
      </c>
      <c r="B735" s="2">
        <v>44153</v>
      </c>
      <c r="C735" s="1" t="s">
        <v>26</v>
      </c>
      <c r="D735" s="1" t="s">
        <v>44</v>
      </c>
      <c r="E735" s="1" t="s">
        <v>16</v>
      </c>
      <c r="F735" s="1">
        <v>2900.73</v>
      </c>
      <c r="G735" s="1" t="s">
        <v>313</v>
      </c>
      <c r="H735" s="2">
        <v>23039</v>
      </c>
      <c r="I735" s="2">
        <v>44165</v>
      </c>
      <c r="J735" s="1">
        <v>29.58</v>
      </c>
      <c r="K735" s="4">
        <f t="shared" si="22"/>
        <v>858.035934</v>
      </c>
      <c r="L735" s="4">
        <f t="shared" si="23"/>
        <v>2042.694066</v>
      </c>
    </row>
    <row r="736" spans="1:34" x14ac:dyDescent="0.3">
      <c r="A736" s="1">
        <v>1734</v>
      </c>
      <c r="B736" s="2">
        <v>45350</v>
      </c>
      <c r="C736" s="1" t="s">
        <v>14</v>
      </c>
      <c r="D736" s="1" t="s">
        <v>58</v>
      </c>
      <c r="E736" s="1" t="s">
        <v>31</v>
      </c>
      <c r="F736" s="1">
        <v>4400.9399999999996</v>
      </c>
      <c r="G736" s="1" t="s">
        <v>275</v>
      </c>
      <c r="H736" s="2">
        <v>38510</v>
      </c>
      <c r="I736" s="2">
        <v>45359</v>
      </c>
      <c r="J736" s="1">
        <v>45.6</v>
      </c>
      <c r="K736" s="4">
        <f t="shared" si="22"/>
        <v>2006.82864</v>
      </c>
      <c r="L736" s="4">
        <f t="shared" si="23"/>
        <v>2394.1113599999999</v>
      </c>
    </row>
    <row r="737" spans="1:12" x14ac:dyDescent="0.3">
      <c r="A737" s="1">
        <v>1735</v>
      </c>
      <c r="B737" s="2">
        <v>44139</v>
      </c>
      <c r="C737" s="1" t="s">
        <v>10</v>
      </c>
      <c r="D737" s="1" t="s">
        <v>15</v>
      </c>
      <c r="E737" s="1" t="s">
        <v>16</v>
      </c>
      <c r="F737" s="1">
        <v>4781.58</v>
      </c>
      <c r="G737" s="1" t="s">
        <v>138</v>
      </c>
      <c r="H737" s="2">
        <v>25948</v>
      </c>
      <c r="I737" s="2">
        <v>44145</v>
      </c>
      <c r="J737" s="1">
        <v>23.78</v>
      </c>
      <c r="K737" s="4">
        <f t="shared" si="22"/>
        <v>1137.059724</v>
      </c>
      <c r="L737" s="4">
        <f t="shared" si="23"/>
        <v>3644.5202760000002</v>
      </c>
    </row>
    <row r="738" spans="1:12" x14ac:dyDescent="0.3">
      <c r="A738" s="1">
        <v>1736</v>
      </c>
      <c r="B738" s="2">
        <v>45336</v>
      </c>
      <c r="C738" s="1" t="s">
        <v>14</v>
      </c>
      <c r="D738" s="1" t="s">
        <v>22</v>
      </c>
      <c r="E738" s="1" t="s">
        <v>19</v>
      </c>
      <c r="F738" s="1">
        <v>4708.16</v>
      </c>
      <c r="G738" s="1" t="s">
        <v>249</v>
      </c>
      <c r="H738" s="2">
        <v>28555</v>
      </c>
      <c r="I738" s="2">
        <v>45347</v>
      </c>
      <c r="J738" s="1">
        <v>20.18</v>
      </c>
      <c r="K738" s="4">
        <f t="shared" si="22"/>
        <v>950.10668799999996</v>
      </c>
      <c r="L738" s="4">
        <f t="shared" si="23"/>
        <v>3758.053312</v>
      </c>
    </row>
    <row r="739" spans="1:12" x14ac:dyDescent="0.3">
      <c r="A739" s="1">
        <v>1737</v>
      </c>
      <c r="B739" s="2">
        <v>44907</v>
      </c>
      <c r="C739" s="1" t="s">
        <v>14</v>
      </c>
      <c r="D739" s="1" t="s">
        <v>44</v>
      </c>
      <c r="E739" s="1" t="s">
        <v>16</v>
      </c>
      <c r="F739" s="1">
        <v>3127.56</v>
      </c>
      <c r="G739" s="1" t="s">
        <v>193</v>
      </c>
      <c r="H739" s="2">
        <v>26082</v>
      </c>
      <c r="I739" s="2">
        <v>44920</v>
      </c>
      <c r="J739" s="1">
        <v>11.71</v>
      </c>
      <c r="K739" s="4">
        <f t="shared" si="22"/>
        <v>366.23727600000001</v>
      </c>
      <c r="L739" s="4">
        <f t="shared" si="23"/>
        <v>2761.3227240000001</v>
      </c>
    </row>
    <row r="740" spans="1:12" x14ac:dyDescent="0.3">
      <c r="A740" s="1">
        <v>1738</v>
      </c>
      <c r="B740" s="2">
        <v>45705</v>
      </c>
      <c r="C740" s="1" t="s">
        <v>14</v>
      </c>
      <c r="D740" s="1" t="s">
        <v>24</v>
      </c>
      <c r="E740" s="1" t="s">
        <v>19</v>
      </c>
      <c r="F740" s="1">
        <v>1103.3499999999999</v>
      </c>
      <c r="G740" s="1" t="s">
        <v>105</v>
      </c>
      <c r="H740" s="2">
        <v>35889</v>
      </c>
      <c r="I740" s="2">
        <v>45716</v>
      </c>
      <c r="J740" s="1">
        <v>37.68</v>
      </c>
      <c r="K740" s="4">
        <f t="shared" si="22"/>
        <v>415.74227999999999</v>
      </c>
      <c r="L740" s="4">
        <f t="shared" si="23"/>
        <v>687.60771999999997</v>
      </c>
    </row>
    <row r="741" spans="1:12" x14ac:dyDescent="0.3">
      <c r="A741" s="1">
        <v>1739</v>
      </c>
      <c r="B741" s="2">
        <v>45610</v>
      </c>
      <c r="C741" s="1" t="s">
        <v>35</v>
      </c>
      <c r="D741" s="1" t="s">
        <v>71</v>
      </c>
      <c r="E741" s="1" t="s">
        <v>31</v>
      </c>
      <c r="F741" s="1">
        <v>4516.29</v>
      </c>
      <c r="G741" s="1" t="s">
        <v>54</v>
      </c>
      <c r="H741" s="2">
        <v>31082</v>
      </c>
      <c r="I741" s="2">
        <v>45613</v>
      </c>
      <c r="J741" s="1">
        <v>25.53</v>
      </c>
      <c r="K741" s="4">
        <f t="shared" si="22"/>
        <v>1153.0088370000001</v>
      </c>
      <c r="L741" s="4">
        <f t="shared" si="23"/>
        <v>3363.2811629999997</v>
      </c>
    </row>
    <row r="742" spans="1:12" x14ac:dyDescent="0.3">
      <c r="A742" s="1">
        <v>1740</v>
      </c>
      <c r="B742" s="2">
        <v>45856</v>
      </c>
      <c r="C742" s="1" t="s">
        <v>10</v>
      </c>
      <c r="D742" s="1" t="s">
        <v>18</v>
      </c>
      <c r="E742" s="1" t="s">
        <v>19</v>
      </c>
      <c r="F742" s="1">
        <v>2521.89</v>
      </c>
      <c r="G742" s="1" t="s">
        <v>279</v>
      </c>
      <c r="H742" s="2">
        <v>38934</v>
      </c>
      <c r="I742" s="2">
        <v>45864</v>
      </c>
      <c r="J742" s="1">
        <v>18.59</v>
      </c>
      <c r="K742" s="4">
        <f t="shared" si="22"/>
        <v>468.81935099999998</v>
      </c>
      <c r="L742" s="4">
        <f t="shared" si="23"/>
        <v>2053.0706489999998</v>
      </c>
    </row>
    <row r="743" spans="1:12" x14ac:dyDescent="0.3">
      <c r="A743" s="1">
        <v>1741</v>
      </c>
      <c r="B743" s="2">
        <v>44786</v>
      </c>
      <c r="C743" s="1" t="s">
        <v>10</v>
      </c>
      <c r="D743" s="1" t="s">
        <v>40</v>
      </c>
      <c r="E743" s="1" t="s">
        <v>16</v>
      </c>
      <c r="F743" s="1">
        <v>507.92</v>
      </c>
      <c r="G743" s="1" t="s">
        <v>173</v>
      </c>
      <c r="H743" s="2">
        <v>22016</v>
      </c>
      <c r="I743" s="2">
        <v>44790</v>
      </c>
      <c r="J743" s="1">
        <v>15.96</v>
      </c>
      <c r="K743" s="4">
        <f t="shared" si="22"/>
        <v>81.064032000000012</v>
      </c>
      <c r="L743" s="4">
        <f t="shared" si="23"/>
        <v>426.85596800000002</v>
      </c>
    </row>
    <row r="744" spans="1:12" x14ac:dyDescent="0.3">
      <c r="A744" s="1">
        <v>1742</v>
      </c>
      <c r="B744" s="2">
        <v>45859</v>
      </c>
      <c r="C744" s="1" t="s">
        <v>26</v>
      </c>
      <c r="D744" s="1" t="s">
        <v>47</v>
      </c>
      <c r="E744" s="1" t="s">
        <v>12</v>
      </c>
      <c r="F744" s="1">
        <v>3946.68</v>
      </c>
      <c r="G744" s="1" t="s">
        <v>187</v>
      </c>
      <c r="H744" s="2">
        <v>30778</v>
      </c>
      <c r="I744" s="2">
        <v>45865</v>
      </c>
      <c r="J744" s="1">
        <v>40.43</v>
      </c>
      <c r="K744" s="4">
        <f t="shared" si="22"/>
        <v>1595.6427239999998</v>
      </c>
      <c r="L744" s="4">
        <f t="shared" si="23"/>
        <v>2351.037276</v>
      </c>
    </row>
    <row r="745" spans="1:12" x14ac:dyDescent="0.3">
      <c r="A745" s="1">
        <v>1743</v>
      </c>
      <c r="B745" s="2">
        <v>44234</v>
      </c>
      <c r="C745" s="1" t="s">
        <v>26</v>
      </c>
      <c r="D745" s="1" t="s">
        <v>24</v>
      </c>
      <c r="E745" s="1" t="s">
        <v>19</v>
      </c>
      <c r="F745" s="1">
        <v>2930.76</v>
      </c>
      <c r="G745" s="1" t="s">
        <v>263</v>
      </c>
      <c r="H745" s="2">
        <v>35629</v>
      </c>
      <c r="I745" s="2">
        <v>44247</v>
      </c>
      <c r="J745" s="1">
        <v>29.79</v>
      </c>
      <c r="K745" s="4">
        <f t="shared" si="22"/>
        <v>873.0734040000001</v>
      </c>
      <c r="L745" s="4">
        <f t="shared" si="23"/>
        <v>2057.686596</v>
      </c>
    </row>
    <row r="746" spans="1:12" x14ac:dyDescent="0.3">
      <c r="A746" s="1">
        <v>1744</v>
      </c>
      <c r="B746" s="2">
        <v>45828</v>
      </c>
      <c r="C746" s="1" t="s">
        <v>14</v>
      </c>
      <c r="D746" s="1" t="s">
        <v>69</v>
      </c>
      <c r="E746" s="1" t="s">
        <v>12</v>
      </c>
      <c r="F746" s="1">
        <v>774.89</v>
      </c>
      <c r="G746" s="1" t="s">
        <v>266</v>
      </c>
      <c r="H746" s="2">
        <v>32604</v>
      </c>
      <c r="I746" s="2">
        <v>45838</v>
      </c>
      <c r="J746" s="1">
        <v>26.39</v>
      </c>
      <c r="K746" s="4">
        <f t="shared" si="22"/>
        <v>204.49347100000003</v>
      </c>
      <c r="L746" s="4">
        <f t="shared" si="23"/>
        <v>570.39652899999999</v>
      </c>
    </row>
    <row r="747" spans="1:12" x14ac:dyDescent="0.3">
      <c r="A747" s="1">
        <v>1745</v>
      </c>
      <c r="B747" s="2">
        <v>45477</v>
      </c>
      <c r="C747" s="1" t="s">
        <v>10</v>
      </c>
      <c r="D747" s="1" t="s">
        <v>61</v>
      </c>
      <c r="E747" s="1" t="s">
        <v>19</v>
      </c>
      <c r="F747" s="1">
        <v>1967.8</v>
      </c>
      <c r="G747" s="1" t="s">
        <v>314</v>
      </c>
      <c r="H747" s="2">
        <v>31569</v>
      </c>
      <c r="I747" s="2">
        <v>45486</v>
      </c>
      <c r="J747" s="1">
        <v>32.020000000000003</v>
      </c>
      <c r="K747" s="4">
        <f t="shared" si="22"/>
        <v>630.08956000000012</v>
      </c>
      <c r="L747" s="4">
        <f t="shared" si="23"/>
        <v>1337.7104399999998</v>
      </c>
    </row>
    <row r="748" spans="1:12" x14ac:dyDescent="0.3">
      <c r="A748" s="1">
        <v>1746</v>
      </c>
      <c r="B748" s="2">
        <v>45711</v>
      </c>
      <c r="C748" s="1" t="s">
        <v>21</v>
      </c>
      <c r="D748" s="1" t="s">
        <v>49</v>
      </c>
      <c r="E748" s="1" t="s">
        <v>12</v>
      </c>
      <c r="F748" s="1">
        <v>653.76</v>
      </c>
      <c r="G748" s="1" t="s">
        <v>311</v>
      </c>
      <c r="H748" s="2">
        <v>29242</v>
      </c>
      <c r="I748" s="2">
        <v>45716</v>
      </c>
      <c r="J748" s="1">
        <v>27.02</v>
      </c>
      <c r="K748" s="4">
        <f t="shared" si="22"/>
        <v>176.64595199999999</v>
      </c>
      <c r="L748" s="4">
        <f t="shared" si="23"/>
        <v>477.11404800000003</v>
      </c>
    </row>
    <row r="749" spans="1:12" x14ac:dyDescent="0.3">
      <c r="A749" s="1">
        <v>1747</v>
      </c>
      <c r="B749" s="2">
        <v>45233</v>
      </c>
      <c r="C749" s="1" t="s">
        <v>21</v>
      </c>
      <c r="D749" s="1" t="s">
        <v>22</v>
      </c>
      <c r="E749" s="1" t="s">
        <v>19</v>
      </c>
      <c r="F749" s="1">
        <v>1925.73</v>
      </c>
      <c r="G749" s="1" t="s">
        <v>179</v>
      </c>
      <c r="H749" s="2">
        <v>30356</v>
      </c>
      <c r="I749" s="2">
        <v>45239</v>
      </c>
      <c r="J749" s="1">
        <v>21.89</v>
      </c>
      <c r="K749" s="4">
        <f t="shared" si="22"/>
        <v>421.54229700000002</v>
      </c>
      <c r="L749" s="4">
        <f t="shared" si="23"/>
        <v>1504.1877030000001</v>
      </c>
    </row>
    <row r="750" spans="1:12" x14ac:dyDescent="0.3">
      <c r="A750" s="1">
        <v>1748</v>
      </c>
      <c r="B750" s="2">
        <v>45877</v>
      </c>
      <c r="C750" s="1" t="s">
        <v>26</v>
      </c>
      <c r="D750" s="1" t="s">
        <v>65</v>
      </c>
      <c r="E750" s="1" t="s">
        <v>19</v>
      </c>
      <c r="F750" s="1">
        <v>4083.89</v>
      </c>
      <c r="G750" s="1" t="s">
        <v>315</v>
      </c>
      <c r="H750" s="2">
        <v>32330</v>
      </c>
      <c r="I750" s="2">
        <v>45879</v>
      </c>
      <c r="J750" s="1">
        <v>38.56</v>
      </c>
      <c r="K750" s="4">
        <f t="shared" si="22"/>
        <v>1574.7479839999999</v>
      </c>
      <c r="L750" s="4">
        <f t="shared" si="23"/>
        <v>2509.1420159999998</v>
      </c>
    </row>
    <row r="751" spans="1:12" x14ac:dyDescent="0.3">
      <c r="A751" s="1">
        <v>1749</v>
      </c>
      <c r="B751" s="2">
        <v>45202</v>
      </c>
      <c r="C751" s="1" t="s">
        <v>26</v>
      </c>
      <c r="D751" s="1" t="s">
        <v>58</v>
      </c>
      <c r="E751" s="1" t="s">
        <v>31</v>
      </c>
      <c r="F751" s="1">
        <v>3999.39</v>
      </c>
      <c r="G751" s="1" t="s">
        <v>276</v>
      </c>
      <c r="H751" s="2">
        <v>33394</v>
      </c>
      <c r="I751" s="2">
        <v>45207</v>
      </c>
      <c r="J751" s="1">
        <v>48.78</v>
      </c>
      <c r="K751" s="4">
        <f t="shared" si="22"/>
        <v>1950.9024420000001</v>
      </c>
      <c r="L751" s="4">
        <f t="shared" si="23"/>
        <v>2048.4875579999998</v>
      </c>
    </row>
    <row r="752" spans="1:12" x14ac:dyDescent="0.3">
      <c r="A752" s="1">
        <v>1750</v>
      </c>
      <c r="B752" s="2">
        <v>44989</v>
      </c>
      <c r="C752" s="1" t="s">
        <v>21</v>
      </c>
      <c r="D752" s="1" t="s">
        <v>53</v>
      </c>
      <c r="E752" s="1" t="s">
        <v>28</v>
      </c>
      <c r="F752" s="1">
        <v>1126.92</v>
      </c>
      <c r="G752" s="1" t="s">
        <v>166</v>
      </c>
      <c r="H752" s="2">
        <v>27879</v>
      </c>
      <c r="I752" s="2">
        <v>44990</v>
      </c>
      <c r="J752" s="1">
        <v>7.35</v>
      </c>
      <c r="K752" s="4">
        <f t="shared" si="22"/>
        <v>82.828620000000001</v>
      </c>
      <c r="L752" s="4">
        <f t="shared" si="23"/>
        <v>1044.0913800000001</v>
      </c>
    </row>
    <row r="753" spans="1:12" x14ac:dyDescent="0.3">
      <c r="A753" s="1">
        <v>1751</v>
      </c>
      <c r="B753" s="2">
        <v>44450</v>
      </c>
      <c r="C753" s="1" t="s">
        <v>10</v>
      </c>
      <c r="D753" s="1" t="s">
        <v>18</v>
      </c>
      <c r="E753" s="1" t="s">
        <v>19</v>
      </c>
      <c r="F753" s="1">
        <v>2959.72</v>
      </c>
      <c r="G753" s="1" t="s">
        <v>316</v>
      </c>
      <c r="H753" s="2">
        <v>36087</v>
      </c>
      <c r="I753" s="2">
        <v>44453</v>
      </c>
      <c r="J753" s="1">
        <v>13.94</v>
      </c>
      <c r="K753" s="4">
        <f t="shared" si="22"/>
        <v>412.58496799999995</v>
      </c>
      <c r="L753" s="4">
        <f t="shared" si="23"/>
        <v>2547.1350319999997</v>
      </c>
    </row>
    <row r="754" spans="1:12" x14ac:dyDescent="0.3">
      <c r="A754" s="1">
        <v>1752</v>
      </c>
      <c r="B754" s="2">
        <v>44174</v>
      </c>
      <c r="C754" s="1" t="s">
        <v>10</v>
      </c>
      <c r="D754" s="1" t="s">
        <v>58</v>
      </c>
      <c r="E754" s="1" t="s">
        <v>31</v>
      </c>
      <c r="F754" s="1">
        <v>3761.77</v>
      </c>
      <c r="G754" s="1" t="s">
        <v>195</v>
      </c>
      <c r="H754" s="2">
        <v>28065</v>
      </c>
      <c r="I754" s="2">
        <v>44188</v>
      </c>
      <c r="J754" s="1">
        <v>24.9</v>
      </c>
      <c r="K754" s="4">
        <f t="shared" si="22"/>
        <v>936.68073000000004</v>
      </c>
      <c r="L754" s="4">
        <f t="shared" si="23"/>
        <v>2825.0892699999999</v>
      </c>
    </row>
    <row r="755" spans="1:12" x14ac:dyDescent="0.3">
      <c r="A755" s="1">
        <v>1753</v>
      </c>
      <c r="B755" s="2">
        <v>44883</v>
      </c>
      <c r="C755" s="1" t="s">
        <v>21</v>
      </c>
      <c r="D755" s="1" t="s">
        <v>69</v>
      </c>
      <c r="E755" s="1" t="s">
        <v>31</v>
      </c>
      <c r="F755" s="1">
        <v>4614.51</v>
      </c>
      <c r="G755" s="1" t="s">
        <v>171</v>
      </c>
      <c r="H755" s="2">
        <v>31261</v>
      </c>
      <c r="I755" s="2">
        <v>44896</v>
      </c>
      <c r="J755" s="1">
        <v>34.75</v>
      </c>
      <c r="K755" s="4">
        <f t="shared" si="22"/>
        <v>1603.5422249999999</v>
      </c>
      <c r="L755" s="4">
        <f t="shared" si="23"/>
        <v>3010.9677750000001</v>
      </c>
    </row>
    <row r="756" spans="1:12" x14ac:dyDescent="0.3">
      <c r="A756" s="1">
        <v>1754</v>
      </c>
      <c r="B756" s="2">
        <v>45139</v>
      </c>
      <c r="C756" s="1" t="s">
        <v>14</v>
      </c>
      <c r="D756" s="1" t="s">
        <v>40</v>
      </c>
      <c r="E756" s="1" t="s">
        <v>16</v>
      </c>
      <c r="F756" s="1">
        <v>3877.12</v>
      </c>
      <c r="G756" s="1" t="s">
        <v>317</v>
      </c>
      <c r="H756" s="2">
        <v>32196</v>
      </c>
      <c r="I756" s="2">
        <v>45145</v>
      </c>
      <c r="J756" s="1">
        <v>34.380000000000003</v>
      </c>
      <c r="K756" s="4">
        <f t="shared" si="22"/>
        <v>1332.9538560000001</v>
      </c>
      <c r="L756" s="4">
        <f t="shared" si="23"/>
        <v>2544.1661439999998</v>
      </c>
    </row>
    <row r="757" spans="1:12" x14ac:dyDescent="0.3">
      <c r="A757" s="1">
        <v>1755</v>
      </c>
      <c r="B757" s="2">
        <v>45562</v>
      </c>
      <c r="C757" s="1" t="s">
        <v>14</v>
      </c>
      <c r="D757" s="1" t="s">
        <v>69</v>
      </c>
      <c r="E757" s="1" t="s">
        <v>12</v>
      </c>
      <c r="F757" s="1">
        <v>3026.11</v>
      </c>
      <c r="G757" s="1" t="s">
        <v>318</v>
      </c>
      <c r="H757" s="2">
        <v>29040</v>
      </c>
      <c r="I757" s="2">
        <v>45567</v>
      </c>
      <c r="J757" s="1">
        <v>16.989999999999998</v>
      </c>
      <c r="K757" s="4">
        <f t="shared" si="22"/>
        <v>514.13608899999997</v>
      </c>
      <c r="L757" s="4">
        <f t="shared" si="23"/>
        <v>2511.973911</v>
      </c>
    </row>
    <row r="758" spans="1:12" x14ac:dyDescent="0.3">
      <c r="A758" s="1">
        <v>1756</v>
      </c>
      <c r="B758" s="2">
        <v>44801</v>
      </c>
      <c r="C758" s="1" t="s">
        <v>21</v>
      </c>
      <c r="D758" s="1" t="s">
        <v>53</v>
      </c>
      <c r="E758" s="1" t="s">
        <v>28</v>
      </c>
      <c r="F758" s="1">
        <v>3805.23</v>
      </c>
      <c r="G758" s="1" t="s">
        <v>319</v>
      </c>
      <c r="H758" s="2">
        <v>36068</v>
      </c>
      <c r="I758" s="2">
        <v>44803</v>
      </c>
      <c r="J758" s="1">
        <v>27.67</v>
      </c>
      <c r="K758" s="4">
        <f t="shared" si="22"/>
        <v>1052.9071409999999</v>
      </c>
      <c r="L758" s="4">
        <f t="shared" si="23"/>
        <v>2752.3228589999999</v>
      </c>
    </row>
    <row r="759" spans="1:12" x14ac:dyDescent="0.3">
      <c r="A759" s="1">
        <v>1757</v>
      </c>
      <c r="B759" s="2">
        <v>45771</v>
      </c>
      <c r="C759" s="1" t="s">
        <v>26</v>
      </c>
      <c r="D759" s="1" t="s">
        <v>47</v>
      </c>
      <c r="E759" s="1" t="s">
        <v>12</v>
      </c>
      <c r="F759" s="1">
        <v>2560.04</v>
      </c>
      <c r="G759" s="1" t="s">
        <v>182</v>
      </c>
      <c r="H759" s="2">
        <v>24719</v>
      </c>
      <c r="I759" s="2">
        <v>45784</v>
      </c>
      <c r="J759" s="1">
        <v>41.04</v>
      </c>
      <c r="K759" s="4">
        <f t="shared" si="22"/>
        <v>1050.640416</v>
      </c>
      <c r="L759" s="4">
        <f t="shared" si="23"/>
        <v>1509.399584</v>
      </c>
    </row>
    <row r="760" spans="1:12" x14ac:dyDescent="0.3">
      <c r="A760" s="1">
        <v>1758</v>
      </c>
      <c r="B760" s="2">
        <v>44125</v>
      </c>
      <c r="C760" s="1" t="s">
        <v>14</v>
      </c>
      <c r="D760" s="1" t="s">
        <v>55</v>
      </c>
      <c r="E760" s="1" t="s">
        <v>31</v>
      </c>
      <c r="F760" s="1">
        <v>4390.6899999999996</v>
      </c>
      <c r="G760" s="1" t="s">
        <v>197</v>
      </c>
      <c r="H760" s="2">
        <v>26001</v>
      </c>
      <c r="I760" s="2">
        <v>44131</v>
      </c>
      <c r="J760" s="1">
        <v>2.13</v>
      </c>
      <c r="K760" s="4">
        <f t="shared" si="22"/>
        <v>93.521696999999989</v>
      </c>
      <c r="L760" s="4">
        <f t="shared" si="23"/>
        <v>4297.1683029999995</v>
      </c>
    </row>
    <row r="761" spans="1:12" x14ac:dyDescent="0.3">
      <c r="A761" s="1">
        <v>1759</v>
      </c>
      <c r="B761" s="2">
        <v>44527</v>
      </c>
      <c r="C761" s="1" t="s">
        <v>21</v>
      </c>
      <c r="D761" s="1" t="s">
        <v>49</v>
      </c>
      <c r="E761" s="1" t="s">
        <v>12</v>
      </c>
      <c r="F761" s="1">
        <v>2663.45</v>
      </c>
      <c r="G761" s="1" t="s">
        <v>29</v>
      </c>
      <c r="H761" s="2">
        <v>24033</v>
      </c>
      <c r="I761" s="2">
        <v>44539</v>
      </c>
      <c r="J761" s="1">
        <v>22.44</v>
      </c>
      <c r="K761" s="4">
        <f t="shared" si="22"/>
        <v>597.67818</v>
      </c>
      <c r="L761" s="4">
        <f t="shared" si="23"/>
        <v>2065.7718199999999</v>
      </c>
    </row>
    <row r="762" spans="1:12" x14ac:dyDescent="0.3">
      <c r="A762" s="1">
        <v>1760</v>
      </c>
      <c r="B762" s="2">
        <v>45011</v>
      </c>
      <c r="C762" s="1" t="s">
        <v>10</v>
      </c>
      <c r="D762" s="1" t="s">
        <v>47</v>
      </c>
      <c r="E762" s="1" t="s">
        <v>12</v>
      </c>
      <c r="F762" s="1">
        <v>4430.37</v>
      </c>
      <c r="G762" s="1" t="s">
        <v>42</v>
      </c>
      <c r="H762" s="2">
        <v>26027</v>
      </c>
      <c r="I762" s="2">
        <v>45025</v>
      </c>
      <c r="J762" s="1">
        <v>32.93</v>
      </c>
      <c r="K762" s="4">
        <f t="shared" si="22"/>
        <v>1458.9208409999999</v>
      </c>
      <c r="L762" s="4">
        <f t="shared" si="23"/>
        <v>2971.4491589999998</v>
      </c>
    </row>
    <row r="763" spans="1:12" x14ac:dyDescent="0.3">
      <c r="A763" s="1">
        <v>1761</v>
      </c>
      <c r="B763" s="2">
        <v>44245</v>
      </c>
      <c r="C763" s="1" t="s">
        <v>21</v>
      </c>
      <c r="D763" s="1" t="s">
        <v>15</v>
      </c>
      <c r="E763" s="1" t="s">
        <v>16</v>
      </c>
      <c r="F763" s="1">
        <v>2568.0700000000002</v>
      </c>
      <c r="G763" s="1" t="s">
        <v>262</v>
      </c>
      <c r="H763" s="2">
        <v>36590</v>
      </c>
      <c r="I763" s="2">
        <v>44254</v>
      </c>
      <c r="J763" s="1">
        <v>20.55</v>
      </c>
      <c r="K763" s="4">
        <f t="shared" si="22"/>
        <v>527.73838500000011</v>
      </c>
      <c r="L763" s="4">
        <f t="shared" si="23"/>
        <v>2040.3316150000001</v>
      </c>
    </row>
    <row r="764" spans="1:12" x14ac:dyDescent="0.3">
      <c r="A764" s="1">
        <v>1762</v>
      </c>
      <c r="B764" s="2">
        <v>44655</v>
      </c>
      <c r="C764" s="1" t="s">
        <v>14</v>
      </c>
      <c r="D764" s="1" t="s">
        <v>44</v>
      </c>
      <c r="E764" s="1" t="s">
        <v>16</v>
      </c>
      <c r="F764" s="1">
        <v>429.92</v>
      </c>
      <c r="G764" s="1" t="s">
        <v>264</v>
      </c>
      <c r="H764" s="2">
        <v>30232</v>
      </c>
      <c r="I764" s="2">
        <v>44668</v>
      </c>
      <c r="J764" s="1">
        <v>5.82</v>
      </c>
      <c r="K764" s="4">
        <f t="shared" si="22"/>
        <v>25.021344000000003</v>
      </c>
      <c r="L764" s="4">
        <f t="shared" si="23"/>
        <v>404.89865600000002</v>
      </c>
    </row>
    <row r="765" spans="1:12" x14ac:dyDescent="0.3">
      <c r="A765" s="1">
        <v>1763</v>
      </c>
      <c r="B765" s="2">
        <v>44063</v>
      </c>
      <c r="C765" s="1" t="s">
        <v>10</v>
      </c>
      <c r="D765" s="1" t="s">
        <v>71</v>
      </c>
      <c r="E765" s="1" t="s">
        <v>31</v>
      </c>
      <c r="F765" s="1">
        <v>965.67</v>
      </c>
      <c r="G765" s="1" t="s">
        <v>230</v>
      </c>
      <c r="H765" s="2">
        <v>35642</v>
      </c>
      <c r="I765" s="2">
        <v>44071</v>
      </c>
      <c r="J765" s="1">
        <v>13.52</v>
      </c>
      <c r="K765" s="4">
        <f t="shared" si="22"/>
        <v>130.55858399999997</v>
      </c>
      <c r="L765" s="4">
        <f t="shared" si="23"/>
        <v>835.11141599999996</v>
      </c>
    </row>
    <row r="766" spans="1:12" x14ac:dyDescent="0.3">
      <c r="A766" s="1">
        <v>1764</v>
      </c>
      <c r="B766" s="2">
        <v>44839</v>
      </c>
      <c r="C766" s="1" t="s">
        <v>14</v>
      </c>
      <c r="D766" s="1" t="s">
        <v>33</v>
      </c>
      <c r="E766" s="1" t="s">
        <v>16</v>
      </c>
      <c r="F766" s="1">
        <v>1984.75</v>
      </c>
      <c r="G766" s="1" t="s">
        <v>170</v>
      </c>
      <c r="H766" s="2">
        <v>34205</v>
      </c>
      <c r="I766" s="2">
        <v>44852</v>
      </c>
      <c r="J766" s="1">
        <v>25.56</v>
      </c>
      <c r="K766" s="4">
        <f t="shared" si="22"/>
        <v>507.3021</v>
      </c>
      <c r="L766" s="4">
        <f t="shared" si="23"/>
        <v>1477.4479000000001</v>
      </c>
    </row>
    <row r="767" spans="1:12" x14ac:dyDescent="0.3">
      <c r="A767" s="1">
        <v>1765</v>
      </c>
      <c r="B767" s="2">
        <v>45761</v>
      </c>
      <c r="C767" s="1" t="s">
        <v>21</v>
      </c>
      <c r="D767" s="1" t="s">
        <v>102</v>
      </c>
      <c r="E767" s="1" t="s">
        <v>12</v>
      </c>
      <c r="F767" s="1">
        <v>371.15</v>
      </c>
      <c r="G767" s="1" t="s">
        <v>218</v>
      </c>
      <c r="H767" s="2">
        <v>29792</v>
      </c>
      <c r="I767" s="2">
        <v>45764</v>
      </c>
      <c r="J767" s="1">
        <v>13.58</v>
      </c>
      <c r="K767" s="4">
        <f t="shared" si="22"/>
        <v>50.402169999999998</v>
      </c>
      <c r="L767" s="4">
        <f t="shared" si="23"/>
        <v>320.74782999999996</v>
      </c>
    </row>
    <row r="768" spans="1:12" x14ac:dyDescent="0.3">
      <c r="A768" s="1">
        <v>1766</v>
      </c>
      <c r="B768" s="2">
        <v>45791</v>
      </c>
      <c r="C768" s="1" t="s">
        <v>21</v>
      </c>
      <c r="D768" s="1" t="s">
        <v>69</v>
      </c>
      <c r="E768" s="1" t="s">
        <v>12</v>
      </c>
      <c r="F768" s="1">
        <v>2705.32</v>
      </c>
      <c r="G768" s="1" t="s">
        <v>290</v>
      </c>
      <c r="H768" s="2">
        <v>31764</v>
      </c>
      <c r="I768" s="2">
        <v>45794</v>
      </c>
      <c r="J768" s="1">
        <v>33.67</v>
      </c>
      <c r="K768" s="4">
        <f t="shared" si="22"/>
        <v>910.88124400000004</v>
      </c>
      <c r="L768" s="4">
        <f t="shared" si="23"/>
        <v>1794.438756</v>
      </c>
    </row>
    <row r="769" spans="1:12" x14ac:dyDescent="0.3">
      <c r="A769" s="1">
        <v>1767</v>
      </c>
      <c r="B769" s="2">
        <v>44746</v>
      </c>
      <c r="C769" s="1" t="s">
        <v>26</v>
      </c>
      <c r="D769" s="1" t="s">
        <v>18</v>
      </c>
      <c r="E769" s="1" t="s">
        <v>19</v>
      </c>
      <c r="F769" s="1">
        <v>843.92</v>
      </c>
      <c r="G769" s="1" t="s">
        <v>76</v>
      </c>
      <c r="H769" s="2">
        <v>37049</v>
      </c>
      <c r="I769" s="2">
        <v>44753</v>
      </c>
      <c r="J769" s="1">
        <v>45.25</v>
      </c>
      <c r="K769" s="4">
        <f t="shared" si="22"/>
        <v>381.87380000000002</v>
      </c>
      <c r="L769" s="4">
        <f t="shared" si="23"/>
        <v>462.04619999999994</v>
      </c>
    </row>
    <row r="770" spans="1:12" x14ac:dyDescent="0.3">
      <c r="A770" s="1">
        <v>1768</v>
      </c>
      <c r="B770" s="2">
        <v>45739</v>
      </c>
      <c r="C770" s="1" t="s">
        <v>26</v>
      </c>
      <c r="D770" s="1" t="s">
        <v>22</v>
      </c>
      <c r="E770" s="1" t="s">
        <v>19</v>
      </c>
      <c r="F770" s="1">
        <v>551.48</v>
      </c>
      <c r="G770" s="1" t="s">
        <v>168</v>
      </c>
      <c r="H770" s="2">
        <v>37674</v>
      </c>
      <c r="I770" s="2">
        <v>45748</v>
      </c>
      <c r="J770" s="1">
        <v>27.97</v>
      </c>
      <c r="K770" s="4">
        <f t="shared" si="22"/>
        <v>154.24895600000002</v>
      </c>
      <c r="L770" s="4">
        <f t="shared" si="23"/>
        <v>397.231044</v>
      </c>
    </row>
    <row r="771" spans="1:12" x14ac:dyDescent="0.3">
      <c r="A771" s="1">
        <v>1769</v>
      </c>
      <c r="B771" s="2">
        <v>45072</v>
      </c>
      <c r="C771" s="1" t="s">
        <v>14</v>
      </c>
      <c r="D771" s="1" t="s">
        <v>36</v>
      </c>
      <c r="E771" s="1" t="s">
        <v>28</v>
      </c>
      <c r="F771" s="1">
        <v>2238.04</v>
      </c>
      <c r="G771" s="1" t="s">
        <v>230</v>
      </c>
      <c r="H771" s="2">
        <v>35642</v>
      </c>
      <c r="I771" s="2">
        <v>45086</v>
      </c>
      <c r="J771" s="1">
        <v>11.51</v>
      </c>
      <c r="K771" s="4">
        <f t="shared" ref="K771:K834" si="24">F771*J771%</f>
        <v>257.59840399999996</v>
      </c>
      <c r="L771" s="4">
        <f t="shared" ref="L771:L834" si="25">F771-K771</f>
        <v>1980.4415960000001</v>
      </c>
    </row>
    <row r="772" spans="1:12" x14ac:dyDescent="0.3">
      <c r="A772" s="1">
        <v>1770</v>
      </c>
      <c r="B772" s="2">
        <v>45391</v>
      </c>
      <c r="C772" s="1" t="s">
        <v>21</v>
      </c>
      <c r="D772" s="1" t="s">
        <v>11</v>
      </c>
      <c r="E772" s="1" t="s">
        <v>12</v>
      </c>
      <c r="F772" s="1">
        <v>2417.52</v>
      </c>
      <c r="G772" s="1" t="s">
        <v>37</v>
      </c>
      <c r="H772" s="2">
        <v>27534</v>
      </c>
      <c r="I772" s="2">
        <v>45393</v>
      </c>
      <c r="J772" s="1">
        <v>25.77</v>
      </c>
      <c r="K772" s="4">
        <f t="shared" si="24"/>
        <v>622.99490399999991</v>
      </c>
      <c r="L772" s="4">
        <f t="shared" si="25"/>
        <v>1794.5250960000001</v>
      </c>
    </row>
    <row r="773" spans="1:12" x14ac:dyDescent="0.3">
      <c r="A773" s="1">
        <v>1771</v>
      </c>
      <c r="B773" s="2">
        <v>45843</v>
      </c>
      <c r="C773" s="1" t="s">
        <v>21</v>
      </c>
      <c r="D773" s="1" t="s">
        <v>49</v>
      </c>
      <c r="E773" s="1" t="s">
        <v>12</v>
      </c>
      <c r="F773" s="1">
        <v>960.47</v>
      </c>
      <c r="G773" s="1" t="s">
        <v>241</v>
      </c>
      <c r="H773" s="2">
        <v>31880</v>
      </c>
      <c r="I773" s="2">
        <v>45847</v>
      </c>
      <c r="J773" s="1">
        <v>2.1800000000000002</v>
      </c>
      <c r="K773" s="4">
        <f t="shared" si="24"/>
        <v>20.938245999999999</v>
      </c>
      <c r="L773" s="4">
        <f t="shared" si="25"/>
        <v>939.53175399999998</v>
      </c>
    </row>
    <row r="774" spans="1:12" x14ac:dyDescent="0.3">
      <c r="A774" s="1">
        <v>1772</v>
      </c>
      <c r="B774" s="2">
        <v>44233</v>
      </c>
      <c r="C774" s="1" t="s">
        <v>14</v>
      </c>
      <c r="D774" s="1" t="s">
        <v>15</v>
      </c>
      <c r="E774" s="1" t="s">
        <v>16</v>
      </c>
      <c r="F774" s="1">
        <v>390.05</v>
      </c>
      <c r="G774" s="1" t="s">
        <v>79</v>
      </c>
      <c r="H774" s="2">
        <v>28675</v>
      </c>
      <c r="I774" s="2">
        <v>44235</v>
      </c>
      <c r="J774" s="1">
        <v>34.19</v>
      </c>
      <c r="K774" s="4">
        <f t="shared" si="24"/>
        <v>133.35809499999999</v>
      </c>
      <c r="L774" s="4">
        <f t="shared" si="25"/>
        <v>256.69190500000002</v>
      </c>
    </row>
    <row r="775" spans="1:12" x14ac:dyDescent="0.3">
      <c r="A775" s="1">
        <v>1773</v>
      </c>
      <c r="B775" s="2">
        <v>45104</v>
      </c>
      <c r="C775" s="1" t="s">
        <v>35</v>
      </c>
      <c r="D775" s="1" t="s">
        <v>27</v>
      </c>
      <c r="E775" s="1" t="s">
        <v>28</v>
      </c>
      <c r="F775" s="1">
        <v>3826.79</v>
      </c>
      <c r="G775" s="1" t="s">
        <v>309</v>
      </c>
      <c r="H775" s="2">
        <v>23838</v>
      </c>
      <c r="I775" s="2">
        <v>45113</v>
      </c>
      <c r="J775" s="1">
        <v>29.62</v>
      </c>
      <c r="K775" s="4">
        <f t="shared" si="24"/>
        <v>1133.4951980000001</v>
      </c>
      <c r="L775" s="4">
        <f t="shared" si="25"/>
        <v>2693.2948019999999</v>
      </c>
    </row>
    <row r="776" spans="1:12" x14ac:dyDescent="0.3">
      <c r="A776" s="1">
        <v>1774</v>
      </c>
      <c r="B776" s="2">
        <v>45090</v>
      </c>
      <c r="C776" s="1" t="s">
        <v>10</v>
      </c>
      <c r="D776" s="1" t="s">
        <v>40</v>
      </c>
      <c r="E776" s="1" t="s">
        <v>16</v>
      </c>
      <c r="F776" s="1">
        <v>3560.29</v>
      </c>
      <c r="G776" s="1" t="s">
        <v>109</v>
      </c>
      <c r="H776" s="2">
        <v>26011</v>
      </c>
      <c r="I776" s="2">
        <v>45094</v>
      </c>
      <c r="J776" s="1">
        <v>9.93</v>
      </c>
      <c r="K776" s="4">
        <f t="shared" si="24"/>
        <v>353.53679699999998</v>
      </c>
      <c r="L776" s="4">
        <f t="shared" si="25"/>
        <v>3206.7532030000002</v>
      </c>
    </row>
    <row r="777" spans="1:12" x14ac:dyDescent="0.3">
      <c r="A777" s="1">
        <v>1775</v>
      </c>
      <c r="B777" s="2">
        <v>45359</v>
      </c>
      <c r="C777" s="1" t="s">
        <v>26</v>
      </c>
      <c r="D777" s="1" t="s">
        <v>61</v>
      </c>
      <c r="E777" s="1" t="s">
        <v>19</v>
      </c>
      <c r="F777" s="1">
        <v>4924.91</v>
      </c>
      <c r="G777" s="1" t="s">
        <v>90</v>
      </c>
      <c r="H777" s="2">
        <v>29348</v>
      </c>
      <c r="I777" s="2">
        <v>45362</v>
      </c>
      <c r="J777" s="1">
        <v>9.5399999999999991</v>
      </c>
      <c r="K777" s="4">
        <f t="shared" si="24"/>
        <v>469.83641399999993</v>
      </c>
      <c r="L777" s="4">
        <f t="shared" si="25"/>
        <v>4455.0735859999995</v>
      </c>
    </row>
    <row r="778" spans="1:12" x14ac:dyDescent="0.3">
      <c r="A778" s="1">
        <v>1776</v>
      </c>
      <c r="B778" s="2">
        <v>45169</v>
      </c>
      <c r="C778" s="1" t="s">
        <v>35</v>
      </c>
      <c r="D778" s="1" t="s">
        <v>65</v>
      </c>
      <c r="E778" s="1" t="s">
        <v>19</v>
      </c>
      <c r="F778" s="1">
        <v>1299.29</v>
      </c>
      <c r="G778" s="1" t="s">
        <v>104</v>
      </c>
      <c r="H778" s="2">
        <v>24852</v>
      </c>
      <c r="I778" s="2">
        <v>45176</v>
      </c>
      <c r="J778" s="1">
        <v>6.68</v>
      </c>
      <c r="K778" s="4">
        <f t="shared" si="24"/>
        <v>86.792571999999993</v>
      </c>
      <c r="L778" s="4">
        <f t="shared" si="25"/>
        <v>1212.4974279999999</v>
      </c>
    </row>
    <row r="779" spans="1:12" x14ac:dyDescent="0.3">
      <c r="A779" s="1">
        <v>1777</v>
      </c>
      <c r="B779" s="2">
        <v>44671</v>
      </c>
      <c r="C779" s="1" t="s">
        <v>35</v>
      </c>
      <c r="D779" s="1" t="s">
        <v>22</v>
      </c>
      <c r="E779" s="1" t="s">
        <v>19</v>
      </c>
      <c r="F779" s="1">
        <v>1760.76</v>
      </c>
      <c r="G779" s="1" t="s">
        <v>308</v>
      </c>
      <c r="H779" s="2">
        <v>35336</v>
      </c>
      <c r="I779" s="2">
        <v>44681</v>
      </c>
      <c r="J779" s="1">
        <v>39.549999999999997</v>
      </c>
      <c r="K779" s="4">
        <f t="shared" si="24"/>
        <v>696.3805799999999</v>
      </c>
      <c r="L779" s="4">
        <f t="shared" si="25"/>
        <v>1064.3794200000002</v>
      </c>
    </row>
    <row r="780" spans="1:12" x14ac:dyDescent="0.3">
      <c r="A780" s="1">
        <v>1778</v>
      </c>
      <c r="B780" s="2">
        <v>44901</v>
      </c>
      <c r="C780" s="1" t="s">
        <v>14</v>
      </c>
      <c r="D780" s="1" t="s">
        <v>44</v>
      </c>
      <c r="E780" s="1" t="s">
        <v>16</v>
      </c>
      <c r="F780" s="1">
        <v>2990.03</v>
      </c>
      <c r="G780" s="1" t="s">
        <v>93</v>
      </c>
      <c r="H780" s="2">
        <v>33984</v>
      </c>
      <c r="I780" s="2">
        <v>44904</v>
      </c>
      <c r="J780" s="1">
        <v>29.8</v>
      </c>
      <c r="K780" s="4">
        <f t="shared" si="24"/>
        <v>891.02894000000003</v>
      </c>
      <c r="L780" s="4">
        <f t="shared" si="25"/>
        <v>2099.0010600000001</v>
      </c>
    </row>
    <row r="781" spans="1:12" x14ac:dyDescent="0.3">
      <c r="A781" s="1">
        <v>1779</v>
      </c>
      <c r="B781" s="2">
        <v>44284</v>
      </c>
      <c r="C781" s="1" t="s">
        <v>14</v>
      </c>
      <c r="D781" s="1" t="s">
        <v>47</v>
      </c>
      <c r="E781" s="1" t="s">
        <v>12</v>
      </c>
      <c r="F781" s="1">
        <v>1216.47</v>
      </c>
      <c r="G781" s="1" t="s">
        <v>117</v>
      </c>
      <c r="H781" s="2">
        <v>23513</v>
      </c>
      <c r="I781" s="2">
        <v>44286</v>
      </c>
      <c r="J781" s="1">
        <v>29.78</v>
      </c>
      <c r="K781" s="4">
        <f t="shared" si="24"/>
        <v>362.26476600000001</v>
      </c>
      <c r="L781" s="4">
        <f t="shared" si="25"/>
        <v>854.20523400000002</v>
      </c>
    </row>
    <row r="782" spans="1:12" x14ac:dyDescent="0.3">
      <c r="A782" s="1">
        <v>1780</v>
      </c>
      <c r="B782" s="2">
        <v>45320</v>
      </c>
      <c r="C782" s="1" t="s">
        <v>26</v>
      </c>
      <c r="D782" s="1" t="s">
        <v>61</v>
      </c>
      <c r="E782" s="1" t="s">
        <v>19</v>
      </c>
      <c r="F782" s="1">
        <v>2788.33</v>
      </c>
      <c r="G782" s="1" t="s">
        <v>207</v>
      </c>
      <c r="H782" s="2">
        <v>23988</v>
      </c>
      <c r="I782" s="2">
        <v>45329</v>
      </c>
      <c r="J782" s="1">
        <v>28.84</v>
      </c>
      <c r="K782" s="4">
        <f t="shared" si="24"/>
        <v>804.15437199999997</v>
      </c>
      <c r="L782" s="4">
        <f t="shared" si="25"/>
        <v>1984.175628</v>
      </c>
    </row>
    <row r="783" spans="1:12" x14ac:dyDescent="0.3">
      <c r="A783" s="1">
        <v>1781</v>
      </c>
      <c r="B783" s="2">
        <v>44278</v>
      </c>
      <c r="C783" s="1" t="s">
        <v>14</v>
      </c>
      <c r="D783" s="1" t="s">
        <v>33</v>
      </c>
      <c r="E783" s="1" t="s">
        <v>16</v>
      </c>
      <c r="F783" s="1">
        <v>3877.12</v>
      </c>
      <c r="G783" s="1" t="s">
        <v>185</v>
      </c>
      <c r="H783" s="2">
        <v>36384</v>
      </c>
      <c r="I783" s="2">
        <v>44282</v>
      </c>
      <c r="J783" s="1">
        <v>2.7</v>
      </c>
      <c r="K783" s="4">
        <f t="shared" si="24"/>
        <v>104.68224000000001</v>
      </c>
      <c r="L783" s="4">
        <f t="shared" si="25"/>
        <v>3772.4377599999998</v>
      </c>
    </row>
    <row r="784" spans="1:12" x14ac:dyDescent="0.3">
      <c r="A784" s="1">
        <v>1782</v>
      </c>
      <c r="B784" s="2">
        <v>44700</v>
      </c>
      <c r="C784" s="1" t="s">
        <v>35</v>
      </c>
      <c r="D784" s="1" t="s">
        <v>36</v>
      </c>
      <c r="E784" s="1" t="s">
        <v>28</v>
      </c>
      <c r="F784" s="1">
        <v>1889.33</v>
      </c>
      <c r="G784" s="1" t="s">
        <v>86</v>
      </c>
      <c r="H784" s="2">
        <v>37858</v>
      </c>
      <c r="I784" s="2">
        <v>44707</v>
      </c>
      <c r="J784" s="1">
        <v>49.28</v>
      </c>
      <c r="K784" s="4">
        <f t="shared" si="24"/>
        <v>931.061824</v>
      </c>
      <c r="L784" s="4">
        <f t="shared" si="25"/>
        <v>958.26817599999993</v>
      </c>
    </row>
    <row r="785" spans="1:12" x14ac:dyDescent="0.3">
      <c r="A785" s="1">
        <v>1783</v>
      </c>
      <c r="B785" s="2">
        <v>44504</v>
      </c>
      <c r="C785" s="1" t="s">
        <v>21</v>
      </c>
      <c r="D785" s="1" t="s">
        <v>33</v>
      </c>
      <c r="E785" s="1" t="s">
        <v>16</v>
      </c>
      <c r="F785" s="1">
        <v>2085.2600000000002</v>
      </c>
      <c r="G785" s="1" t="s">
        <v>114</v>
      </c>
      <c r="H785" s="2">
        <v>28543</v>
      </c>
      <c r="I785" s="2">
        <v>44508</v>
      </c>
      <c r="J785" s="1">
        <v>30.59</v>
      </c>
      <c r="K785" s="4">
        <f t="shared" si="24"/>
        <v>637.88103400000011</v>
      </c>
      <c r="L785" s="4">
        <f t="shared" si="25"/>
        <v>1447.3789660000002</v>
      </c>
    </row>
    <row r="786" spans="1:12" x14ac:dyDescent="0.3">
      <c r="A786" s="1">
        <v>1784</v>
      </c>
      <c r="B786" s="2">
        <v>45793</v>
      </c>
      <c r="C786" s="1" t="s">
        <v>14</v>
      </c>
      <c r="D786" s="1" t="s">
        <v>33</v>
      </c>
      <c r="E786" s="1" t="s">
        <v>16</v>
      </c>
      <c r="F786" s="1">
        <v>2041.7</v>
      </c>
      <c r="G786" s="1" t="s">
        <v>221</v>
      </c>
      <c r="H786" s="2">
        <v>35658</v>
      </c>
      <c r="I786" s="2">
        <v>45802</v>
      </c>
      <c r="J786" s="1">
        <v>47.56</v>
      </c>
      <c r="K786" s="4">
        <f t="shared" si="24"/>
        <v>971.03252000000009</v>
      </c>
      <c r="L786" s="4">
        <f t="shared" si="25"/>
        <v>1070.6674800000001</v>
      </c>
    </row>
    <row r="787" spans="1:12" x14ac:dyDescent="0.3">
      <c r="A787" s="1">
        <v>1785</v>
      </c>
      <c r="B787" s="2">
        <v>44064</v>
      </c>
      <c r="C787" s="1" t="s">
        <v>21</v>
      </c>
      <c r="D787" s="1" t="s">
        <v>36</v>
      </c>
      <c r="E787" s="1" t="s">
        <v>28</v>
      </c>
      <c r="F787" s="1">
        <v>2279.2800000000002</v>
      </c>
      <c r="G787" s="1" t="s">
        <v>13</v>
      </c>
      <c r="H787" s="2">
        <v>24348</v>
      </c>
      <c r="I787" s="2">
        <v>44075</v>
      </c>
      <c r="J787" s="1">
        <v>41.99</v>
      </c>
      <c r="K787" s="4">
        <f t="shared" si="24"/>
        <v>957.06967200000008</v>
      </c>
      <c r="L787" s="4">
        <f t="shared" si="25"/>
        <v>1322.2103280000001</v>
      </c>
    </row>
    <row r="788" spans="1:12" x14ac:dyDescent="0.3">
      <c r="A788" s="1">
        <v>1786</v>
      </c>
      <c r="B788" s="2">
        <v>44748</v>
      </c>
      <c r="C788" s="1" t="s">
        <v>26</v>
      </c>
      <c r="D788" s="1" t="s">
        <v>40</v>
      </c>
      <c r="E788" s="1" t="s">
        <v>16</v>
      </c>
      <c r="F788" s="1">
        <v>3051.55</v>
      </c>
      <c r="G788" s="1" t="s">
        <v>313</v>
      </c>
      <c r="H788" s="2">
        <v>23039</v>
      </c>
      <c r="I788" s="2">
        <v>44761</v>
      </c>
      <c r="J788" s="1">
        <v>47.53</v>
      </c>
      <c r="K788" s="4">
        <f t="shared" si="24"/>
        <v>1450.4017150000002</v>
      </c>
      <c r="L788" s="4">
        <f t="shared" si="25"/>
        <v>1601.148285</v>
      </c>
    </row>
    <row r="789" spans="1:12" x14ac:dyDescent="0.3">
      <c r="A789" s="1">
        <v>1787</v>
      </c>
      <c r="B789" s="2">
        <v>44505</v>
      </c>
      <c r="C789" s="1" t="s">
        <v>14</v>
      </c>
      <c r="D789" s="1" t="s">
        <v>11</v>
      </c>
      <c r="E789" s="1" t="s">
        <v>12</v>
      </c>
      <c r="F789" s="1">
        <v>1103.06</v>
      </c>
      <c r="G789" s="1" t="s">
        <v>68</v>
      </c>
      <c r="H789" s="2">
        <v>22079</v>
      </c>
      <c r="I789" s="2">
        <v>44516</v>
      </c>
      <c r="J789" s="1">
        <v>22.74</v>
      </c>
      <c r="K789" s="4">
        <f t="shared" si="24"/>
        <v>250.83584399999998</v>
      </c>
      <c r="L789" s="4">
        <f t="shared" si="25"/>
        <v>852.22415599999999</v>
      </c>
    </row>
    <row r="790" spans="1:12" x14ac:dyDescent="0.3">
      <c r="A790" s="1">
        <v>1788</v>
      </c>
      <c r="B790" s="2">
        <v>44890</v>
      </c>
      <c r="C790" s="1" t="s">
        <v>10</v>
      </c>
      <c r="D790" s="1" t="s">
        <v>36</v>
      </c>
      <c r="E790" s="1" t="s">
        <v>28</v>
      </c>
      <c r="F790" s="1">
        <v>3882.31</v>
      </c>
      <c r="G790" s="1" t="s">
        <v>149</v>
      </c>
      <c r="H790" s="2">
        <v>26155</v>
      </c>
      <c r="I790" s="2">
        <v>44891</v>
      </c>
      <c r="J790" s="1">
        <v>17.09</v>
      </c>
      <c r="K790" s="4">
        <f t="shared" si="24"/>
        <v>663.48677899999996</v>
      </c>
      <c r="L790" s="4">
        <f t="shared" si="25"/>
        <v>3218.8232210000001</v>
      </c>
    </row>
    <row r="791" spans="1:12" x14ac:dyDescent="0.3">
      <c r="A791" s="1">
        <v>1789</v>
      </c>
      <c r="B791" s="2">
        <v>44335</v>
      </c>
      <c r="C791" s="1" t="s">
        <v>35</v>
      </c>
      <c r="D791" s="1" t="s">
        <v>36</v>
      </c>
      <c r="E791" s="1" t="s">
        <v>28</v>
      </c>
      <c r="F791" s="1">
        <v>3352.72</v>
      </c>
      <c r="G791" s="1" t="s">
        <v>320</v>
      </c>
      <c r="H791" s="2">
        <v>26300</v>
      </c>
      <c r="I791" s="2">
        <v>44340</v>
      </c>
      <c r="J791" s="1">
        <v>45.35</v>
      </c>
      <c r="K791" s="4">
        <f t="shared" si="24"/>
        <v>1520.4585199999999</v>
      </c>
      <c r="L791" s="4">
        <f t="shared" si="25"/>
        <v>1832.2614799999999</v>
      </c>
    </row>
    <row r="792" spans="1:12" x14ac:dyDescent="0.3">
      <c r="A792" s="1">
        <v>1790</v>
      </c>
      <c r="B792" s="2">
        <v>44244</v>
      </c>
      <c r="C792" s="1" t="s">
        <v>21</v>
      </c>
      <c r="D792" s="1" t="s">
        <v>33</v>
      </c>
      <c r="E792" s="1" t="s">
        <v>16</v>
      </c>
      <c r="F792" s="1">
        <v>4373.0600000000004</v>
      </c>
      <c r="G792" s="1" t="s">
        <v>151</v>
      </c>
      <c r="H792" s="2">
        <v>34427</v>
      </c>
      <c r="I792" s="2">
        <v>44251</v>
      </c>
      <c r="J792" s="1">
        <v>23.79</v>
      </c>
      <c r="K792" s="4">
        <f t="shared" si="24"/>
        <v>1040.3509740000002</v>
      </c>
      <c r="L792" s="4">
        <f t="shared" si="25"/>
        <v>3332.7090260000004</v>
      </c>
    </row>
    <row r="793" spans="1:12" x14ac:dyDescent="0.3">
      <c r="A793" s="1">
        <v>1791</v>
      </c>
      <c r="B793" s="2">
        <v>45323</v>
      </c>
      <c r="C793" s="1" t="s">
        <v>14</v>
      </c>
      <c r="D793" s="1" t="s">
        <v>40</v>
      </c>
      <c r="E793" s="1" t="s">
        <v>16</v>
      </c>
      <c r="F793" s="1">
        <v>193.34</v>
      </c>
      <c r="G793" s="1" t="s">
        <v>233</v>
      </c>
      <c r="H793" s="2">
        <v>38826</v>
      </c>
      <c r="I793" s="2">
        <v>45326</v>
      </c>
      <c r="J793" s="1">
        <v>25.31</v>
      </c>
      <c r="K793" s="4">
        <f t="shared" si="24"/>
        <v>48.934353999999999</v>
      </c>
      <c r="L793" s="4">
        <f t="shared" si="25"/>
        <v>144.40564599999999</v>
      </c>
    </row>
    <row r="794" spans="1:12" x14ac:dyDescent="0.3">
      <c r="A794" s="1">
        <v>1792</v>
      </c>
      <c r="B794" s="2">
        <v>44751</v>
      </c>
      <c r="C794" s="1" t="s">
        <v>10</v>
      </c>
      <c r="D794" s="1" t="s">
        <v>71</v>
      </c>
      <c r="E794" s="1" t="s">
        <v>31</v>
      </c>
      <c r="F794" s="1">
        <v>557.03</v>
      </c>
      <c r="G794" s="1" t="s">
        <v>193</v>
      </c>
      <c r="H794" s="2">
        <v>26082</v>
      </c>
      <c r="I794" s="2">
        <v>44752</v>
      </c>
      <c r="J794" s="1">
        <v>22.2</v>
      </c>
      <c r="K794" s="4">
        <f t="shared" si="24"/>
        <v>123.66065999999999</v>
      </c>
      <c r="L794" s="4">
        <f t="shared" si="25"/>
        <v>433.36933999999997</v>
      </c>
    </row>
    <row r="795" spans="1:12" x14ac:dyDescent="0.3">
      <c r="A795" s="1">
        <v>1793</v>
      </c>
      <c r="B795" s="2">
        <v>45466</v>
      </c>
      <c r="C795" s="1" t="s">
        <v>21</v>
      </c>
      <c r="D795" s="1" t="s">
        <v>69</v>
      </c>
      <c r="E795" s="1" t="s">
        <v>12</v>
      </c>
      <c r="F795" s="1">
        <v>682.1</v>
      </c>
      <c r="G795" s="1" t="s">
        <v>210</v>
      </c>
      <c r="H795" s="2">
        <v>27550</v>
      </c>
      <c r="I795" s="2">
        <v>45474</v>
      </c>
      <c r="J795" s="1">
        <v>33.54</v>
      </c>
      <c r="K795" s="4">
        <f t="shared" si="24"/>
        <v>228.77634</v>
      </c>
      <c r="L795" s="4">
        <f t="shared" si="25"/>
        <v>453.32366000000002</v>
      </c>
    </row>
    <row r="796" spans="1:12" x14ac:dyDescent="0.3">
      <c r="A796" s="1">
        <v>1794</v>
      </c>
      <c r="B796" s="2">
        <v>45176</v>
      </c>
      <c r="C796" s="1" t="s">
        <v>26</v>
      </c>
      <c r="D796" s="1" t="s">
        <v>71</v>
      </c>
      <c r="E796" s="1" t="s">
        <v>31</v>
      </c>
      <c r="F796" s="1">
        <v>4084.74</v>
      </c>
      <c r="G796" s="1" t="s">
        <v>304</v>
      </c>
      <c r="H796" s="2">
        <v>36246</v>
      </c>
      <c r="I796" s="2">
        <v>45177</v>
      </c>
      <c r="J796" s="1">
        <v>8.34</v>
      </c>
      <c r="K796" s="4">
        <f t="shared" si="24"/>
        <v>340.66731599999997</v>
      </c>
      <c r="L796" s="4">
        <f t="shared" si="25"/>
        <v>3744.0726839999998</v>
      </c>
    </row>
    <row r="797" spans="1:12" x14ac:dyDescent="0.3">
      <c r="A797" s="1">
        <v>1795</v>
      </c>
      <c r="B797" s="2">
        <v>44504</v>
      </c>
      <c r="C797" s="1" t="s">
        <v>35</v>
      </c>
      <c r="D797" s="1" t="s">
        <v>18</v>
      </c>
      <c r="E797" s="1" t="s">
        <v>19</v>
      </c>
      <c r="F797" s="1">
        <v>3311.08</v>
      </c>
      <c r="G797" s="1" t="s">
        <v>94</v>
      </c>
      <c r="H797" s="2">
        <v>25516</v>
      </c>
      <c r="I797" s="2">
        <v>44513</v>
      </c>
      <c r="J797" s="1">
        <v>36.19</v>
      </c>
      <c r="K797" s="4">
        <f t="shared" si="24"/>
        <v>1198.2798519999999</v>
      </c>
      <c r="L797" s="4">
        <f t="shared" si="25"/>
        <v>2112.8001480000003</v>
      </c>
    </row>
    <row r="798" spans="1:12" x14ac:dyDescent="0.3">
      <c r="A798" s="1">
        <v>1796</v>
      </c>
      <c r="B798" s="2">
        <v>44792</v>
      </c>
      <c r="C798" s="1" t="s">
        <v>21</v>
      </c>
      <c r="D798" s="1" t="s">
        <v>40</v>
      </c>
      <c r="E798" s="1" t="s">
        <v>16</v>
      </c>
      <c r="F798" s="1">
        <v>1488.13</v>
      </c>
      <c r="G798" s="1" t="s">
        <v>321</v>
      </c>
      <c r="H798" s="2">
        <v>22467</v>
      </c>
      <c r="I798" s="2">
        <v>44804</v>
      </c>
      <c r="J798" s="1">
        <v>16.190000000000001</v>
      </c>
      <c r="K798" s="4">
        <f t="shared" si="24"/>
        <v>240.92824700000006</v>
      </c>
      <c r="L798" s="4">
        <f t="shared" si="25"/>
        <v>1247.2017530000001</v>
      </c>
    </row>
    <row r="799" spans="1:12" x14ac:dyDescent="0.3">
      <c r="A799" s="1">
        <v>1797</v>
      </c>
      <c r="B799" s="2">
        <v>45085</v>
      </c>
      <c r="C799" s="1" t="s">
        <v>14</v>
      </c>
      <c r="D799" s="1" t="s">
        <v>88</v>
      </c>
      <c r="E799" s="1" t="s">
        <v>16</v>
      </c>
      <c r="F799" s="1">
        <v>1292.26</v>
      </c>
      <c r="G799" s="1" t="s">
        <v>298</v>
      </c>
      <c r="H799" s="2">
        <v>30410</v>
      </c>
      <c r="I799" s="2">
        <v>45086</v>
      </c>
      <c r="J799" s="1">
        <v>39.590000000000003</v>
      </c>
      <c r="K799" s="4">
        <f t="shared" si="24"/>
        <v>511.60573400000004</v>
      </c>
      <c r="L799" s="4">
        <f t="shared" si="25"/>
        <v>780.65426600000001</v>
      </c>
    </row>
    <row r="800" spans="1:12" x14ac:dyDescent="0.3">
      <c r="A800" s="1">
        <v>1798</v>
      </c>
      <c r="B800" s="2">
        <v>44283</v>
      </c>
      <c r="C800" s="1" t="s">
        <v>14</v>
      </c>
      <c r="D800" s="1" t="s">
        <v>53</v>
      </c>
      <c r="E800" s="1" t="s">
        <v>28</v>
      </c>
      <c r="F800" s="1">
        <v>460.63</v>
      </c>
      <c r="G800" s="1" t="s">
        <v>308</v>
      </c>
      <c r="H800" s="2">
        <v>35336</v>
      </c>
      <c r="I800" s="2">
        <v>44285</v>
      </c>
      <c r="J800" s="1">
        <v>23.3</v>
      </c>
      <c r="K800" s="4">
        <f t="shared" si="24"/>
        <v>107.32679</v>
      </c>
      <c r="L800" s="4">
        <f t="shared" si="25"/>
        <v>353.30320999999998</v>
      </c>
    </row>
    <row r="801" spans="1:12" x14ac:dyDescent="0.3">
      <c r="A801" s="1">
        <v>1799</v>
      </c>
      <c r="B801" s="2">
        <v>44246</v>
      </c>
      <c r="C801" s="1" t="s">
        <v>21</v>
      </c>
      <c r="D801" s="1" t="s">
        <v>36</v>
      </c>
      <c r="E801" s="1" t="s">
        <v>28</v>
      </c>
      <c r="F801" s="1">
        <v>3103.07</v>
      </c>
      <c r="G801" s="1" t="s">
        <v>121</v>
      </c>
      <c r="H801" s="2">
        <v>24580</v>
      </c>
      <c r="I801" s="2">
        <v>44260</v>
      </c>
      <c r="J801" s="1">
        <v>7.78</v>
      </c>
      <c r="K801" s="4">
        <f t="shared" si="24"/>
        <v>241.41884600000003</v>
      </c>
      <c r="L801" s="4">
        <f t="shared" si="25"/>
        <v>2861.6511540000001</v>
      </c>
    </row>
    <row r="802" spans="1:12" x14ac:dyDescent="0.3">
      <c r="A802" s="1">
        <v>1800</v>
      </c>
      <c r="B802" s="2">
        <v>44679</v>
      </c>
      <c r="C802" s="1" t="s">
        <v>35</v>
      </c>
      <c r="D802" s="1" t="s">
        <v>27</v>
      </c>
      <c r="E802" s="1" t="s">
        <v>28</v>
      </c>
      <c r="F802" s="1">
        <v>2611.02</v>
      </c>
      <c r="G802" s="1" t="s">
        <v>263</v>
      </c>
      <c r="H802" s="2">
        <v>35629</v>
      </c>
      <c r="I802" s="2">
        <v>44693</v>
      </c>
      <c r="J802" s="1">
        <v>25.45</v>
      </c>
      <c r="K802" s="4">
        <f t="shared" si="24"/>
        <v>664.50459000000001</v>
      </c>
      <c r="L802" s="4">
        <f t="shared" si="25"/>
        <v>1946.51541</v>
      </c>
    </row>
    <row r="803" spans="1:12" x14ac:dyDescent="0.3">
      <c r="A803" s="1">
        <v>1801</v>
      </c>
      <c r="B803" s="2">
        <v>45314</v>
      </c>
      <c r="C803" s="1" t="s">
        <v>10</v>
      </c>
      <c r="D803" s="1" t="s">
        <v>53</v>
      </c>
      <c r="E803" s="1" t="s">
        <v>28</v>
      </c>
      <c r="F803" s="1">
        <v>3379.46</v>
      </c>
      <c r="G803" s="1" t="s">
        <v>322</v>
      </c>
      <c r="H803" s="2">
        <v>36924</v>
      </c>
      <c r="I803" s="2">
        <v>45325</v>
      </c>
      <c r="J803" s="1">
        <v>7.14</v>
      </c>
      <c r="K803" s="4">
        <f t="shared" si="24"/>
        <v>241.29344399999997</v>
      </c>
      <c r="L803" s="4">
        <f t="shared" si="25"/>
        <v>3138.1665560000001</v>
      </c>
    </row>
    <row r="804" spans="1:12" x14ac:dyDescent="0.3">
      <c r="A804" s="1">
        <v>1802</v>
      </c>
      <c r="B804" s="2">
        <v>44594</v>
      </c>
      <c r="C804" s="1" t="s">
        <v>14</v>
      </c>
      <c r="D804" s="1" t="s">
        <v>18</v>
      </c>
      <c r="E804" s="1" t="s">
        <v>19</v>
      </c>
      <c r="F804" s="1">
        <v>4233.68</v>
      </c>
      <c r="G804" s="1" t="s">
        <v>288</v>
      </c>
      <c r="H804" s="2">
        <v>29810</v>
      </c>
      <c r="I804" s="2">
        <v>44595</v>
      </c>
      <c r="J804" s="1">
        <v>28.97</v>
      </c>
      <c r="K804" s="4">
        <f t="shared" si="24"/>
        <v>1226.4970960000001</v>
      </c>
      <c r="L804" s="4">
        <f t="shared" si="25"/>
        <v>3007.1829040000002</v>
      </c>
    </row>
    <row r="805" spans="1:12" x14ac:dyDescent="0.3">
      <c r="A805" s="1">
        <v>1803</v>
      </c>
      <c r="B805" s="2">
        <v>44989</v>
      </c>
      <c r="C805" s="1" t="s">
        <v>21</v>
      </c>
      <c r="D805" s="1" t="s">
        <v>24</v>
      </c>
      <c r="E805" s="1" t="s">
        <v>19</v>
      </c>
      <c r="F805" s="1">
        <v>3698.7</v>
      </c>
      <c r="G805" s="1" t="s">
        <v>183</v>
      </c>
      <c r="H805" s="2">
        <v>32359</v>
      </c>
      <c r="I805" s="2">
        <v>44994</v>
      </c>
      <c r="J805" s="1">
        <v>23.36</v>
      </c>
      <c r="K805" s="4">
        <f t="shared" si="24"/>
        <v>864.01631999999995</v>
      </c>
      <c r="L805" s="4">
        <f t="shared" si="25"/>
        <v>2834.6836800000001</v>
      </c>
    </row>
    <row r="806" spans="1:12" x14ac:dyDescent="0.3">
      <c r="A806" s="1">
        <v>1804</v>
      </c>
      <c r="B806" s="2">
        <v>44236</v>
      </c>
      <c r="C806" s="1" t="s">
        <v>14</v>
      </c>
      <c r="D806" s="1" t="s">
        <v>69</v>
      </c>
      <c r="E806" s="1" t="s">
        <v>12</v>
      </c>
      <c r="F806" s="1">
        <v>4909.8900000000003</v>
      </c>
      <c r="G806" s="1" t="s">
        <v>169</v>
      </c>
      <c r="H806" s="2">
        <v>37894</v>
      </c>
      <c r="I806" s="2">
        <v>44239</v>
      </c>
      <c r="J806" s="1">
        <v>28.79</v>
      </c>
      <c r="K806" s="4">
        <f t="shared" si="24"/>
        <v>1413.557331</v>
      </c>
      <c r="L806" s="4">
        <f t="shared" si="25"/>
        <v>3496.3326690000004</v>
      </c>
    </row>
    <row r="807" spans="1:12" x14ac:dyDescent="0.3">
      <c r="A807" s="1">
        <v>1805</v>
      </c>
      <c r="B807" s="2">
        <v>45758</v>
      </c>
      <c r="C807" s="1" t="s">
        <v>21</v>
      </c>
      <c r="D807" s="1" t="s">
        <v>30</v>
      </c>
      <c r="E807" s="1" t="s">
        <v>31</v>
      </c>
      <c r="F807" s="1">
        <v>1486.41</v>
      </c>
      <c r="G807" s="1" t="s">
        <v>113</v>
      </c>
      <c r="H807" s="2">
        <v>25579</v>
      </c>
      <c r="I807" s="2">
        <v>45765</v>
      </c>
      <c r="J807" s="1">
        <v>20.07</v>
      </c>
      <c r="K807" s="4">
        <f t="shared" si="24"/>
        <v>298.32248700000002</v>
      </c>
      <c r="L807" s="4">
        <f t="shared" si="25"/>
        <v>1188.0875129999999</v>
      </c>
    </row>
    <row r="808" spans="1:12" x14ac:dyDescent="0.3">
      <c r="A808" s="1">
        <v>1806</v>
      </c>
      <c r="B808" s="2">
        <v>45010</v>
      </c>
      <c r="C808" s="1" t="s">
        <v>21</v>
      </c>
      <c r="D808" s="1" t="s">
        <v>40</v>
      </c>
      <c r="E808" s="1" t="s">
        <v>16</v>
      </c>
      <c r="F808" s="1">
        <v>3827.4</v>
      </c>
      <c r="G808" s="1" t="s">
        <v>260</v>
      </c>
      <c r="H808" s="2">
        <v>38628</v>
      </c>
      <c r="I808" s="2">
        <v>45012</v>
      </c>
      <c r="J808" s="1">
        <v>40.19</v>
      </c>
      <c r="K808" s="4">
        <f t="shared" si="24"/>
        <v>1538.23206</v>
      </c>
      <c r="L808" s="4">
        <f t="shared" si="25"/>
        <v>2289.1679400000003</v>
      </c>
    </row>
    <row r="809" spans="1:12" x14ac:dyDescent="0.3">
      <c r="A809" s="1">
        <v>1807</v>
      </c>
      <c r="B809" s="2">
        <v>45319</v>
      </c>
      <c r="C809" s="1" t="s">
        <v>10</v>
      </c>
      <c r="D809" s="1" t="s">
        <v>88</v>
      </c>
      <c r="E809" s="1" t="s">
        <v>16</v>
      </c>
      <c r="F809" s="1">
        <v>129.44999999999999</v>
      </c>
      <c r="G809" s="1" t="s">
        <v>70</v>
      </c>
      <c r="H809" s="2">
        <v>30887</v>
      </c>
      <c r="I809" s="2">
        <v>45323</v>
      </c>
      <c r="J809" s="1">
        <v>11.55</v>
      </c>
      <c r="K809" s="4">
        <f t="shared" si="24"/>
        <v>14.951474999999999</v>
      </c>
      <c r="L809" s="4">
        <f t="shared" si="25"/>
        <v>114.49852499999999</v>
      </c>
    </row>
    <row r="810" spans="1:12" x14ac:dyDescent="0.3">
      <c r="A810" s="1">
        <v>1808</v>
      </c>
      <c r="B810" s="2">
        <v>44173</v>
      </c>
      <c r="C810" s="1" t="s">
        <v>14</v>
      </c>
      <c r="D810" s="1" t="s">
        <v>69</v>
      </c>
      <c r="E810" s="1" t="s">
        <v>12</v>
      </c>
      <c r="F810" s="1">
        <v>1619.92</v>
      </c>
      <c r="G810" s="1" t="s">
        <v>119</v>
      </c>
      <c r="H810" s="2">
        <v>34954</v>
      </c>
      <c r="I810" s="2">
        <v>44176</v>
      </c>
      <c r="J810" s="1">
        <v>43.03</v>
      </c>
      <c r="K810" s="4">
        <f t="shared" si="24"/>
        <v>697.05157600000007</v>
      </c>
      <c r="L810" s="4">
        <f t="shared" si="25"/>
        <v>922.868424</v>
      </c>
    </row>
    <row r="811" spans="1:12" x14ac:dyDescent="0.3">
      <c r="A811" s="1">
        <v>1809</v>
      </c>
      <c r="B811" s="2">
        <v>44697</v>
      </c>
      <c r="C811" s="1" t="s">
        <v>14</v>
      </c>
      <c r="D811" s="1" t="s">
        <v>38</v>
      </c>
      <c r="E811" s="1" t="s">
        <v>28</v>
      </c>
      <c r="F811" s="1">
        <v>3749.82</v>
      </c>
      <c r="G811" s="1" t="s">
        <v>132</v>
      </c>
      <c r="H811" s="2">
        <v>34364</v>
      </c>
      <c r="I811" s="2">
        <v>44706</v>
      </c>
      <c r="J811" s="1">
        <v>11.58</v>
      </c>
      <c r="K811" s="4">
        <f t="shared" si="24"/>
        <v>434.22915600000005</v>
      </c>
      <c r="L811" s="4">
        <f t="shared" si="25"/>
        <v>3315.5908440000003</v>
      </c>
    </row>
    <row r="812" spans="1:12" x14ac:dyDescent="0.3">
      <c r="A812" s="1">
        <v>1810</v>
      </c>
      <c r="B812" s="2">
        <v>45867</v>
      </c>
      <c r="C812" s="1" t="s">
        <v>21</v>
      </c>
      <c r="D812" s="1" t="s">
        <v>33</v>
      </c>
      <c r="E812" s="1" t="s">
        <v>16</v>
      </c>
      <c r="F812" s="1">
        <v>3858.01</v>
      </c>
      <c r="G812" s="1" t="s">
        <v>181</v>
      </c>
      <c r="H812" s="2">
        <v>25222</v>
      </c>
      <c r="I812" s="2">
        <v>45876</v>
      </c>
      <c r="J812" s="1">
        <v>24.94</v>
      </c>
      <c r="K812" s="4">
        <f t="shared" si="24"/>
        <v>962.18769400000008</v>
      </c>
      <c r="L812" s="4">
        <f t="shared" si="25"/>
        <v>2895.822306</v>
      </c>
    </row>
    <row r="813" spans="1:12" x14ac:dyDescent="0.3">
      <c r="A813" s="1">
        <v>1811</v>
      </c>
      <c r="B813" s="2">
        <v>44834</v>
      </c>
      <c r="C813" s="1" t="s">
        <v>21</v>
      </c>
      <c r="D813" s="1" t="s">
        <v>22</v>
      </c>
      <c r="E813" s="1" t="s">
        <v>19</v>
      </c>
      <c r="F813" s="1">
        <v>170.75</v>
      </c>
      <c r="G813" s="1" t="s">
        <v>105</v>
      </c>
      <c r="H813" s="2">
        <v>35889</v>
      </c>
      <c r="I813" s="2">
        <v>44841</v>
      </c>
      <c r="J813" s="1">
        <v>15.62</v>
      </c>
      <c r="K813" s="4">
        <f t="shared" si="24"/>
        <v>26.671150000000001</v>
      </c>
      <c r="L813" s="4">
        <f t="shared" si="25"/>
        <v>144.07884999999999</v>
      </c>
    </row>
    <row r="814" spans="1:12" x14ac:dyDescent="0.3">
      <c r="A814" s="1">
        <v>1812</v>
      </c>
      <c r="B814" s="2">
        <v>44424</v>
      </c>
      <c r="C814" s="1" t="s">
        <v>26</v>
      </c>
      <c r="D814" s="1" t="s">
        <v>69</v>
      </c>
      <c r="E814" s="1" t="s">
        <v>31</v>
      </c>
      <c r="F814" s="1">
        <v>2457.6999999999998</v>
      </c>
      <c r="G814" s="1" t="s">
        <v>210</v>
      </c>
      <c r="H814" s="2">
        <v>27550</v>
      </c>
      <c r="I814" s="2">
        <v>44425</v>
      </c>
      <c r="J814" s="1">
        <v>27.07</v>
      </c>
      <c r="K814" s="4">
        <f t="shared" si="24"/>
        <v>665.2993899999999</v>
      </c>
      <c r="L814" s="4">
        <f t="shared" si="25"/>
        <v>1792.4006099999999</v>
      </c>
    </row>
    <row r="815" spans="1:12" x14ac:dyDescent="0.3">
      <c r="A815" s="1">
        <v>1813</v>
      </c>
      <c r="B815" s="2">
        <v>45559</v>
      </c>
      <c r="C815" s="1" t="s">
        <v>14</v>
      </c>
      <c r="D815" s="1" t="s">
        <v>47</v>
      </c>
      <c r="E815" s="1" t="s">
        <v>12</v>
      </c>
      <c r="F815" s="1">
        <v>2847.95</v>
      </c>
      <c r="G815" s="1" t="s">
        <v>299</v>
      </c>
      <c r="H815" s="2">
        <v>25863</v>
      </c>
      <c r="I815" s="2">
        <v>45563</v>
      </c>
      <c r="J815" s="1">
        <v>10.87</v>
      </c>
      <c r="K815" s="4">
        <f t="shared" si="24"/>
        <v>309.57216499999993</v>
      </c>
      <c r="L815" s="4">
        <f t="shared" si="25"/>
        <v>2538.3778349999998</v>
      </c>
    </row>
    <row r="816" spans="1:12" x14ac:dyDescent="0.3">
      <c r="A816" s="1">
        <v>1814</v>
      </c>
      <c r="B816" s="2">
        <v>44257</v>
      </c>
      <c r="C816" s="1" t="s">
        <v>14</v>
      </c>
      <c r="D816" s="1" t="s">
        <v>69</v>
      </c>
      <c r="E816" s="1" t="s">
        <v>31</v>
      </c>
      <c r="F816" s="1">
        <v>4804.79</v>
      </c>
      <c r="G816" s="1" t="s">
        <v>111</v>
      </c>
      <c r="H816" s="2">
        <v>34704</v>
      </c>
      <c r="I816" s="2">
        <v>44264</v>
      </c>
      <c r="J816" s="1">
        <v>2.2000000000000002</v>
      </c>
      <c r="K816" s="4">
        <f t="shared" si="24"/>
        <v>105.70538000000001</v>
      </c>
      <c r="L816" s="4">
        <f t="shared" si="25"/>
        <v>4699.0846199999996</v>
      </c>
    </row>
    <row r="817" spans="1:12" x14ac:dyDescent="0.3">
      <c r="A817" s="1">
        <v>1815</v>
      </c>
      <c r="B817" s="2">
        <v>44162</v>
      </c>
      <c r="C817" s="1" t="s">
        <v>35</v>
      </c>
      <c r="D817" s="1" t="s">
        <v>69</v>
      </c>
      <c r="E817" s="1" t="s">
        <v>31</v>
      </c>
      <c r="F817" s="1">
        <v>864.39</v>
      </c>
      <c r="G817" s="1" t="s">
        <v>256</v>
      </c>
      <c r="H817" s="2">
        <v>34537</v>
      </c>
      <c r="I817" s="2">
        <v>44176</v>
      </c>
      <c r="J817" s="1">
        <v>5.48</v>
      </c>
      <c r="K817" s="4">
        <f t="shared" si="24"/>
        <v>47.368572</v>
      </c>
      <c r="L817" s="4">
        <f t="shared" si="25"/>
        <v>817.02142800000001</v>
      </c>
    </row>
    <row r="818" spans="1:12" x14ac:dyDescent="0.3">
      <c r="A818" s="1">
        <v>1816</v>
      </c>
      <c r="B818" s="2">
        <v>45004</v>
      </c>
      <c r="C818" s="1" t="s">
        <v>14</v>
      </c>
      <c r="D818" s="1" t="s">
        <v>69</v>
      </c>
      <c r="E818" s="1" t="s">
        <v>12</v>
      </c>
      <c r="F818" s="1">
        <v>2142.34</v>
      </c>
      <c r="G818" s="1" t="s">
        <v>193</v>
      </c>
      <c r="H818" s="2">
        <v>26082</v>
      </c>
      <c r="I818" s="2">
        <v>45015</v>
      </c>
      <c r="J818" s="1">
        <v>31.97</v>
      </c>
      <c r="K818" s="4">
        <f t="shared" si="24"/>
        <v>684.90609800000004</v>
      </c>
      <c r="L818" s="4">
        <f t="shared" si="25"/>
        <v>1457.4339020000002</v>
      </c>
    </row>
    <row r="819" spans="1:12" x14ac:dyDescent="0.3">
      <c r="A819" s="1">
        <v>1817</v>
      </c>
      <c r="B819" s="2">
        <v>44803</v>
      </c>
      <c r="C819" s="1" t="s">
        <v>35</v>
      </c>
      <c r="D819" s="1" t="s">
        <v>69</v>
      </c>
      <c r="E819" s="1" t="s">
        <v>31</v>
      </c>
      <c r="F819" s="1">
        <v>1944.47</v>
      </c>
      <c r="G819" s="1" t="s">
        <v>323</v>
      </c>
      <c r="H819" s="2">
        <v>33840</v>
      </c>
      <c r="I819" s="2">
        <v>44814</v>
      </c>
      <c r="J819" s="1">
        <v>41.62</v>
      </c>
      <c r="K819" s="4">
        <f t="shared" si="24"/>
        <v>809.28841399999988</v>
      </c>
      <c r="L819" s="4">
        <f t="shared" si="25"/>
        <v>1135.1815860000002</v>
      </c>
    </row>
    <row r="820" spans="1:12" x14ac:dyDescent="0.3">
      <c r="A820" s="1">
        <v>1818</v>
      </c>
      <c r="B820" s="2">
        <v>44499</v>
      </c>
      <c r="C820" s="1" t="s">
        <v>14</v>
      </c>
      <c r="D820" s="1" t="s">
        <v>65</v>
      </c>
      <c r="E820" s="1" t="s">
        <v>19</v>
      </c>
      <c r="F820" s="1">
        <v>791.35</v>
      </c>
      <c r="G820" s="1" t="s">
        <v>128</v>
      </c>
      <c r="H820" s="2">
        <v>37961</v>
      </c>
      <c r="I820" s="2">
        <v>44506</v>
      </c>
      <c r="J820" s="1">
        <v>40.1</v>
      </c>
      <c r="K820" s="4">
        <f t="shared" si="24"/>
        <v>317.33135000000004</v>
      </c>
      <c r="L820" s="4">
        <f t="shared" si="25"/>
        <v>474.01864999999998</v>
      </c>
    </row>
    <row r="821" spans="1:12" x14ac:dyDescent="0.3">
      <c r="A821" s="1">
        <v>1819</v>
      </c>
      <c r="B821" s="2">
        <v>44970</v>
      </c>
      <c r="C821" s="1" t="s">
        <v>35</v>
      </c>
      <c r="D821" s="1" t="s">
        <v>24</v>
      </c>
      <c r="E821" s="1" t="s">
        <v>19</v>
      </c>
      <c r="F821" s="1">
        <v>2156.0700000000002</v>
      </c>
      <c r="G821" s="1" t="s">
        <v>301</v>
      </c>
      <c r="H821" s="2">
        <v>31775</v>
      </c>
      <c r="I821" s="2">
        <v>44983</v>
      </c>
      <c r="J821" s="1">
        <v>27.96</v>
      </c>
      <c r="K821" s="4">
        <f t="shared" si="24"/>
        <v>602.83717200000012</v>
      </c>
      <c r="L821" s="4">
        <f t="shared" si="25"/>
        <v>1553.2328280000002</v>
      </c>
    </row>
    <row r="822" spans="1:12" x14ac:dyDescent="0.3">
      <c r="A822" s="1">
        <v>1820</v>
      </c>
      <c r="B822" s="2">
        <v>44680</v>
      </c>
      <c r="C822" s="1" t="s">
        <v>10</v>
      </c>
      <c r="D822" s="1" t="s">
        <v>24</v>
      </c>
      <c r="E822" s="1" t="s">
        <v>19</v>
      </c>
      <c r="F822" s="1">
        <v>4278.82</v>
      </c>
      <c r="G822" s="1" t="s">
        <v>197</v>
      </c>
      <c r="H822" s="2">
        <v>26001</v>
      </c>
      <c r="I822" s="2">
        <v>44683</v>
      </c>
      <c r="J822" s="1">
        <v>14.22</v>
      </c>
      <c r="K822" s="4">
        <f t="shared" si="24"/>
        <v>608.44820399999992</v>
      </c>
      <c r="L822" s="4">
        <f t="shared" si="25"/>
        <v>3670.3717959999999</v>
      </c>
    </row>
    <row r="823" spans="1:12" x14ac:dyDescent="0.3">
      <c r="A823" s="1">
        <v>1821</v>
      </c>
      <c r="B823" s="2">
        <v>44864</v>
      </c>
      <c r="C823" s="1" t="s">
        <v>21</v>
      </c>
      <c r="D823" s="1" t="s">
        <v>58</v>
      </c>
      <c r="E823" s="1" t="s">
        <v>31</v>
      </c>
      <c r="F823" s="1">
        <v>984.14</v>
      </c>
      <c r="G823" s="1" t="s">
        <v>83</v>
      </c>
      <c r="H823" s="2">
        <v>24673</v>
      </c>
      <c r="I823" s="2">
        <v>44875</v>
      </c>
      <c r="J823" s="1">
        <v>42.34</v>
      </c>
      <c r="K823" s="4">
        <f t="shared" si="24"/>
        <v>416.68487600000003</v>
      </c>
      <c r="L823" s="4">
        <f t="shared" si="25"/>
        <v>567.45512399999996</v>
      </c>
    </row>
    <row r="824" spans="1:12" x14ac:dyDescent="0.3">
      <c r="A824" s="1">
        <v>1822</v>
      </c>
      <c r="B824" s="2">
        <v>44451</v>
      </c>
      <c r="C824" s="1" t="s">
        <v>21</v>
      </c>
      <c r="D824" s="1" t="s">
        <v>58</v>
      </c>
      <c r="E824" s="1" t="s">
        <v>31</v>
      </c>
      <c r="F824" s="1">
        <v>4405.46</v>
      </c>
      <c r="G824" s="1" t="s">
        <v>278</v>
      </c>
      <c r="H824" s="2">
        <v>36036</v>
      </c>
      <c r="I824" s="2">
        <v>44465</v>
      </c>
      <c r="J824" s="1">
        <v>7.38</v>
      </c>
      <c r="K824" s="4">
        <f t="shared" si="24"/>
        <v>325.12294800000001</v>
      </c>
      <c r="L824" s="4">
        <f t="shared" si="25"/>
        <v>4080.3370519999999</v>
      </c>
    </row>
    <row r="825" spans="1:12" x14ac:dyDescent="0.3">
      <c r="A825" s="1">
        <v>1823</v>
      </c>
      <c r="B825" s="2">
        <v>45363</v>
      </c>
      <c r="C825" s="1" t="s">
        <v>10</v>
      </c>
      <c r="D825" s="1" t="s">
        <v>11</v>
      </c>
      <c r="E825" s="1" t="s">
        <v>12</v>
      </c>
      <c r="F825" s="1">
        <v>559.32000000000005</v>
      </c>
      <c r="G825" s="1" t="s">
        <v>192</v>
      </c>
      <c r="H825" s="2">
        <v>33626</v>
      </c>
      <c r="I825" s="2">
        <v>45375</v>
      </c>
      <c r="J825" s="1">
        <v>2.1800000000000002</v>
      </c>
      <c r="K825" s="4">
        <f t="shared" si="24"/>
        <v>12.193176000000001</v>
      </c>
      <c r="L825" s="4">
        <f t="shared" si="25"/>
        <v>547.12682400000006</v>
      </c>
    </row>
    <row r="826" spans="1:12" x14ac:dyDescent="0.3">
      <c r="A826" s="1">
        <v>1824</v>
      </c>
      <c r="B826" s="2">
        <v>44296</v>
      </c>
      <c r="C826" s="1" t="s">
        <v>35</v>
      </c>
      <c r="D826" s="1" t="s">
        <v>69</v>
      </c>
      <c r="E826" s="1" t="s">
        <v>31</v>
      </c>
      <c r="F826" s="1">
        <v>613.32000000000005</v>
      </c>
      <c r="G826" s="1" t="s">
        <v>87</v>
      </c>
      <c r="H826" s="2">
        <v>36012</v>
      </c>
      <c r="I826" s="2">
        <v>44298</v>
      </c>
      <c r="J826" s="1">
        <v>15.05</v>
      </c>
      <c r="K826" s="4">
        <f t="shared" si="24"/>
        <v>92.304659999999998</v>
      </c>
      <c r="L826" s="4">
        <f t="shared" si="25"/>
        <v>521.01534000000004</v>
      </c>
    </row>
    <row r="827" spans="1:12" x14ac:dyDescent="0.3">
      <c r="A827" s="1">
        <v>1825</v>
      </c>
      <c r="B827" s="2">
        <v>44660</v>
      </c>
      <c r="C827" s="1" t="s">
        <v>10</v>
      </c>
      <c r="D827" s="1" t="s">
        <v>102</v>
      </c>
      <c r="E827" s="1" t="s">
        <v>12</v>
      </c>
      <c r="F827" s="1">
        <v>3209.4</v>
      </c>
      <c r="G827" s="1" t="s">
        <v>254</v>
      </c>
      <c r="H827" s="2">
        <v>29366</v>
      </c>
      <c r="I827" s="2">
        <v>44674</v>
      </c>
      <c r="J827" s="1">
        <v>14.74</v>
      </c>
      <c r="K827" s="4">
        <f t="shared" si="24"/>
        <v>473.06556</v>
      </c>
      <c r="L827" s="4">
        <f t="shared" si="25"/>
        <v>2736.3344400000001</v>
      </c>
    </row>
    <row r="828" spans="1:12" x14ac:dyDescent="0.3">
      <c r="A828" s="1">
        <v>1826</v>
      </c>
      <c r="B828" s="2">
        <v>45630</v>
      </c>
      <c r="C828" s="1" t="s">
        <v>14</v>
      </c>
      <c r="D828" s="1" t="s">
        <v>73</v>
      </c>
      <c r="E828" s="1" t="s">
        <v>28</v>
      </c>
      <c r="F828" s="1">
        <v>405.71</v>
      </c>
      <c r="G828" s="1" t="s">
        <v>295</v>
      </c>
      <c r="H828" s="2">
        <v>23369</v>
      </c>
      <c r="I828" s="2">
        <v>45632</v>
      </c>
      <c r="J828" s="1">
        <v>40.61</v>
      </c>
      <c r="K828" s="4">
        <f t="shared" si="24"/>
        <v>164.75883099999999</v>
      </c>
      <c r="L828" s="4">
        <f t="shared" si="25"/>
        <v>240.95116899999999</v>
      </c>
    </row>
    <row r="829" spans="1:12" x14ac:dyDescent="0.3">
      <c r="A829" s="1">
        <v>1827</v>
      </c>
      <c r="B829" s="2">
        <v>45011</v>
      </c>
      <c r="C829" s="1" t="s">
        <v>21</v>
      </c>
      <c r="D829" s="1" t="s">
        <v>44</v>
      </c>
      <c r="E829" s="1" t="s">
        <v>16</v>
      </c>
      <c r="F829" s="1">
        <v>3345.58</v>
      </c>
      <c r="G829" s="1" t="s">
        <v>74</v>
      </c>
      <c r="H829" s="2">
        <v>31224</v>
      </c>
      <c r="I829" s="2">
        <v>45019</v>
      </c>
      <c r="J829" s="1">
        <v>17.25</v>
      </c>
      <c r="K829" s="4">
        <f t="shared" si="24"/>
        <v>577.11254999999994</v>
      </c>
      <c r="L829" s="4">
        <f t="shared" si="25"/>
        <v>2768.4674500000001</v>
      </c>
    </row>
    <row r="830" spans="1:12" x14ac:dyDescent="0.3">
      <c r="A830" s="1">
        <v>1828</v>
      </c>
      <c r="B830" s="2">
        <v>44512</v>
      </c>
      <c r="C830" s="1" t="s">
        <v>21</v>
      </c>
      <c r="D830" s="1" t="s">
        <v>24</v>
      </c>
      <c r="E830" s="1" t="s">
        <v>19</v>
      </c>
      <c r="F830" s="1">
        <v>4628.91</v>
      </c>
      <c r="G830" s="1" t="s">
        <v>62</v>
      </c>
      <c r="H830" s="2">
        <v>22870</v>
      </c>
      <c r="I830" s="2">
        <v>44524</v>
      </c>
      <c r="J830" s="1">
        <v>34.04</v>
      </c>
      <c r="K830" s="4">
        <f t="shared" si="24"/>
        <v>1575.6809639999999</v>
      </c>
      <c r="L830" s="4">
        <f t="shared" si="25"/>
        <v>3053.2290359999997</v>
      </c>
    </row>
    <row r="831" spans="1:12" x14ac:dyDescent="0.3">
      <c r="A831" s="1">
        <v>1829</v>
      </c>
      <c r="B831" s="2">
        <v>44826</v>
      </c>
      <c r="C831" s="1" t="s">
        <v>21</v>
      </c>
      <c r="D831" s="1" t="s">
        <v>33</v>
      </c>
      <c r="E831" s="1" t="s">
        <v>16</v>
      </c>
      <c r="F831" s="1">
        <v>2240.89</v>
      </c>
      <c r="G831" s="1" t="s">
        <v>251</v>
      </c>
      <c r="H831" s="2">
        <v>25440</v>
      </c>
      <c r="I831" s="2">
        <v>44836</v>
      </c>
      <c r="J831" s="1">
        <v>2.46</v>
      </c>
      <c r="K831" s="4">
        <f t="shared" si="24"/>
        <v>55.125893999999995</v>
      </c>
      <c r="L831" s="4">
        <f t="shared" si="25"/>
        <v>2185.7641060000001</v>
      </c>
    </row>
    <row r="832" spans="1:12" x14ac:dyDescent="0.3">
      <c r="A832" s="1">
        <v>1830</v>
      </c>
      <c r="B832" s="2">
        <v>44398</v>
      </c>
      <c r="C832" s="1" t="s">
        <v>10</v>
      </c>
      <c r="D832" s="1" t="s">
        <v>53</v>
      </c>
      <c r="E832" s="1" t="s">
        <v>28</v>
      </c>
      <c r="F832" s="1">
        <v>2312.25</v>
      </c>
      <c r="G832" s="1" t="s">
        <v>269</v>
      </c>
      <c r="H832" s="2">
        <v>30976</v>
      </c>
      <c r="I832" s="2">
        <v>44408</v>
      </c>
      <c r="J832" s="1">
        <v>8.42</v>
      </c>
      <c r="K832" s="4">
        <f t="shared" si="24"/>
        <v>194.69145</v>
      </c>
      <c r="L832" s="4">
        <f t="shared" si="25"/>
        <v>2117.5585500000002</v>
      </c>
    </row>
    <row r="833" spans="1:12" x14ac:dyDescent="0.3">
      <c r="A833" s="1">
        <v>1831</v>
      </c>
      <c r="B833" s="2">
        <v>45459</v>
      </c>
      <c r="C833" s="1" t="s">
        <v>14</v>
      </c>
      <c r="D833" s="1" t="s">
        <v>65</v>
      </c>
      <c r="E833" s="1" t="s">
        <v>19</v>
      </c>
      <c r="F833" s="1">
        <v>2924.35</v>
      </c>
      <c r="G833" s="1" t="s">
        <v>271</v>
      </c>
      <c r="H833" s="2">
        <v>22796</v>
      </c>
      <c r="I833" s="2">
        <v>45466</v>
      </c>
      <c r="J833" s="1">
        <v>28.88</v>
      </c>
      <c r="K833" s="4">
        <f t="shared" si="24"/>
        <v>844.55228</v>
      </c>
      <c r="L833" s="4">
        <f t="shared" si="25"/>
        <v>2079.79772</v>
      </c>
    </row>
    <row r="834" spans="1:12" x14ac:dyDescent="0.3">
      <c r="A834" s="1">
        <v>1832</v>
      </c>
      <c r="B834" s="2">
        <v>44476</v>
      </c>
      <c r="C834" s="1" t="s">
        <v>35</v>
      </c>
      <c r="D834" s="1" t="s">
        <v>22</v>
      </c>
      <c r="E834" s="1" t="s">
        <v>19</v>
      </c>
      <c r="F834" s="1">
        <v>367.38</v>
      </c>
      <c r="G834" s="1" t="s">
        <v>241</v>
      </c>
      <c r="H834" s="2">
        <v>31880</v>
      </c>
      <c r="I834" s="2">
        <v>44483</v>
      </c>
      <c r="J834" s="1">
        <v>34.29</v>
      </c>
      <c r="K834" s="4">
        <f t="shared" si="24"/>
        <v>125.97460199999999</v>
      </c>
      <c r="L834" s="4">
        <f t="shared" si="25"/>
        <v>241.40539799999999</v>
      </c>
    </row>
    <row r="835" spans="1:12" x14ac:dyDescent="0.3">
      <c r="A835" s="1">
        <v>1833</v>
      </c>
      <c r="B835" s="2">
        <v>45659</v>
      </c>
      <c r="C835" s="1" t="s">
        <v>10</v>
      </c>
      <c r="D835" s="1" t="s">
        <v>58</v>
      </c>
      <c r="E835" s="1" t="s">
        <v>31</v>
      </c>
      <c r="F835" s="1">
        <v>4576.63</v>
      </c>
      <c r="G835" s="1" t="s">
        <v>96</v>
      </c>
      <c r="H835" s="2">
        <v>36236</v>
      </c>
      <c r="I835" s="2">
        <v>45671</v>
      </c>
      <c r="J835" s="1">
        <v>18.88</v>
      </c>
      <c r="K835" s="4">
        <f t="shared" ref="K835:K898" si="26">F835*J835%</f>
        <v>864.06774399999995</v>
      </c>
      <c r="L835" s="4">
        <f t="shared" ref="L835:L898" si="27">F835-K835</f>
        <v>3712.5622560000002</v>
      </c>
    </row>
    <row r="836" spans="1:12" x14ac:dyDescent="0.3">
      <c r="A836" s="1">
        <v>1834</v>
      </c>
      <c r="B836" s="2">
        <v>45874</v>
      </c>
      <c r="C836" s="1" t="s">
        <v>26</v>
      </c>
      <c r="D836" s="1" t="s">
        <v>69</v>
      </c>
      <c r="E836" s="1" t="s">
        <v>12</v>
      </c>
      <c r="F836" s="1">
        <v>4328.8599999999997</v>
      </c>
      <c r="G836" s="1" t="s">
        <v>269</v>
      </c>
      <c r="H836" s="2">
        <v>30976</v>
      </c>
      <c r="I836" s="2">
        <v>45882</v>
      </c>
      <c r="J836" s="1">
        <v>2.94</v>
      </c>
      <c r="K836" s="4">
        <f t="shared" si="26"/>
        <v>127.26848399999999</v>
      </c>
      <c r="L836" s="4">
        <f t="shared" si="27"/>
        <v>4201.5915159999995</v>
      </c>
    </row>
    <row r="837" spans="1:12" x14ac:dyDescent="0.3">
      <c r="A837" s="1">
        <v>1835</v>
      </c>
      <c r="B837" s="2">
        <v>44960</v>
      </c>
      <c r="C837" s="1" t="s">
        <v>21</v>
      </c>
      <c r="D837" s="1" t="s">
        <v>33</v>
      </c>
      <c r="E837" s="1" t="s">
        <v>16</v>
      </c>
      <c r="F837" s="1">
        <v>916.62</v>
      </c>
      <c r="G837" s="1" t="s">
        <v>99</v>
      </c>
      <c r="H837" s="2">
        <v>26397</v>
      </c>
      <c r="I837" s="2">
        <v>44961</v>
      </c>
      <c r="J837" s="1">
        <v>34.35</v>
      </c>
      <c r="K837" s="4">
        <f t="shared" si="26"/>
        <v>314.85897</v>
      </c>
      <c r="L837" s="4">
        <f t="shared" si="27"/>
        <v>601.76103000000001</v>
      </c>
    </row>
    <row r="838" spans="1:12" x14ac:dyDescent="0.3">
      <c r="A838" s="1">
        <v>1836</v>
      </c>
      <c r="B838" s="2">
        <v>44353</v>
      </c>
      <c r="C838" s="1" t="s">
        <v>14</v>
      </c>
      <c r="D838" s="1" t="s">
        <v>18</v>
      </c>
      <c r="E838" s="1" t="s">
        <v>19</v>
      </c>
      <c r="F838" s="1">
        <v>1358.61</v>
      </c>
      <c r="G838" s="1" t="s">
        <v>92</v>
      </c>
      <c r="H838" s="2">
        <v>24544</v>
      </c>
      <c r="I838" s="2">
        <v>44355</v>
      </c>
      <c r="J838" s="1">
        <v>34.119999999999997</v>
      </c>
      <c r="K838" s="4">
        <f t="shared" si="26"/>
        <v>463.55773199999987</v>
      </c>
      <c r="L838" s="4">
        <f t="shared" si="27"/>
        <v>895.05226800000003</v>
      </c>
    </row>
    <row r="839" spans="1:12" x14ac:dyDescent="0.3">
      <c r="A839" s="1">
        <v>1837</v>
      </c>
      <c r="B839" s="2">
        <v>44285</v>
      </c>
      <c r="C839" s="1" t="s">
        <v>21</v>
      </c>
      <c r="D839" s="1" t="s">
        <v>30</v>
      </c>
      <c r="E839" s="1" t="s">
        <v>31</v>
      </c>
      <c r="F839" s="1">
        <v>243.73</v>
      </c>
      <c r="G839" s="1" t="s">
        <v>280</v>
      </c>
      <c r="H839" s="2">
        <v>29181</v>
      </c>
      <c r="I839" s="2">
        <v>44289</v>
      </c>
      <c r="J839" s="1">
        <v>24.17</v>
      </c>
      <c r="K839" s="4">
        <f t="shared" si="26"/>
        <v>58.909541000000004</v>
      </c>
      <c r="L839" s="4">
        <f t="shared" si="27"/>
        <v>184.82045899999997</v>
      </c>
    </row>
    <row r="840" spans="1:12" x14ac:dyDescent="0.3">
      <c r="A840" s="1">
        <v>1838</v>
      </c>
      <c r="B840" s="2">
        <v>45254</v>
      </c>
      <c r="C840" s="1" t="s">
        <v>21</v>
      </c>
      <c r="D840" s="1" t="s">
        <v>65</v>
      </c>
      <c r="E840" s="1" t="s">
        <v>19</v>
      </c>
      <c r="F840" s="1">
        <v>990.39</v>
      </c>
      <c r="G840" s="1" t="s">
        <v>233</v>
      </c>
      <c r="H840" s="2">
        <v>38826</v>
      </c>
      <c r="I840" s="2">
        <v>45256</v>
      </c>
      <c r="J840" s="1">
        <v>36.47</v>
      </c>
      <c r="K840" s="4">
        <f t="shared" si="26"/>
        <v>361.19523299999997</v>
      </c>
      <c r="L840" s="4">
        <f t="shared" si="27"/>
        <v>629.19476699999996</v>
      </c>
    </row>
    <row r="841" spans="1:12" x14ac:dyDescent="0.3">
      <c r="A841" s="1">
        <v>1839</v>
      </c>
      <c r="B841" s="2">
        <v>45605</v>
      </c>
      <c r="C841" s="1" t="s">
        <v>21</v>
      </c>
      <c r="D841" s="1" t="s">
        <v>38</v>
      </c>
      <c r="E841" s="1" t="s">
        <v>28</v>
      </c>
      <c r="F841" s="1">
        <v>2593.1999999999998</v>
      </c>
      <c r="G841" s="1" t="s">
        <v>66</v>
      </c>
      <c r="H841" s="2">
        <v>33192</v>
      </c>
      <c r="I841" s="2">
        <v>45613</v>
      </c>
      <c r="J841" s="1">
        <v>10.55</v>
      </c>
      <c r="K841" s="4">
        <f t="shared" si="26"/>
        <v>273.58260000000001</v>
      </c>
      <c r="L841" s="4">
        <f t="shared" si="27"/>
        <v>2319.6173999999996</v>
      </c>
    </row>
    <row r="842" spans="1:12" x14ac:dyDescent="0.3">
      <c r="A842" s="1">
        <v>1840</v>
      </c>
      <c r="B842" s="2">
        <v>44110</v>
      </c>
      <c r="C842" s="1" t="s">
        <v>35</v>
      </c>
      <c r="D842" s="1" t="s">
        <v>33</v>
      </c>
      <c r="E842" s="1" t="s">
        <v>16</v>
      </c>
      <c r="F842" s="1">
        <v>1090.21</v>
      </c>
      <c r="G842" s="1" t="s">
        <v>313</v>
      </c>
      <c r="H842" s="2">
        <v>23039</v>
      </c>
      <c r="I842" s="2">
        <v>44121</v>
      </c>
      <c r="J842" s="1">
        <v>39.01</v>
      </c>
      <c r="K842" s="4">
        <f t="shared" si="26"/>
        <v>425.29092100000003</v>
      </c>
      <c r="L842" s="4">
        <f t="shared" si="27"/>
        <v>664.91907900000001</v>
      </c>
    </row>
    <row r="843" spans="1:12" x14ac:dyDescent="0.3">
      <c r="A843" s="1">
        <v>1841</v>
      </c>
      <c r="B843" s="2">
        <v>44368</v>
      </c>
      <c r="C843" s="1" t="s">
        <v>35</v>
      </c>
      <c r="D843" s="1" t="s">
        <v>73</v>
      </c>
      <c r="E843" s="1" t="s">
        <v>28</v>
      </c>
      <c r="F843" s="1">
        <v>3523.01</v>
      </c>
      <c r="G843" s="1" t="s">
        <v>270</v>
      </c>
      <c r="H843" s="2">
        <v>23245</v>
      </c>
      <c r="I843" s="2">
        <v>44379</v>
      </c>
      <c r="J843" s="1">
        <v>22.07</v>
      </c>
      <c r="K843" s="4">
        <f t="shared" si="26"/>
        <v>777.52830700000004</v>
      </c>
      <c r="L843" s="4">
        <f t="shared" si="27"/>
        <v>2745.4816930000002</v>
      </c>
    </row>
    <row r="844" spans="1:12" x14ac:dyDescent="0.3">
      <c r="A844" s="1">
        <v>1842</v>
      </c>
      <c r="B844" s="2">
        <v>45356</v>
      </c>
      <c r="C844" s="1" t="s">
        <v>26</v>
      </c>
      <c r="D844" s="1" t="s">
        <v>44</v>
      </c>
      <c r="E844" s="1" t="s">
        <v>16</v>
      </c>
      <c r="F844" s="1">
        <v>107.9</v>
      </c>
      <c r="G844" s="1" t="s">
        <v>281</v>
      </c>
      <c r="H844" s="2">
        <v>37927</v>
      </c>
      <c r="I844" s="2">
        <v>45370</v>
      </c>
      <c r="J844" s="1">
        <v>13.2</v>
      </c>
      <c r="K844" s="4">
        <f t="shared" si="26"/>
        <v>14.242800000000001</v>
      </c>
      <c r="L844" s="4">
        <f t="shared" si="27"/>
        <v>93.657200000000003</v>
      </c>
    </row>
    <row r="845" spans="1:12" x14ac:dyDescent="0.3">
      <c r="A845" s="1">
        <v>1843</v>
      </c>
      <c r="B845" s="2">
        <v>44543</v>
      </c>
      <c r="C845" s="1" t="s">
        <v>21</v>
      </c>
      <c r="D845" s="1" t="s">
        <v>53</v>
      </c>
      <c r="E845" s="1" t="s">
        <v>28</v>
      </c>
      <c r="F845" s="1">
        <v>1622.49</v>
      </c>
      <c r="G845" s="1" t="s">
        <v>195</v>
      </c>
      <c r="H845" s="2">
        <v>28065</v>
      </c>
      <c r="I845" s="2">
        <v>44547</v>
      </c>
      <c r="J845" s="1">
        <v>3.71</v>
      </c>
      <c r="K845" s="4">
        <f t="shared" si="26"/>
        <v>60.194379000000005</v>
      </c>
      <c r="L845" s="4">
        <f t="shared" si="27"/>
        <v>1562.295621</v>
      </c>
    </row>
    <row r="846" spans="1:12" x14ac:dyDescent="0.3">
      <c r="A846" s="1">
        <v>1844</v>
      </c>
      <c r="B846" s="2">
        <v>44966</v>
      </c>
      <c r="C846" s="1" t="s">
        <v>14</v>
      </c>
      <c r="D846" s="1" t="s">
        <v>38</v>
      </c>
      <c r="E846" s="1" t="s">
        <v>28</v>
      </c>
      <c r="F846" s="1">
        <v>2212.08</v>
      </c>
      <c r="G846" s="1" t="s">
        <v>97</v>
      </c>
      <c r="H846" s="2">
        <v>24706</v>
      </c>
      <c r="I846" s="2">
        <v>44970</v>
      </c>
      <c r="J846" s="1">
        <v>27.15</v>
      </c>
      <c r="K846" s="4">
        <f t="shared" si="26"/>
        <v>600.57971999999995</v>
      </c>
      <c r="L846" s="4">
        <f t="shared" si="27"/>
        <v>1611.50028</v>
      </c>
    </row>
    <row r="847" spans="1:12" x14ac:dyDescent="0.3">
      <c r="A847" s="1">
        <v>1845</v>
      </c>
      <c r="B847" s="2">
        <v>45409</v>
      </c>
      <c r="C847" s="1" t="s">
        <v>14</v>
      </c>
      <c r="D847" s="1" t="s">
        <v>22</v>
      </c>
      <c r="E847" s="1" t="s">
        <v>19</v>
      </c>
      <c r="F847" s="1">
        <v>3809.6</v>
      </c>
      <c r="G847" s="1" t="s">
        <v>261</v>
      </c>
      <c r="H847" s="2">
        <v>23920</v>
      </c>
      <c r="I847" s="2">
        <v>45414</v>
      </c>
      <c r="J847" s="1">
        <v>1.83</v>
      </c>
      <c r="K847" s="4">
        <f t="shared" si="26"/>
        <v>69.715680000000006</v>
      </c>
      <c r="L847" s="4">
        <f t="shared" si="27"/>
        <v>3739.8843200000001</v>
      </c>
    </row>
    <row r="848" spans="1:12" x14ac:dyDescent="0.3">
      <c r="A848" s="1">
        <v>1846</v>
      </c>
      <c r="B848" s="2">
        <v>44952</v>
      </c>
      <c r="C848" s="1" t="s">
        <v>10</v>
      </c>
      <c r="D848" s="1" t="s">
        <v>30</v>
      </c>
      <c r="E848" s="1" t="s">
        <v>31</v>
      </c>
      <c r="F848" s="1">
        <v>3256.35</v>
      </c>
      <c r="G848" s="1" t="s">
        <v>249</v>
      </c>
      <c r="H848" s="2">
        <v>28555</v>
      </c>
      <c r="I848" s="2">
        <v>44958</v>
      </c>
      <c r="J848" s="1">
        <v>24.45</v>
      </c>
      <c r="K848" s="4">
        <f t="shared" si="26"/>
        <v>796.17757499999993</v>
      </c>
      <c r="L848" s="4">
        <f t="shared" si="27"/>
        <v>2460.1724249999997</v>
      </c>
    </row>
    <row r="849" spans="1:12" x14ac:dyDescent="0.3">
      <c r="A849" s="1">
        <v>1847</v>
      </c>
      <c r="B849" s="2">
        <v>44849</v>
      </c>
      <c r="C849" s="1" t="s">
        <v>21</v>
      </c>
      <c r="D849" s="1" t="s">
        <v>33</v>
      </c>
      <c r="E849" s="1" t="s">
        <v>16</v>
      </c>
      <c r="F849" s="1">
        <v>2688.59</v>
      </c>
      <c r="G849" s="1" t="s">
        <v>158</v>
      </c>
      <c r="H849" s="2">
        <v>34871</v>
      </c>
      <c r="I849" s="2">
        <v>44861</v>
      </c>
      <c r="J849" s="1">
        <v>38.090000000000003</v>
      </c>
      <c r="K849" s="4">
        <f t="shared" si="26"/>
        <v>1024.0839310000001</v>
      </c>
      <c r="L849" s="4">
        <f t="shared" si="27"/>
        <v>1664.506069</v>
      </c>
    </row>
    <row r="850" spans="1:12" x14ac:dyDescent="0.3">
      <c r="A850" s="1">
        <v>1848</v>
      </c>
      <c r="B850" s="2">
        <v>44156</v>
      </c>
      <c r="C850" s="1" t="s">
        <v>21</v>
      </c>
      <c r="D850" s="1" t="s">
        <v>18</v>
      </c>
      <c r="E850" s="1" t="s">
        <v>19</v>
      </c>
      <c r="F850" s="1">
        <v>3719.38</v>
      </c>
      <c r="G850" s="1" t="s">
        <v>264</v>
      </c>
      <c r="H850" s="2">
        <v>30232</v>
      </c>
      <c r="I850" s="2">
        <v>44169</v>
      </c>
      <c r="J850" s="1">
        <v>11</v>
      </c>
      <c r="K850" s="4">
        <f t="shared" si="26"/>
        <v>409.1318</v>
      </c>
      <c r="L850" s="4">
        <f t="shared" si="27"/>
        <v>3310.2482</v>
      </c>
    </row>
    <row r="851" spans="1:12" x14ac:dyDescent="0.3">
      <c r="A851" s="1">
        <v>1849</v>
      </c>
      <c r="B851" s="2">
        <v>45543</v>
      </c>
      <c r="C851" s="1" t="s">
        <v>26</v>
      </c>
      <c r="D851" s="1" t="s">
        <v>38</v>
      </c>
      <c r="E851" s="1" t="s">
        <v>28</v>
      </c>
      <c r="F851" s="1">
        <v>3753.68</v>
      </c>
      <c r="G851" s="1" t="s">
        <v>29</v>
      </c>
      <c r="H851" s="2">
        <v>24033</v>
      </c>
      <c r="I851" s="2">
        <v>45548</v>
      </c>
      <c r="J851" s="1">
        <v>4.47</v>
      </c>
      <c r="K851" s="4">
        <f t="shared" si="26"/>
        <v>167.78949599999999</v>
      </c>
      <c r="L851" s="4">
        <f t="shared" si="27"/>
        <v>3585.890504</v>
      </c>
    </row>
    <row r="852" spans="1:12" x14ac:dyDescent="0.3">
      <c r="A852" s="1">
        <v>1850</v>
      </c>
      <c r="B852" s="2">
        <v>44377</v>
      </c>
      <c r="C852" s="1" t="s">
        <v>10</v>
      </c>
      <c r="D852" s="1" t="s">
        <v>58</v>
      </c>
      <c r="E852" s="1" t="s">
        <v>31</v>
      </c>
      <c r="F852" s="1">
        <v>2546.6</v>
      </c>
      <c r="G852" s="1" t="s">
        <v>79</v>
      </c>
      <c r="H852" s="2">
        <v>28675</v>
      </c>
      <c r="I852" s="2">
        <v>44389</v>
      </c>
      <c r="J852" s="1">
        <v>20</v>
      </c>
      <c r="K852" s="4">
        <f t="shared" si="26"/>
        <v>509.32</v>
      </c>
      <c r="L852" s="4">
        <f t="shared" si="27"/>
        <v>2037.28</v>
      </c>
    </row>
    <row r="853" spans="1:12" x14ac:dyDescent="0.3">
      <c r="A853" s="1">
        <v>1851</v>
      </c>
      <c r="B853" s="2">
        <v>44300</v>
      </c>
      <c r="C853" s="1" t="s">
        <v>10</v>
      </c>
      <c r="D853" s="1" t="s">
        <v>27</v>
      </c>
      <c r="E853" s="1" t="s">
        <v>28</v>
      </c>
      <c r="F853" s="1">
        <v>2154.15</v>
      </c>
      <c r="G853" s="1" t="s">
        <v>115</v>
      </c>
      <c r="H853" s="2">
        <v>29486</v>
      </c>
      <c r="I853" s="2">
        <v>44302</v>
      </c>
      <c r="J853" s="1">
        <v>29.73</v>
      </c>
      <c r="K853" s="4">
        <f t="shared" si="26"/>
        <v>640.42879500000004</v>
      </c>
      <c r="L853" s="4">
        <f t="shared" si="27"/>
        <v>1513.7212050000001</v>
      </c>
    </row>
    <row r="854" spans="1:12" x14ac:dyDescent="0.3">
      <c r="A854" s="1">
        <v>1852</v>
      </c>
      <c r="B854" s="2">
        <v>45095</v>
      </c>
      <c r="C854" s="1" t="s">
        <v>26</v>
      </c>
      <c r="D854" s="1" t="s">
        <v>55</v>
      </c>
      <c r="E854" s="1" t="s">
        <v>31</v>
      </c>
      <c r="F854" s="1">
        <v>2704.11</v>
      </c>
      <c r="G854" s="1" t="s">
        <v>318</v>
      </c>
      <c r="H854" s="2">
        <v>29040</v>
      </c>
      <c r="I854" s="2">
        <v>45105</v>
      </c>
      <c r="J854" s="1">
        <v>47.58</v>
      </c>
      <c r="K854" s="4">
        <f t="shared" si="26"/>
        <v>1286.615538</v>
      </c>
      <c r="L854" s="4">
        <f t="shared" si="27"/>
        <v>1417.4944620000001</v>
      </c>
    </row>
    <row r="855" spans="1:12" x14ac:dyDescent="0.3">
      <c r="A855" s="1">
        <v>1853</v>
      </c>
      <c r="B855" s="2">
        <v>45761</v>
      </c>
      <c r="C855" s="1" t="s">
        <v>26</v>
      </c>
      <c r="D855" s="1" t="s">
        <v>44</v>
      </c>
      <c r="E855" s="1" t="s">
        <v>16</v>
      </c>
      <c r="F855" s="1">
        <v>4847.57</v>
      </c>
      <c r="G855" s="1" t="s">
        <v>129</v>
      </c>
      <c r="H855" s="2">
        <v>26668</v>
      </c>
      <c r="I855" s="2">
        <v>45774</v>
      </c>
      <c r="J855" s="1">
        <v>20.95</v>
      </c>
      <c r="K855" s="4">
        <f t="shared" si="26"/>
        <v>1015.5659149999999</v>
      </c>
      <c r="L855" s="4">
        <f t="shared" si="27"/>
        <v>3832.0040849999996</v>
      </c>
    </row>
    <row r="856" spans="1:12" x14ac:dyDescent="0.3">
      <c r="A856" s="1">
        <v>1854</v>
      </c>
      <c r="B856" s="2">
        <v>44775</v>
      </c>
      <c r="C856" s="1" t="s">
        <v>14</v>
      </c>
      <c r="D856" s="1" t="s">
        <v>102</v>
      </c>
      <c r="E856" s="1" t="s">
        <v>12</v>
      </c>
      <c r="F856" s="1">
        <v>1515.6</v>
      </c>
      <c r="G856" s="1" t="s">
        <v>288</v>
      </c>
      <c r="H856" s="2">
        <v>29810</v>
      </c>
      <c r="I856" s="2">
        <v>44776</v>
      </c>
      <c r="J856" s="1">
        <v>41.79</v>
      </c>
      <c r="K856" s="4">
        <f t="shared" si="26"/>
        <v>633.36923999999999</v>
      </c>
      <c r="L856" s="4">
        <f t="shared" si="27"/>
        <v>882.23075999999992</v>
      </c>
    </row>
    <row r="857" spans="1:12" x14ac:dyDescent="0.3">
      <c r="A857" s="1">
        <v>1855</v>
      </c>
      <c r="B857" s="2">
        <v>45325</v>
      </c>
      <c r="C857" s="1" t="s">
        <v>21</v>
      </c>
      <c r="D857" s="1" t="s">
        <v>40</v>
      </c>
      <c r="E857" s="1" t="s">
        <v>16</v>
      </c>
      <c r="F857" s="1">
        <v>3383.21</v>
      </c>
      <c r="G857" s="1" t="s">
        <v>90</v>
      </c>
      <c r="H857" s="2">
        <v>29348</v>
      </c>
      <c r="I857" s="2">
        <v>45339</v>
      </c>
      <c r="J857" s="1">
        <v>0.5</v>
      </c>
      <c r="K857" s="4">
        <f t="shared" si="26"/>
        <v>16.916050000000002</v>
      </c>
      <c r="L857" s="4">
        <f t="shared" si="27"/>
        <v>3366.2939500000002</v>
      </c>
    </row>
    <row r="858" spans="1:12" x14ac:dyDescent="0.3">
      <c r="A858" s="1">
        <v>1856</v>
      </c>
      <c r="B858" s="2">
        <v>45470</v>
      </c>
      <c r="C858" s="1" t="s">
        <v>21</v>
      </c>
      <c r="D858" s="1" t="s">
        <v>102</v>
      </c>
      <c r="E858" s="1" t="s">
        <v>12</v>
      </c>
      <c r="F858" s="1">
        <v>2564.0300000000002</v>
      </c>
      <c r="G858" s="1" t="s">
        <v>151</v>
      </c>
      <c r="H858" s="2">
        <v>34427</v>
      </c>
      <c r="I858" s="2">
        <v>45472</v>
      </c>
      <c r="J858" s="1">
        <v>18.93</v>
      </c>
      <c r="K858" s="4">
        <f t="shared" si="26"/>
        <v>485.370879</v>
      </c>
      <c r="L858" s="4">
        <f t="shared" si="27"/>
        <v>2078.6591210000001</v>
      </c>
    </row>
    <row r="859" spans="1:12" x14ac:dyDescent="0.3">
      <c r="A859" s="1">
        <v>1857</v>
      </c>
      <c r="B859" s="2">
        <v>44287</v>
      </c>
      <c r="C859" s="1" t="s">
        <v>35</v>
      </c>
      <c r="D859" s="1" t="s">
        <v>36</v>
      </c>
      <c r="E859" s="1" t="s">
        <v>28</v>
      </c>
      <c r="F859" s="1">
        <v>1906.35</v>
      </c>
      <c r="G859" s="1" t="s">
        <v>293</v>
      </c>
      <c r="H859" s="2">
        <v>26379</v>
      </c>
      <c r="I859" s="2">
        <v>44299</v>
      </c>
      <c r="J859" s="1">
        <v>49.06</v>
      </c>
      <c r="K859" s="4">
        <f t="shared" si="26"/>
        <v>935.25531000000001</v>
      </c>
      <c r="L859" s="4">
        <f t="shared" si="27"/>
        <v>971.0946899999999</v>
      </c>
    </row>
    <row r="860" spans="1:12" x14ac:dyDescent="0.3">
      <c r="A860" s="1">
        <v>1858</v>
      </c>
      <c r="B860" s="2">
        <v>44074</v>
      </c>
      <c r="C860" s="1" t="s">
        <v>26</v>
      </c>
      <c r="D860" s="1" t="s">
        <v>47</v>
      </c>
      <c r="E860" s="1" t="s">
        <v>12</v>
      </c>
      <c r="F860" s="1">
        <v>1614.92</v>
      </c>
      <c r="G860" s="1" t="s">
        <v>307</v>
      </c>
      <c r="H860" s="2">
        <v>30321</v>
      </c>
      <c r="I860" s="2">
        <v>44087</v>
      </c>
      <c r="J860" s="1">
        <v>30.95</v>
      </c>
      <c r="K860" s="4">
        <f t="shared" si="26"/>
        <v>499.81774000000001</v>
      </c>
      <c r="L860" s="4">
        <f t="shared" si="27"/>
        <v>1115.1022600000001</v>
      </c>
    </row>
    <row r="861" spans="1:12" x14ac:dyDescent="0.3">
      <c r="A861" s="1">
        <v>1859</v>
      </c>
      <c r="B861" s="2">
        <v>45255</v>
      </c>
      <c r="C861" s="1" t="s">
        <v>21</v>
      </c>
      <c r="D861" s="1" t="s">
        <v>30</v>
      </c>
      <c r="E861" s="1" t="s">
        <v>31</v>
      </c>
      <c r="F861" s="1">
        <v>3361.27</v>
      </c>
      <c r="G861" s="1" t="s">
        <v>152</v>
      </c>
      <c r="H861" s="2">
        <v>24792</v>
      </c>
      <c r="I861" s="2">
        <v>45261</v>
      </c>
      <c r="J861" s="1">
        <v>19.77</v>
      </c>
      <c r="K861" s="4">
        <f t="shared" si="26"/>
        <v>664.52307899999994</v>
      </c>
      <c r="L861" s="4">
        <f t="shared" si="27"/>
        <v>2696.7469209999999</v>
      </c>
    </row>
    <row r="862" spans="1:12" x14ac:dyDescent="0.3">
      <c r="A862" s="1">
        <v>1860</v>
      </c>
      <c r="B862" s="2">
        <v>44742</v>
      </c>
      <c r="C862" s="1" t="s">
        <v>10</v>
      </c>
      <c r="D862" s="1" t="s">
        <v>36</v>
      </c>
      <c r="E862" s="1" t="s">
        <v>28</v>
      </c>
      <c r="F862" s="1">
        <v>4381.4799999999996</v>
      </c>
      <c r="G862" s="1" t="s">
        <v>168</v>
      </c>
      <c r="H862" s="2">
        <v>37674</v>
      </c>
      <c r="I862" s="2">
        <v>44747</v>
      </c>
      <c r="J862" s="1">
        <v>34.39</v>
      </c>
      <c r="K862" s="4">
        <f t="shared" si="26"/>
        <v>1506.7909719999998</v>
      </c>
      <c r="L862" s="4">
        <f t="shared" si="27"/>
        <v>2874.6890279999998</v>
      </c>
    </row>
    <row r="863" spans="1:12" x14ac:dyDescent="0.3">
      <c r="A863" s="1">
        <v>1861</v>
      </c>
      <c r="B863" s="2">
        <v>45363</v>
      </c>
      <c r="C863" s="1" t="s">
        <v>10</v>
      </c>
      <c r="D863" s="1" t="s">
        <v>47</v>
      </c>
      <c r="E863" s="1" t="s">
        <v>12</v>
      </c>
      <c r="F863" s="1">
        <v>1228.29</v>
      </c>
      <c r="G863" s="1" t="s">
        <v>170</v>
      </c>
      <c r="H863" s="2">
        <v>34205</v>
      </c>
      <c r="I863" s="2">
        <v>45369</v>
      </c>
      <c r="J863" s="1">
        <v>37.17</v>
      </c>
      <c r="K863" s="4">
        <f t="shared" si="26"/>
        <v>456.55539300000004</v>
      </c>
      <c r="L863" s="4">
        <f t="shared" si="27"/>
        <v>771.73460699999987</v>
      </c>
    </row>
    <row r="864" spans="1:12" x14ac:dyDescent="0.3">
      <c r="A864" s="1">
        <v>1862</v>
      </c>
      <c r="B864" s="2">
        <v>45341</v>
      </c>
      <c r="C864" s="1" t="s">
        <v>35</v>
      </c>
      <c r="D864" s="1" t="s">
        <v>30</v>
      </c>
      <c r="E864" s="1" t="s">
        <v>31</v>
      </c>
      <c r="F864" s="1">
        <v>4132.25</v>
      </c>
      <c r="G864" s="1" t="s">
        <v>259</v>
      </c>
      <c r="H864" s="2">
        <v>29938</v>
      </c>
      <c r="I864" s="2">
        <v>45351</v>
      </c>
      <c r="J864" s="1">
        <v>5.89</v>
      </c>
      <c r="K864" s="4">
        <f t="shared" si="26"/>
        <v>243.38952499999996</v>
      </c>
      <c r="L864" s="4">
        <f t="shared" si="27"/>
        <v>3888.860475</v>
      </c>
    </row>
    <row r="865" spans="1:12" x14ac:dyDescent="0.3">
      <c r="A865" s="1">
        <v>1863</v>
      </c>
      <c r="B865" s="2">
        <v>45165</v>
      </c>
      <c r="C865" s="1" t="s">
        <v>21</v>
      </c>
      <c r="D865" s="1" t="s">
        <v>24</v>
      </c>
      <c r="E865" s="1" t="s">
        <v>19</v>
      </c>
      <c r="F865" s="1">
        <v>2580.6</v>
      </c>
      <c r="G865" s="1" t="s">
        <v>122</v>
      </c>
      <c r="H865" s="2">
        <v>29720</v>
      </c>
      <c r="I865" s="2">
        <v>45166</v>
      </c>
      <c r="J865" s="1">
        <v>43.12</v>
      </c>
      <c r="K865" s="4">
        <f t="shared" si="26"/>
        <v>1112.7547199999999</v>
      </c>
      <c r="L865" s="4">
        <f t="shared" si="27"/>
        <v>1467.84528</v>
      </c>
    </row>
    <row r="866" spans="1:12" x14ac:dyDescent="0.3">
      <c r="A866" s="1">
        <v>1864</v>
      </c>
      <c r="B866" s="2">
        <v>44130</v>
      </c>
      <c r="C866" s="1" t="s">
        <v>35</v>
      </c>
      <c r="D866" s="1" t="s">
        <v>71</v>
      </c>
      <c r="E866" s="1" t="s">
        <v>31</v>
      </c>
      <c r="F866" s="1">
        <v>3797.46</v>
      </c>
      <c r="G866" s="1" t="s">
        <v>39</v>
      </c>
      <c r="H866" s="2">
        <v>26282</v>
      </c>
      <c r="I866" s="2">
        <v>44133</v>
      </c>
      <c r="J866" s="1">
        <v>12.07</v>
      </c>
      <c r="K866" s="4">
        <f t="shared" si="26"/>
        <v>458.35342200000002</v>
      </c>
      <c r="L866" s="4">
        <f t="shared" si="27"/>
        <v>3339.1065779999999</v>
      </c>
    </row>
    <row r="867" spans="1:12" x14ac:dyDescent="0.3">
      <c r="A867" s="1">
        <v>1865</v>
      </c>
      <c r="B867" s="2">
        <v>44388</v>
      </c>
      <c r="C867" s="1" t="s">
        <v>26</v>
      </c>
      <c r="D867" s="1" t="s">
        <v>18</v>
      </c>
      <c r="E867" s="1" t="s">
        <v>19</v>
      </c>
      <c r="F867" s="1">
        <v>4549.6400000000003</v>
      </c>
      <c r="G867" s="1" t="s">
        <v>179</v>
      </c>
      <c r="H867" s="2">
        <v>30356</v>
      </c>
      <c r="I867" s="2">
        <v>44401</v>
      </c>
      <c r="J867" s="1">
        <v>10.16</v>
      </c>
      <c r="K867" s="4">
        <f t="shared" si="26"/>
        <v>462.243424</v>
      </c>
      <c r="L867" s="4">
        <f t="shared" si="27"/>
        <v>4087.3965760000001</v>
      </c>
    </row>
    <row r="868" spans="1:12" x14ac:dyDescent="0.3">
      <c r="A868" s="1">
        <v>1866</v>
      </c>
      <c r="B868" s="2">
        <v>45399</v>
      </c>
      <c r="C868" s="1" t="s">
        <v>10</v>
      </c>
      <c r="D868" s="1" t="s">
        <v>61</v>
      </c>
      <c r="E868" s="1" t="s">
        <v>19</v>
      </c>
      <c r="F868" s="1">
        <v>1168.96</v>
      </c>
      <c r="G868" s="1" t="s">
        <v>209</v>
      </c>
      <c r="H868" s="2">
        <v>28522</v>
      </c>
      <c r="I868" s="2">
        <v>45401</v>
      </c>
      <c r="J868" s="1">
        <v>28.15</v>
      </c>
      <c r="K868" s="4">
        <f t="shared" si="26"/>
        <v>329.06223999999997</v>
      </c>
      <c r="L868" s="4">
        <f t="shared" si="27"/>
        <v>839.89776000000006</v>
      </c>
    </row>
    <row r="869" spans="1:12" x14ac:dyDescent="0.3">
      <c r="A869" s="1">
        <v>1867</v>
      </c>
      <c r="B869" s="2">
        <v>44281</v>
      </c>
      <c r="C869" s="1" t="s">
        <v>26</v>
      </c>
      <c r="D869" s="1" t="s">
        <v>15</v>
      </c>
      <c r="E869" s="1" t="s">
        <v>16</v>
      </c>
      <c r="F869" s="1">
        <v>1671.07</v>
      </c>
      <c r="G869" s="1" t="s">
        <v>256</v>
      </c>
      <c r="H869" s="2">
        <v>34537</v>
      </c>
      <c r="I869" s="2">
        <v>44282</v>
      </c>
      <c r="J869" s="1">
        <v>24.73</v>
      </c>
      <c r="K869" s="4">
        <f t="shared" si="26"/>
        <v>413.25561099999999</v>
      </c>
      <c r="L869" s="4">
        <f t="shared" si="27"/>
        <v>1257.8143889999999</v>
      </c>
    </row>
    <row r="870" spans="1:12" x14ac:dyDescent="0.3">
      <c r="A870" s="1">
        <v>1868</v>
      </c>
      <c r="B870" s="2">
        <v>44618</v>
      </c>
      <c r="C870" s="1" t="s">
        <v>26</v>
      </c>
      <c r="D870" s="1" t="s">
        <v>40</v>
      </c>
      <c r="E870" s="1" t="s">
        <v>16</v>
      </c>
      <c r="F870" s="1">
        <v>937.21</v>
      </c>
      <c r="G870" s="1" t="s">
        <v>308</v>
      </c>
      <c r="H870" s="2">
        <v>35336</v>
      </c>
      <c r="I870" s="2">
        <v>44625</v>
      </c>
      <c r="J870" s="1">
        <v>17.100000000000001</v>
      </c>
      <c r="K870" s="4">
        <f t="shared" si="26"/>
        <v>160.26291000000001</v>
      </c>
      <c r="L870" s="4">
        <f t="shared" si="27"/>
        <v>776.94709</v>
      </c>
    </row>
    <row r="871" spans="1:12" x14ac:dyDescent="0.3">
      <c r="A871" s="1">
        <v>1869</v>
      </c>
      <c r="B871" s="2">
        <v>44481</v>
      </c>
      <c r="C871" s="1" t="s">
        <v>21</v>
      </c>
      <c r="D871" s="1" t="s">
        <v>18</v>
      </c>
      <c r="E871" s="1" t="s">
        <v>19</v>
      </c>
      <c r="F871" s="1">
        <v>2759.07</v>
      </c>
      <c r="G871" s="1" t="s">
        <v>48</v>
      </c>
      <c r="H871" s="2">
        <v>22315</v>
      </c>
      <c r="I871" s="2">
        <v>44487</v>
      </c>
      <c r="J871" s="1">
        <v>3.82</v>
      </c>
      <c r="K871" s="4">
        <f t="shared" si="26"/>
        <v>105.396474</v>
      </c>
      <c r="L871" s="4">
        <f t="shared" si="27"/>
        <v>2653.673526</v>
      </c>
    </row>
    <row r="872" spans="1:12" x14ac:dyDescent="0.3">
      <c r="A872" s="1">
        <v>1870</v>
      </c>
      <c r="B872" s="2">
        <v>44294</v>
      </c>
      <c r="C872" s="1" t="s">
        <v>35</v>
      </c>
      <c r="D872" s="1" t="s">
        <v>40</v>
      </c>
      <c r="E872" s="1" t="s">
        <v>16</v>
      </c>
      <c r="F872" s="1">
        <v>107.06</v>
      </c>
      <c r="G872" s="1" t="s">
        <v>99</v>
      </c>
      <c r="H872" s="2">
        <v>26397</v>
      </c>
      <c r="I872" s="2">
        <v>44308</v>
      </c>
      <c r="J872" s="1">
        <v>7.95</v>
      </c>
      <c r="K872" s="4">
        <f t="shared" si="26"/>
        <v>8.5112699999999997</v>
      </c>
      <c r="L872" s="4">
        <f t="shared" si="27"/>
        <v>98.548730000000006</v>
      </c>
    </row>
    <row r="873" spans="1:12" x14ac:dyDescent="0.3">
      <c r="A873" s="1">
        <v>1871</v>
      </c>
      <c r="B873" s="2">
        <v>44943</v>
      </c>
      <c r="C873" s="1" t="s">
        <v>21</v>
      </c>
      <c r="D873" s="1" t="s">
        <v>24</v>
      </c>
      <c r="E873" s="1" t="s">
        <v>19</v>
      </c>
      <c r="F873" s="1">
        <v>1991.2</v>
      </c>
      <c r="G873" s="1" t="s">
        <v>151</v>
      </c>
      <c r="H873" s="2">
        <v>34427</v>
      </c>
      <c r="I873" s="2">
        <v>44955</v>
      </c>
      <c r="J873" s="1">
        <v>36.869999999999997</v>
      </c>
      <c r="K873" s="4">
        <f t="shared" si="26"/>
        <v>734.15544</v>
      </c>
      <c r="L873" s="4">
        <f t="shared" si="27"/>
        <v>1257.04456</v>
      </c>
    </row>
    <row r="874" spans="1:12" x14ac:dyDescent="0.3">
      <c r="A874" s="1">
        <v>1872</v>
      </c>
      <c r="B874" s="2">
        <v>45225</v>
      </c>
      <c r="C874" s="1" t="s">
        <v>26</v>
      </c>
      <c r="D874" s="1" t="s">
        <v>27</v>
      </c>
      <c r="E874" s="1" t="s">
        <v>28</v>
      </c>
      <c r="F874" s="1">
        <v>4245.3900000000003</v>
      </c>
      <c r="G874" s="1" t="s">
        <v>17</v>
      </c>
      <c r="H874" s="2">
        <v>26484</v>
      </c>
      <c r="I874" s="2">
        <v>45239</v>
      </c>
      <c r="J874" s="1">
        <v>43.28</v>
      </c>
      <c r="K874" s="4">
        <f t="shared" si="26"/>
        <v>1837.4047920000003</v>
      </c>
      <c r="L874" s="4">
        <f t="shared" si="27"/>
        <v>2407.9852080000001</v>
      </c>
    </row>
    <row r="875" spans="1:12" x14ac:dyDescent="0.3">
      <c r="A875" s="1">
        <v>1873</v>
      </c>
      <c r="B875" s="2">
        <v>44844</v>
      </c>
      <c r="C875" s="1" t="s">
        <v>10</v>
      </c>
      <c r="D875" s="1" t="s">
        <v>47</v>
      </c>
      <c r="E875" s="1" t="s">
        <v>12</v>
      </c>
      <c r="F875" s="1">
        <v>824.63</v>
      </c>
      <c r="G875" s="1" t="s">
        <v>302</v>
      </c>
      <c r="H875" s="2">
        <v>32940</v>
      </c>
      <c r="I875" s="2">
        <v>44857</v>
      </c>
      <c r="J875" s="1">
        <v>18.21</v>
      </c>
      <c r="K875" s="4">
        <f t="shared" si="26"/>
        <v>150.16512300000002</v>
      </c>
      <c r="L875" s="4">
        <f t="shared" si="27"/>
        <v>674.464877</v>
      </c>
    </row>
    <row r="876" spans="1:12" x14ac:dyDescent="0.3">
      <c r="A876" s="1">
        <v>1874</v>
      </c>
      <c r="B876" s="2">
        <v>45511</v>
      </c>
      <c r="C876" s="1" t="s">
        <v>10</v>
      </c>
      <c r="D876" s="1" t="s">
        <v>27</v>
      </c>
      <c r="E876" s="1" t="s">
        <v>28</v>
      </c>
      <c r="F876" s="1">
        <v>3686.64</v>
      </c>
      <c r="G876" s="1" t="s">
        <v>128</v>
      </c>
      <c r="H876" s="2">
        <v>37961</v>
      </c>
      <c r="I876" s="2">
        <v>45515</v>
      </c>
      <c r="J876" s="1">
        <v>29.45</v>
      </c>
      <c r="K876" s="4">
        <f t="shared" si="26"/>
        <v>1085.7154799999998</v>
      </c>
      <c r="L876" s="4">
        <f t="shared" si="27"/>
        <v>2600.92452</v>
      </c>
    </row>
    <row r="877" spans="1:12" x14ac:dyDescent="0.3">
      <c r="A877" s="1">
        <v>1875</v>
      </c>
      <c r="B877" s="2">
        <v>44441</v>
      </c>
      <c r="C877" s="1" t="s">
        <v>35</v>
      </c>
      <c r="D877" s="1" t="s">
        <v>88</v>
      </c>
      <c r="E877" s="1" t="s">
        <v>16</v>
      </c>
      <c r="F877" s="1">
        <v>4552.8100000000004</v>
      </c>
      <c r="G877" s="1" t="s">
        <v>242</v>
      </c>
      <c r="H877" s="2">
        <v>21785</v>
      </c>
      <c r="I877" s="2">
        <v>44447</v>
      </c>
      <c r="J877" s="1">
        <v>24.52</v>
      </c>
      <c r="K877" s="4">
        <f t="shared" si="26"/>
        <v>1116.3490120000001</v>
      </c>
      <c r="L877" s="4">
        <f t="shared" si="27"/>
        <v>3436.4609880000003</v>
      </c>
    </row>
    <row r="878" spans="1:12" x14ac:dyDescent="0.3">
      <c r="A878" s="1">
        <v>1876</v>
      </c>
      <c r="B878" s="2">
        <v>44153</v>
      </c>
      <c r="C878" s="1" t="s">
        <v>14</v>
      </c>
      <c r="D878" s="1" t="s">
        <v>69</v>
      </c>
      <c r="E878" s="1" t="s">
        <v>12</v>
      </c>
      <c r="F878" s="1">
        <v>4191.99</v>
      </c>
      <c r="G878" s="1" t="s">
        <v>41</v>
      </c>
      <c r="H878" s="2">
        <v>35818</v>
      </c>
      <c r="I878" s="2">
        <v>44157</v>
      </c>
      <c r="J878" s="1">
        <v>49.69</v>
      </c>
      <c r="K878" s="4">
        <f t="shared" si="26"/>
        <v>2082.9998309999996</v>
      </c>
      <c r="L878" s="4">
        <f t="shared" si="27"/>
        <v>2108.9901690000002</v>
      </c>
    </row>
    <row r="879" spans="1:12" x14ac:dyDescent="0.3">
      <c r="A879" s="1">
        <v>1877</v>
      </c>
      <c r="B879" s="2">
        <v>45420</v>
      </c>
      <c r="C879" s="1" t="s">
        <v>21</v>
      </c>
      <c r="D879" s="1" t="s">
        <v>55</v>
      </c>
      <c r="E879" s="1" t="s">
        <v>31</v>
      </c>
      <c r="F879" s="1">
        <v>2333.7399999999998</v>
      </c>
      <c r="G879" s="1" t="s">
        <v>275</v>
      </c>
      <c r="H879" s="2">
        <v>38510</v>
      </c>
      <c r="I879" s="2">
        <v>45423</v>
      </c>
      <c r="J879" s="1">
        <v>19</v>
      </c>
      <c r="K879" s="4">
        <f t="shared" si="26"/>
        <v>443.41059999999999</v>
      </c>
      <c r="L879" s="4">
        <f t="shared" si="27"/>
        <v>1890.3293999999999</v>
      </c>
    </row>
    <row r="880" spans="1:12" x14ac:dyDescent="0.3">
      <c r="A880" s="1">
        <v>1878</v>
      </c>
      <c r="B880" s="2">
        <v>45672</v>
      </c>
      <c r="C880" s="1" t="s">
        <v>21</v>
      </c>
      <c r="D880" s="1" t="s">
        <v>58</v>
      </c>
      <c r="E880" s="1" t="s">
        <v>31</v>
      </c>
      <c r="F880" s="1">
        <v>2214.59</v>
      </c>
      <c r="G880" s="1" t="s">
        <v>246</v>
      </c>
      <c r="H880" s="2">
        <v>25815</v>
      </c>
      <c r="I880" s="2">
        <v>45680</v>
      </c>
      <c r="J880" s="1">
        <v>35.99</v>
      </c>
      <c r="K880" s="4">
        <f t="shared" si="26"/>
        <v>797.0309410000001</v>
      </c>
      <c r="L880" s="4">
        <f t="shared" si="27"/>
        <v>1417.5590590000002</v>
      </c>
    </row>
    <row r="881" spans="1:12" x14ac:dyDescent="0.3">
      <c r="A881" s="1">
        <v>1879</v>
      </c>
      <c r="B881" s="2">
        <v>45408</v>
      </c>
      <c r="C881" s="1" t="s">
        <v>35</v>
      </c>
      <c r="D881" s="1" t="s">
        <v>61</v>
      </c>
      <c r="E881" s="1" t="s">
        <v>19</v>
      </c>
      <c r="F881" s="1">
        <v>4760.96</v>
      </c>
      <c r="G881" s="1" t="s">
        <v>302</v>
      </c>
      <c r="H881" s="2">
        <v>32940</v>
      </c>
      <c r="I881" s="2">
        <v>45419</v>
      </c>
      <c r="J881" s="1">
        <v>35.76</v>
      </c>
      <c r="K881" s="4">
        <f t="shared" si="26"/>
        <v>1702.5192959999999</v>
      </c>
      <c r="L881" s="4">
        <f t="shared" si="27"/>
        <v>3058.4407040000001</v>
      </c>
    </row>
    <row r="882" spans="1:12" x14ac:dyDescent="0.3">
      <c r="A882" s="1">
        <v>1880</v>
      </c>
      <c r="B882" s="2">
        <v>45566</v>
      </c>
      <c r="C882" s="1" t="s">
        <v>10</v>
      </c>
      <c r="D882" s="1" t="s">
        <v>102</v>
      </c>
      <c r="E882" s="1" t="s">
        <v>12</v>
      </c>
      <c r="F882" s="1">
        <v>3235.85</v>
      </c>
      <c r="G882" s="1" t="s">
        <v>182</v>
      </c>
      <c r="H882" s="2">
        <v>24719</v>
      </c>
      <c r="I882" s="2">
        <v>45571</v>
      </c>
      <c r="J882" s="1">
        <v>45.02</v>
      </c>
      <c r="K882" s="4">
        <f t="shared" si="26"/>
        <v>1456.7796700000001</v>
      </c>
      <c r="L882" s="4">
        <f t="shared" si="27"/>
        <v>1779.0703299999998</v>
      </c>
    </row>
    <row r="883" spans="1:12" x14ac:dyDescent="0.3">
      <c r="A883" s="1">
        <v>1881</v>
      </c>
      <c r="B883" s="2">
        <v>44299</v>
      </c>
      <c r="C883" s="1" t="s">
        <v>21</v>
      </c>
      <c r="D883" s="1" t="s">
        <v>49</v>
      </c>
      <c r="E883" s="1" t="s">
        <v>12</v>
      </c>
      <c r="F883" s="1">
        <v>126.77</v>
      </c>
      <c r="G883" s="1" t="s">
        <v>60</v>
      </c>
      <c r="H883" s="2">
        <v>33482</v>
      </c>
      <c r="I883" s="2">
        <v>44306</v>
      </c>
      <c r="J883" s="1">
        <v>22.3</v>
      </c>
      <c r="K883" s="4">
        <f t="shared" si="26"/>
        <v>28.26971</v>
      </c>
      <c r="L883" s="4">
        <f t="shared" si="27"/>
        <v>98.500289999999993</v>
      </c>
    </row>
    <row r="884" spans="1:12" x14ac:dyDescent="0.3">
      <c r="A884" s="1">
        <v>1882</v>
      </c>
      <c r="B884" s="2">
        <v>44507</v>
      </c>
      <c r="C884" s="1" t="s">
        <v>10</v>
      </c>
      <c r="D884" s="1" t="s">
        <v>30</v>
      </c>
      <c r="E884" s="1" t="s">
        <v>31</v>
      </c>
      <c r="F884" s="1">
        <v>1293.52</v>
      </c>
      <c r="G884" s="1" t="s">
        <v>227</v>
      </c>
      <c r="H884" s="2">
        <v>34932</v>
      </c>
      <c r="I884" s="2">
        <v>44508</v>
      </c>
      <c r="J884" s="1">
        <v>14.31</v>
      </c>
      <c r="K884" s="4">
        <f t="shared" si="26"/>
        <v>185.102712</v>
      </c>
      <c r="L884" s="4">
        <f t="shared" si="27"/>
        <v>1108.4172880000001</v>
      </c>
    </row>
    <row r="885" spans="1:12" x14ac:dyDescent="0.3">
      <c r="A885" s="1">
        <v>1883</v>
      </c>
      <c r="B885" s="2">
        <v>45054</v>
      </c>
      <c r="C885" s="1" t="s">
        <v>35</v>
      </c>
      <c r="D885" s="1" t="s">
        <v>49</v>
      </c>
      <c r="E885" s="1" t="s">
        <v>12</v>
      </c>
      <c r="F885" s="1">
        <v>317.56</v>
      </c>
      <c r="G885" s="1" t="s">
        <v>156</v>
      </c>
      <c r="H885" s="2">
        <v>38693</v>
      </c>
      <c r="I885" s="2">
        <v>45061</v>
      </c>
      <c r="J885" s="1">
        <v>1.25</v>
      </c>
      <c r="K885" s="4">
        <f t="shared" si="26"/>
        <v>3.9695</v>
      </c>
      <c r="L885" s="4">
        <f t="shared" si="27"/>
        <v>313.59050000000002</v>
      </c>
    </row>
    <row r="886" spans="1:12" x14ac:dyDescent="0.3">
      <c r="A886" s="1">
        <v>1884</v>
      </c>
      <c r="B886" s="2">
        <v>45504</v>
      </c>
      <c r="C886" s="1" t="s">
        <v>35</v>
      </c>
      <c r="D886" s="1" t="s">
        <v>47</v>
      </c>
      <c r="E886" s="1" t="s">
        <v>12</v>
      </c>
      <c r="F886" s="1">
        <v>2637.23</v>
      </c>
      <c r="G886" s="1" t="s">
        <v>183</v>
      </c>
      <c r="H886" s="2">
        <v>32359</v>
      </c>
      <c r="I886" s="2">
        <v>45507</v>
      </c>
      <c r="J886" s="1">
        <v>31.36</v>
      </c>
      <c r="K886" s="4">
        <f t="shared" si="26"/>
        <v>827.03532799999994</v>
      </c>
      <c r="L886" s="4">
        <f t="shared" si="27"/>
        <v>1810.1946720000001</v>
      </c>
    </row>
    <row r="887" spans="1:12" x14ac:dyDescent="0.3">
      <c r="A887" s="1">
        <v>1885</v>
      </c>
      <c r="B887" s="2">
        <v>45328</v>
      </c>
      <c r="C887" s="1" t="s">
        <v>14</v>
      </c>
      <c r="D887" s="1" t="s">
        <v>22</v>
      </c>
      <c r="E887" s="1" t="s">
        <v>19</v>
      </c>
      <c r="F887" s="1">
        <v>224.05</v>
      </c>
      <c r="G887" s="1" t="s">
        <v>313</v>
      </c>
      <c r="H887" s="2">
        <v>23039</v>
      </c>
      <c r="I887" s="2">
        <v>45331</v>
      </c>
      <c r="J887" s="1">
        <v>32.409999999999997</v>
      </c>
      <c r="K887" s="4">
        <f t="shared" si="26"/>
        <v>72.614604999999997</v>
      </c>
      <c r="L887" s="4">
        <f t="shared" si="27"/>
        <v>151.43539500000003</v>
      </c>
    </row>
    <row r="888" spans="1:12" x14ac:dyDescent="0.3">
      <c r="A888" s="1">
        <v>1886</v>
      </c>
      <c r="B888" s="2">
        <v>44555</v>
      </c>
      <c r="C888" s="1" t="s">
        <v>21</v>
      </c>
      <c r="D888" s="1" t="s">
        <v>102</v>
      </c>
      <c r="E888" s="1" t="s">
        <v>12</v>
      </c>
      <c r="F888" s="1">
        <v>4477.01</v>
      </c>
      <c r="G888" s="1" t="s">
        <v>276</v>
      </c>
      <c r="H888" s="2">
        <v>33394</v>
      </c>
      <c r="I888" s="2">
        <v>44566</v>
      </c>
      <c r="J888" s="1">
        <v>47.62</v>
      </c>
      <c r="K888" s="4">
        <f t="shared" si="26"/>
        <v>2131.952162</v>
      </c>
      <c r="L888" s="4">
        <f t="shared" si="27"/>
        <v>2345.0578380000002</v>
      </c>
    </row>
    <row r="889" spans="1:12" x14ac:dyDescent="0.3">
      <c r="A889" s="1">
        <v>1887</v>
      </c>
      <c r="B889" s="2">
        <v>44535</v>
      </c>
      <c r="C889" s="1" t="s">
        <v>14</v>
      </c>
      <c r="D889" s="1" t="s">
        <v>33</v>
      </c>
      <c r="E889" s="1" t="s">
        <v>16</v>
      </c>
      <c r="F889" s="1">
        <v>3116.12</v>
      </c>
      <c r="G889" s="1" t="s">
        <v>105</v>
      </c>
      <c r="H889" s="2">
        <v>35889</v>
      </c>
      <c r="I889" s="2">
        <v>44548</v>
      </c>
      <c r="J889" s="1">
        <v>2.15</v>
      </c>
      <c r="K889" s="4">
        <f t="shared" si="26"/>
        <v>66.996579999999994</v>
      </c>
      <c r="L889" s="4">
        <f t="shared" si="27"/>
        <v>3049.1234199999999</v>
      </c>
    </row>
    <row r="890" spans="1:12" x14ac:dyDescent="0.3">
      <c r="A890" s="1">
        <v>1888</v>
      </c>
      <c r="B890" s="2">
        <v>45855</v>
      </c>
      <c r="C890" s="1" t="s">
        <v>14</v>
      </c>
      <c r="D890" s="1" t="s">
        <v>36</v>
      </c>
      <c r="E890" s="1" t="s">
        <v>28</v>
      </c>
      <c r="F890" s="1">
        <v>2568.29</v>
      </c>
      <c r="G890" s="1" t="s">
        <v>92</v>
      </c>
      <c r="H890" s="2">
        <v>24544</v>
      </c>
      <c r="I890" s="2">
        <v>45856</v>
      </c>
      <c r="J890" s="1">
        <v>45.28</v>
      </c>
      <c r="K890" s="4">
        <f t="shared" si="26"/>
        <v>1162.9217120000001</v>
      </c>
      <c r="L890" s="4">
        <f t="shared" si="27"/>
        <v>1405.3682879999999</v>
      </c>
    </row>
    <row r="891" spans="1:12" x14ac:dyDescent="0.3">
      <c r="A891" s="1">
        <v>1889</v>
      </c>
      <c r="B891" s="2">
        <v>45770</v>
      </c>
      <c r="C891" s="1" t="s">
        <v>26</v>
      </c>
      <c r="D891" s="1" t="s">
        <v>27</v>
      </c>
      <c r="E891" s="1" t="s">
        <v>28</v>
      </c>
      <c r="F891" s="1">
        <v>3969.72</v>
      </c>
      <c r="G891" s="1" t="s">
        <v>25</v>
      </c>
      <c r="H891" s="2">
        <v>33386</v>
      </c>
      <c r="I891" s="2">
        <v>45782</v>
      </c>
      <c r="J891" s="1">
        <v>27.89</v>
      </c>
      <c r="K891" s="4">
        <f t="shared" si="26"/>
        <v>1107.154908</v>
      </c>
      <c r="L891" s="4">
        <f t="shared" si="27"/>
        <v>2862.5650919999998</v>
      </c>
    </row>
    <row r="892" spans="1:12" x14ac:dyDescent="0.3">
      <c r="A892" s="1">
        <v>1890</v>
      </c>
      <c r="B892" s="2">
        <v>44206</v>
      </c>
      <c r="C892" s="1" t="s">
        <v>26</v>
      </c>
      <c r="D892" s="1" t="s">
        <v>61</v>
      </c>
      <c r="E892" s="1" t="s">
        <v>19</v>
      </c>
      <c r="F892" s="1">
        <v>1915.12</v>
      </c>
      <c r="G892" s="1" t="s">
        <v>138</v>
      </c>
      <c r="H892" s="2">
        <v>25948</v>
      </c>
      <c r="I892" s="2">
        <v>44209</v>
      </c>
      <c r="J892" s="1">
        <v>3.09</v>
      </c>
      <c r="K892" s="4">
        <f t="shared" si="26"/>
        <v>59.177207999999993</v>
      </c>
      <c r="L892" s="4">
        <f t="shared" si="27"/>
        <v>1855.9427919999998</v>
      </c>
    </row>
    <row r="893" spans="1:12" x14ac:dyDescent="0.3">
      <c r="A893" s="1">
        <v>1891</v>
      </c>
      <c r="B893" s="2">
        <v>44188</v>
      </c>
      <c r="C893" s="1" t="s">
        <v>35</v>
      </c>
      <c r="D893" s="1" t="s">
        <v>15</v>
      </c>
      <c r="E893" s="1" t="s">
        <v>16</v>
      </c>
      <c r="F893" s="1">
        <v>2591.71</v>
      </c>
      <c r="G893" s="1" t="s">
        <v>43</v>
      </c>
      <c r="H893" s="2">
        <v>33702</v>
      </c>
      <c r="I893" s="2">
        <v>44192</v>
      </c>
      <c r="J893" s="1">
        <v>19.28</v>
      </c>
      <c r="K893" s="4">
        <f t="shared" si="26"/>
        <v>499.68168800000001</v>
      </c>
      <c r="L893" s="4">
        <f t="shared" si="27"/>
        <v>2092.0283119999999</v>
      </c>
    </row>
    <row r="894" spans="1:12" x14ac:dyDescent="0.3">
      <c r="A894" s="1">
        <v>1892</v>
      </c>
      <c r="B894" s="2">
        <v>45271</v>
      </c>
      <c r="C894" s="1" t="s">
        <v>10</v>
      </c>
      <c r="D894" s="1" t="s">
        <v>27</v>
      </c>
      <c r="E894" s="1" t="s">
        <v>28</v>
      </c>
      <c r="F894" s="1">
        <v>1237.6600000000001</v>
      </c>
      <c r="G894" s="1" t="s">
        <v>135</v>
      </c>
      <c r="H894" s="2">
        <v>38018</v>
      </c>
      <c r="I894" s="2">
        <v>45272</v>
      </c>
      <c r="J894" s="1">
        <v>31.1</v>
      </c>
      <c r="K894" s="4">
        <f t="shared" si="26"/>
        <v>384.91226</v>
      </c>
      <c r="L894" s="4">
        <f t="shared" si="27"/>
        <v>852.74774000000002</v>
      </c>
    </row>
    <row r="895" spans="1:12" x14ac:dyDescent="0.3">
      <c r="A895" s="1">
        <v>1893</v>
      </c>
      <c r="B895" s="2">
        <v>44597</v>
      </c>
      <c r="C895" s="1" t="s">
        <v>35</v>
      </c>
      <c r="D895" s="1" t="s">
        <v>27</v>
      </c>
      <c r="E895" s="1" t="s">
        <v>28</v>
      </c>
      <c r="F895" s="1">
        <v>1953.69</v>
      </c>
      <c r="G895" s="1" t="s">
        <v>163</v>
      </c>
      <c r="H895" s="2">
        <v>30364</v>
      </c>
      <c r="I895" s="2">
        <v>44611</v>
      </c>
      <c r="J895" s="1">
        <v>32.869999999999997</v>
      </c>
      <c r="K895" s="4">
        <f t="shared" si="26"/>
        <v>642.17790300000001</v>
      </c>
      <c r="L895" s="4">
        <f t="shared" si="27"/>
        <v>1311.512097</v>
      </c>
    </row>
    <row r="896" spans="1:12" x14ac:dyDescent="0.3">
      <c r="A896" s="1">
        <v>1894</v>
      </c>
      <c r="B896" s="2">
        <v>45044</v>
      </c>
      <c r="C896" s="1" t="s">
        <v>14</v>
      </c>
      <c r="D896" s="1" t="s">
        <v>47</v>
      </c>
      <c r="E896" s="1" t="s">
        <v>12</v>
      </c>
      <c r="F896" s="1">
        <v>1348.53</v>
      </c>
      <c r="G896" s="1" t="s">
        <v>127</v>
      </c>
      <c r="H896" s="2">
        <v>31846</v>
      </c>
      <c r="I896" s="2">
        <v>45058</v>
      </c>
      <c r="J896" s="1">
        <v>37.67</v>
      </c>
      <c r="K896" s="4">
        <f t="shared" si="26"/>
        <v>507.99125100000003</v>
      </c>
      <c r="L896" s="4">
        <f t="shared" si="27"/>
        <v>840.53874899999994</v>
      </c>
    </row>
    <row r="897" spans="1:12" x14ac:dyDescent="0.3">
      <c r="A897" s="1">
        <v>1895</v>
      </c>
      <c r="B897" s="2">
        <v>45847</v>
      </c>
      <c r="C897" s="1" t="s">
        <v>26</v>
      </c>
      <c r="D897" s="1" t="s">
        <v>58</v>
      </c>
      <c r="E897" s="1" t="s">
        <v>31</v>
      </c>
      <c r="F897" s="1">
        <v>1426.01</v>
      </c>
      <c r="G897" s="1" t="s">
        <v>101</v>
      </c>
      <c r="H897" s="2">
        <v>31331</v>
      </c>
      <c r="I897" s="2">
        <v>45851</v>
      </c>
      <c r="J897" s="1">
        <v>26.73</v>
      </c>
      <c r="K897" s="4">
        <f t="shared" si="26"/>
        <v>381.17247299999997</v>
      </c>
      <c r="L897" s="4">
        <f t="shared" si="27"/>
        <v>1044.8375270000001</v>
      </c>
    </row>
    <row r="898" spans="1:12" x14ac:dyDescent="0.3">
      <c r="A898" s="1">
        <v>1896</v>
      </c>
      <c r="B898" s="2">
        <v>44786</v>
      </c>
      <c r="C898" s="1" t="s">
        <v>35</v>
      </c>
      <c r="D898" s="1" t="s">
        <v>53</v>
      </c>
      <c r="E898" s="1" t="s">
        <v>28</v>
      </c>
      <c r="F898" s="1">
        <v>4689.82</v>
      </c>
      <c r="G898" s="1" t="s">
        <v>317</v>
      </c>
      <c r="H898" s="2">
        <v>32196</v>
      </c>
      <c r="I898" s="2">
        <v>44796</v>
      </c>
      <c r="J898" s="1">
        <v>28.56</v>
      </c>
      <c r="K898" s="4">
        <f t="shared" si="26"/>
        <v>1339.4125919999997</v>
      </c>
      <c r="L898" s="4">
        <f t="shared" si="27"/>
        <v>3350.407408</v>
      </c>
    </row>
    <row r="899" spans="1:12" x14ac:dyDescent="0.3">
      <c r="A899" s="1">
        <v>1897</v>
      </c>
      <c r="B899" s="2">
        <v>44225</v>
      </c>
      <c r="C899" s="1" t="s">
        <v>21</v>
      </c>
      <c r="D899" s="1" t="s">
        <v>65</v>
      </c>
      <c r="E899" s="1" t="s">
        <v>19</v>
      </c>
      <c r="F899" s="1">
        <v>2668.25</v>
      </c>
      <c r="G899" s="1" t="s">
        <v>188</v>
      </c>
      <c r="H899" s="2">
        <v>31467</v>
      </c>
      <c r="I899" s="2">
        <v>44232</v>
      </c>
      <c r="J899" s="1">
        <v>16.52</v>
      </c>
      <c r="K899" s="4">
        <f t="shared" ref="K899:K962" si="28">F899*J899%</f>
        <v>440.79489999999998</v>
      </c>
      <c r="L899" s="4">
        <f t="shared" ref="L899:L962" si="29">F899-K899</f>
        <v>2227.4551000000001</v>
      </c>
    </row>
    <row r="900" spans="1:12" x14ac:dyDescent="0.3">
      <c r="A900" s="1">
        <v>1898</v>
      </c>
      <c r="B900" s="2">
        <v>44273</v>
      </c>
      <c r="C900" s="1" t="s">
        <v>35</v>
      </c>
      <c r="D900" s="1" t="s">
        <v>71</v>
      </c>
      <c r="E900" s="1" t="s">
        <v>31</v>
      </c>
      <c r="F900" s="1">
        <v>3591.29</v>
      </c>
      <c r="G900" s="1" t="s">
        <v>235</v>
      </c>
      <c r="H900" s="2">
        <v>36760</v>
      </c>
      <c r="I900" s="2">
        <v>44283</v>
      </c>
      <c r="J900" s="1">
        <v>11.69</v>
      </c>
      <c r="K900" s="4">
        <f t="shared" si="28"/>
        <v>419.82180099999994</v>
      </c>
      <c r="L900" s="4">
        <f t="shared" si="29"/>
        <v>3171.4681989999999</v>
      </c>
    </row>
    <row r="901" spans="1:12" x14ac:dyDescent="0.3">
      <c r="A901" s="1">
        <v>1899</v>
      </c>
      <c r="B901" s="2">
        <v>45325</v>
      </c>
      <c r="C901" s="1" t="s">
        <v>10</v>
      </c>
      <c r="D901" s="1" t="s">
        <v>88</v>
      </c>
      <c r="E901" s="1" t="s">
        <v>16</v>
      </c>
      <c r="F901" s="1">
        <v>1048.28</v>
      </c>
      <c r="G901" s="1" t="s">
        <v>204</v>
      </c>
      <c r="H901" s="2">
        <v>23718</v>
      </c>
      <c r="I901" s="2">
        <v>45326</v>
      </c>
      <c r="J901" s="1">
        <v>24.55</v>
      </c>
      <c r="K901" s="4">
        <f t="shared" si="28"/>
        <v>257.35273999999998</v>
      </c>
      <c r="L901" s="4">
        <f t="shared" si="29"/>
        <v>790.92725999999993</v>
      </c>
    </row>
    <row r="902" spans="1:12" x14ac:dyDescent="0.3">
      <c r="A902" s="1">
        <v>1900</v>
      </c>
      <c r="B902" s="2">
        <v>45824</v>
      </c>
      <c r="C902" s="1" t="s">
        <v>10</v>
      </c>
      <c r="D902" s="1" t="s">
        <v>27</v>
      </c>
      <c r="E902" s="1" t="s">
        <v>28</v>
      </c>
      <c r="F902" s="1">
        <v>3162.97</v>
      </c>
      <c r="G902" s="1" t="s">
        <v>236</v>
      </c>
      <c r="H902" s="2">
        <v>36099</v>
      </c>
      <c r="I902" s="2">
        <v>45836</v>
      </c>
      <c r="J902" s="1">
        <v>5.03</v>
      </c>
      <c r="K902" s="4">
        <f t="shared" si="28"/>
        <v>159.09739100000002</v>
      </c>
      <c r="L902" s="4">
        <f t="shared" si="29"/>
        <v>3003.872609</v>
      </c>
    </row>
    <row r="903" spans="1:12" x14ac:dyDescent="0.3">
      <c r="A903" s="1">
        <v>1901</v>
      </c>
      <c r="B903" s="2">
        <v>45510</v>
      </c>
      <c r="C903" s="1" t="s">
        <v>14</v>
      </c>
      <c r="D903" s="1" t="s">
        <v>44</v>
      </c>
      <c r="E903" s="1" t="s">
        <v>16</v>
      </c>
      <c r="F903" s="1">
        <v>1671.46</v>
      </c>
      <c r="G903" s="1" t="s">
        <v>42</v>
      </c>
      <c r="H903" s="2">
        <v>26027</v>
      </c>
      <c r="I903" s="2">
        <v>45523</v>
      </c>
      <c r="J903" s="1">
        <v>12.98</v>
      </c>
      <c r="K903" s="4">
        <f t="shared" si="28"/>
        <v>216.95550800000001</v>
      </c>
      <c r="L903" s="4">
        <f t="shared" si="29"/>
        <v>1454.504492</v>
      </c>
    </row>
    <row r="904" spans="1:12" x14ac:dyDescent="0.3">
      <c r="A904" s="1">
        <v>1902</v>
      </c>
      <c r="B904" s="2">
        <v>45722</v>
      </c>
      <c r="C904" s="1" t="s">
        <v>26</v>
      </c>
      <c r="D904" s="1" t="s">
        <v>40</v>
      </c>
      <c r="E904" s="1" t="s">
        <v>16</v>
      </c>
      <c r="F904" s="1">
        <v>4425.9799999999996</v>
      </c>
      <c r="G904" s="1" t="s">
        <v>105</v>
      </c>
      <c r="H904" s="2">
        <v>35889</v>
      </c>
      <c r="I904" s="2">
        <v>45731</v>
      </c>
      <c r="J904" s="1">
        <v>21.97</v>
      </c>
      <c r="K904" s="4">
        <f t="shared" si="28"/>
        <v>972.38780599999984</v>
      </c>
      <c r="L904" s="4">
        <f t="shared" si="29"/>
        <v>3453.5921939999998</v>
      </c>
    </row>
    <row r="905" spans="1:12" x14ac:dyDescent="0.3">
      <c r="A905" s="1">
        <v>1903</v>
      </c>
      <c r="B905" s="2">
        <v>45709</v>
      </c>
      <c r="C905" s="1" t="s">
        <v>26</v>
      </c>
      <c r="D905" s="1" t="s">
        <v>33</v>
      </c>
      <c r="E905" s="1" t="s">
        <v>16</v>
      </c>
      <c r="F905" s="1">
        <v>2140.41</v>
      </c>
      <c r="G905" s="1" t="s">
        <v>32</v>
      </c>
      <c r="H905" s="2">
        <v>27166</v>
      </c>
      <c r="I905" s="2">
        <v>45719</v>
      </c>
      <c r="J905" s="1">
        <v>38.58</v>
      </c>
      <c r="K905" s="4">
        <f t="shared" si="28"/>
        <v>825.77017799999987</v>
      </c>
      <c r="L905" s="4">
        <f t="shared" si="29"/>
        <v>1314.6398220000001</v>
      </c>
    </row>
    <row r="906" spans="1:12" x14ac:dyDescent="0.3">
      <c r="A906" s="1">
        <v>1904</v>
      </c>
      <c r="B906" s="2">
        <v>45077</v>
      </c>
      <c r="C906" s="1" t="s">
        <v>26</v>
      </c>
      <c r="D906" s="1" t="s">
        <v>22</v>
      </c>
      <c r="E906" s="1" t="s">
        <v>19</v>
      </c>
      <c r="F906" s="1">
        <v>3313.01</v>
      </c>
      <c r="G906" s="1" t="s">
        <v>290</v>
      </c>
      <c r="H906" s="2">
        <v>31764</v>
      </c>
      <c r="I906" s="2">
        <v>45090</v>
      </c>
      <c r="J906" s="1">
        <v>4.28</v>
      </c>
      <c r="K906" s="4">
        <f t="shared" si="28"/>
        <v>141.79682800000003</v>
      </c>
      <c r="L906" s="4">
        <f t="shared" si="29"/>
        <v>3171.2131720000002</v>
      </c>
    </row>
    <row r="907" spans="1:12" x14ac:dyDescent="0.3">
      <c r="A907" s="1">
        <v>1905</v>
      </c>
      <c r="B907" s="2">
        <v>44945</v>
      </c>
      <c r="C907" s="1" t="s">
        <v>14</v>
      </c>
      <c r="D907" s="1" t="s">
        <v>53</v>
      </c>
      <c r="E907" s="1" t="s">
        <v>28</v>
      </c>
      <c r="F907" s="1">
        <v>4965.43</v>
      </c>
      <c r="G907" s="1" t="s">
        <v>324</v>
      </c>
      <c r="H907" s="2">
        <v>28747</v>
      </c>
      <c r="I907" s="2">
        <v>44956</v>
      </c>
      <c r="J907" s="1">
        <v>23.85</v>
      </c>
      <c r="K907" s="4">
        <f t="shared" si="28"/>
        <v>1184.2550550000001</v>
      </c>
      <c r="L907" s="4">
        <f t="shared" si="29"/>
        <v>3781.1749450000002</v>
      </c>
    </row>
    <row r="908" spans="1:12" x14ac:dyDescent="0.3">
      <c r="A908" s="1">
        <v>1906</v>
      </c>
      <c r="B908" s="2">
        <v>44731</v>
      </c>
      <c r="C908" s="1" t="s">
        <v>10</v>
      </c>
      <c r="D908" s="1" t="s">
        <v>102</v>
      </c>
      <c r="E908" s="1" t="s">
        <v>12</v>
      </c>
      <c r="F908" s="1">
        <v>4140.05</v>
      </c>
      <c r="G908" s="1" t="s">
        <v>50</v>
      </c>
      <c r="H908" s="2">
        <v>22594</v>
      </c>
      <c r="I908" s="2">
        <v>44736</v>
      </c>
      <c r="J908" s="1">
        <v>0.33</v>
      </c>
      <c r="K908" s="4">
        <f t="shared" si="28"/>
        <v>13.662165</v>
      </c>
      <c r="L908" s="4">
        <f t="shared" si="29"/>
        <v>4126.3878350000005</v>
      </c>
    </row>
    <row r="909" spans="1:12" x14ac:dyDescent="0.3">
      <c r="A909" s="1">
        <v>1907</v>
      </c>
      <c r="B909" s="2">
        <v>45762</v>
      </c>
      <c r="C909" s="1" t="s">
        <v>21</v>
      </c>
      <c r="D909" s="1" t="s">
        <v>24</v>
      </c>
      <c r="E909" s="1" t="s">
        <v>19</v>
      </c>
      <c r="F909" s="1">
        <v>1722.88</v>
      </c>
      <c r="G909" s="1" t="s">
        <v>315</v>
      </c>
      <c r="H909" s="2">
        <v>32330</v>
      </c>
      <c r="I909" s="2">
        <v>45764</v>
      </c>
      <c r="J909" s="1">
        <v>27.61</v>
      </c>
      <c r="K909" s="4">
        <f t="shared" si="28"/>
        <v>475.68716800000004</v>
      </c>
      <c r="L909" s="4">
        <f t="shared" si="29"/>
        <v>1247.1928320000002</v>
      </c>
    </row>
    <row r="910" spans="1:12" x14ac:dyDescent="0.3">
      <c r="A910" s="1">
        <v>1908</v>
      </c>
      <c r="B910" s="2">
        <v>45286</v>
      </c>
      <c r="C910" s="1" t="s">
        <v>10</v>
      </c>
      <c r="D910" s="1" t="s">
        <v>47</v>
      </c>
      <c r="E910" s="1" t="s">
        <v>12</v>
      </c>
      <c r="F910" s="1">
        <v>1275.42</v>
      </c>
      <c r="G910" s="1" t="s">
        <v>195</v>
      </c>
      <c r="H910" s="2">
        <v>28065</v>
      </c>
      <c r="I910" s="2">
        <v>45296</v>
      </c>
      <c r="J910" s="1">
        <v>4.88</v>
      </c>
      <c r="K910" s="4">
        <f t="shared" si="28"/>
        <v>62.240496</v>
      </c>
      <c r="L910" s="4">
        <f t="shared" si="29"/>
        <v>1213.1795040000002</v>
      </c>
    </row>
    <row r="911" spans="1:12" x14ac:dyDescent="0.3">
      <c r="A911" s="1">
        <v>1909</v>
      </c>
      <c r="B911" s="2">
        <v>44909</v>
      </c>
      <c r="C911" s="1" t="s">
        <v>10</v>
      </c>
      <c r="D911" s="1" t="s">
        <v>24</v>
      </c>
      <c r="E911" s="1" t="s">
        <v>19</v>
      </c>
      <c r="F911" s="1">
        <v>3335.8</v>
      </c>
      <c r="G911" s="1" t="s">
        <v>120</v>
      </c>
      <c r="H911" s="2">
        <v>30820</v>
      </c>
      <c r="I911" s="2">
        <v>44917</v>
      </c>
      <c r="J911" s="1">
        <v>33.119999999999997</v>
      </c>
      <c r="K911" s="4">
        <f t="shared" si="28"/>
        <v>1104.8169600000001</v>
      </c>
      <c r="L911" s="4">
        <f t="shared" si="29"/>
        <v>2230.9830400000001</v>
      </c>
    </row>
    <row r="912" spans="1:12" x14ac:dyDescent="0.3">
      <c r="A912" s="1">
        <v>1910</v>
      </c>
      <c r="B912" s="2">
        <v>44597</v>
      </c>
      <c r="C912" s="1" t="s">
        <v>35</v>
      </c>
      <c r="D912" s="1" t="s">
        <v>15</v>
      </c>
      <c r="E912" s="1" t="s">
        <v>16</v>
      </c>
      <c r="F912" s="1">
        <v>387.6</v>
      </c>
      <c r="G912" s="1" t="s">
        <v>200</v>
      </c>
      <c r="H912" s="2">
        <v>30222</v>
      </c>
      <c r="I912" s="2">
        <v>44604</v>
      </c>
      <c r="J912" s="1">
        <v>26.01</v>
      </c>
      <c r="K912" s="4">
        <f t="shared" si="28"/>
        <v>100.81476000000001</v>
      </c>
      <c r="L912" s="4">
        <f t="shared" si="29"/>
        <v>286.78524000000004</v>
      </c>
    </row>
    <row r="913" spans="1:12" x14ac:dyDescent="0.3">
      <c r="A913" s="1">
        <v>1911</v>
      </c>
      <c r="B913" s="2">
        <v>45354</v>
      </c>
      <c r="C913" s="1" t="s">
        <v>14</v>
      </c>
      <c r="D913" s="1" t="s">
        <v>49</v>
      </c>
      <c r="E913" s="1" t="s">
        <v>12</v>
      </c>
      <c r="F913" s="1">
        <v>2218.13</v>
      </c>
      <c r="G913" s="1" t="s">
        <v>130</v>
      </c>
      <c r="H913" s="2">
        <v>38750</v>
      </c>
      <c r="I913" s="2">
        <v>45361</v>
      </c>
      <c r="J913" s="1">
        <v>42.31</v>
      </c>
      <c r="K913" s="4">
        <f t="shared" si="28"/>
        <v>938.49080300000014</v>
      </c>
      <c r="L913" s="4">
        <f t="shared" si="29"/>
        <v>1279.639197</v>
      </c>
    </row>
    <row r="914" spans="1:12" x14ac:dyDescent="0.3">
      <c r="A914" s="1">
        <v>1912</v>
      </c>
      <c r="B914" s="2">
        <v>44738</v>
      </c>
      <c r="C914" s="1" t="s">
        <v>10</v>
      </c>
      <c r="D914" s="1" t="s">
        <v>24</v>
      </c>
      <c r="E914" s="1" t="s">
        <v>19</v>
      </c>
      <c r="F914" s="1">
        <v>708.62</v>
      </c>
      <c r="G914" s="1" t="s">
        <v>148</v>
      </c>
      <c r="H914" s="2">
        <v>22007</v>
      </c>
      <c r="I914" s="2">
        <v>44747</v>
      </c>
      <c r="J914" s="1">
        <v>26.71</v>
      </c>
      <c r="K914" s="4">
        <f t="shared" si="28"/>
        <v>189.272402</v>
      </c>
      <c r="L914" s="4">
        <f t="shared" si="29"/>
        <v>519.34759800000006</v>
      </c>
    </row>
    <row r="915" spans="1:12" x14ac:dyDescent="0.3">
      <c r="A915" s="1">
        <v>1913</v>
      </c>
      <c r="B915" s="2">
        <v>45260</v>
      </c>
      <c r="C915" s="1" t="s">
        <v>26</v>
      </c>
      <c r="D915" s="1" t="s">
        <v>33</v>
      </c>
      <c r="E915" s="1" t="s">
        <v>16</v>
      </c>
      <c r="F915" s="1">
        <v>3442.63</v>
      </c>
      <c r="G915" s="1" t="s">
        <v>151</v>
      </c>
      <c r="H915" s="2">
        <v>34427</v>
      </c>
      <c r="I915" s="2">
        <v>45274</v>
      </c>
      <c r="J915" s="1">
        <v>23.72</v>
      </c>
      <c r="K915" s="4">
        <f t="shared" si="28"/>
        <v>816.59183600000006</v>
      </c>
      <c r="L915" s="4">
        <f t="shared" si="29"/>
        <v>2626.0381640000001</v>
      </c>
    </row>
    <row r="916" spans="1:12" x14ac:dyDescent="0.3">
      <c r="A916" s="1">
        <v>1914</v>
      </c>
      <c r="B916" s="2">
        <v>44398</v>
      </c>
      <c r="C916" s="1" t="s">
        <v>10</v>
      </c>
      <c r="D916" s="1" t="s">
        <v>102</v>
      </c>
      <c r="E916" s="1" t="s">
        <v>12</v>
      </c>
      <c r="F916" s="1">
        <v>4270.34</v>
      </c>
      <c r="G916" s="1" t="s">
        <v>238</v>
      </c>
      <c r="H916" s="2">
        <v>31880</v>
      </c>
      <c r="I916" s="2">
        <v>44410</v>
      </c>
      <c r="J916" s="1">
        <v>8.23</v>
      </c>
      <c r="K916" s="4">
        <f t="shared" si="28"/>
        <v>351.448982</v>
      </c>
      <c r="L916" s="4">
        <f t="shared" si="29"/>
        <v>3918.8910180000003</v>
      </c>
    </row>
    <row r="917" spans="1:12" x14ac:dyDescent="0.3">
      <c r="A917" s="1">
        <v>1915</v>
      </c>
      <c r="B917" s="2">
        <v>44264</v>
      </c>
      <c r="C917" s="1" t="s">
        <v>35</v>
      </c>
      <c r="D917" s="1" t="s">
        <v>11</v>
      </c>
      <c r="E917" s="1" t="s">
        <v>12</v>
      </c>
      <c r="F917" s="1">
        <v>1651.51</v>
      </c>
      <c r="G917" s="1" t="s">
        <v>54</v>
      </c>
      <c r="H917" s="2">
        <v>31082</v>
      </c>
      <c r="I917" s="2">
        <v>44266</v>
      </c>
      <c r="J917" s="1">
        <v>16.899999999999999</v>
      </c>
      <c r="K917" s="4">
        <f t="shared" si="28"/>
        <v>279.10518999999999</v>
      </c>
      <c r="L917" s="4">
        <f t="shared" si="29"/>
        <v>1372.40481</v>
      </c>
    </row>
    <row r="918" spans="1:12" x14ac:dyDescent="0.3">
      <c r="A918" s="1">
        <v>1916</v>
      </c>
      <c r="B918" s="2">
        <v>44360</v>
      </c>
      <c r="C918" s="1" t="s">
        <v>35</v>
      </c>
      <c r="D918" s="1" t="s">
        <v>40</v>
      </c>
      <c r="E918" s="1" t="s">
        <v>16</v>
      </c>
      <c r="F918" s="1">
        <v>2540.2399999999998</v>
      </c>
      <c r="G918" s="1" t="s">
        <v>276</v>
      </c>
      <c r="H918" s="2">
        <v>33394</v>
      </c>
      <c r="I918" s="2">
        <v>44372</v>
      </c>
      <c r="J918" s="1">
        <v>33.18</v>
      </c>
      <c r="K918" s="4">
        <f t="shared" si="28"/>
        <v>842.85163199999988</v>
      </c>
      <c r="L918" s="4">
        <f t="shared" si="29"/>
        <v>1697.3883679999999</v>
      </c>
    </row>
    <row r="919" spans="1:12" x14ac:dyDescent="0.3">
      <c r="A919" s="1">
        <v>1917</v>
      </c>
      <c r="B919" s="2">
        <v>45643</v>
      </c>
      <c r="C919" s="1" t="s">
        <v>26</v>
      </c>
      <c r="D919" s="1" t="s">
        <v>11</v>
      </c>
      <c r="E919" s="1" t="s">
        <v>12</v>
      </c>
      <c r="F919" s="1">
        <v>4900.82</v>
      </c>
      <c r="G919" s="1" t="s">
        <v>134</v>
      </c>
      <c r="H919" s="2">
        <v>30299</v>
      </c>
      <c r="I919" s="2">
        <v>45655</v>
      </c>
      <c r="J919" s="1">
        <v>26.72</v>
      </c>
      <c r="K919" s="4">
        <f t="shared" si="28"/>
        <v>1309.499104</v>
      </c>
      <c r="L919" s="4">
        <f t="shared" si="29"/>
        <v>3591.3208959999997</v>
      </c>
    </row>
    <row r="920" spans="1:12" x14ac:dyDescent="0.3">
      <c r="A920" s="1">
        <v>1918</v>
      </c>
      <c r="B920" s="2">
        <v>45298</v>
      </c>
      <c r="C920" s="1" t="s">
        <v>21</v>
      </c>
      <c r="D920" s="1" t="s">
        <v>53</v>
      </c>
      <c r="E920" s="1" t="s">
        <v>28</v>
      </c>
      <c r="F920" s="1">
        <v>4280.42</v>
      </c>
      <c r="G920" s="1" t="s">
        <v>182</v>
      </c>
      <c r="H920" s="2">
        <v>24719</v>
      </c>
      <c r="I920" s="2">
        <v>45300</v>
      </c>
      <c r="J920" s="1">
        <v>45.87</v>
      </c>
      <c r="K920" s="4">
        <f t="shared" si="28"/>
        <v>1963.4286540000001</v>
      </c>
      <c r="L920" s="4">
        <f t="shared" si="29"/>
        <v>2316.9913459999998</v>
      </c>
    </row>
    <row r="921" spans="1:12" x14ac:dyDescent="0.3">
      <c r="A921" s="1">
        <v>1919</v>
      </c>
      <c r="B921" s="2">
        <v>44270</v>
      </c>
      <c r="C921" s="1" t="s">
        <v>14</v>
      </c>
      <c r="D921" s="1" t="s">
        <v>22</v>
      </c>
      <c r="E921" s="1" t="s">
        <v>19</v>
      </c>
      <c r="F921" s="1">
        <v>651.54</v>
      </c>
      <c r="G921" s="1" t="s">
        <v>217</v>
      </c>
      <c r="H921" s="2">
        <v>36951</v>
      </c>
      <c r="I921" s="2">
        <v>44273</v>
      </c>
      <c r="J921" s="1">
        <v>13.56</v>
      </c>
      <c r="K921" s="4">
        <f t="shared" si="28"/>
        <v>88.348823999999993</v>
      </c>
      <c r="L921" s="4">
        <f t="shared" si="29"/>
        <v>563.19117599999993</v>
      </c>
    </row>
    <row r="922" spans="1:12" x14ac:dyDescent="0.3">
      <c r="A922" s="1">
        <v>1920</v>
      </c>
      <c r="B922" s="2">
        <v>45806</v>
      </c>
      <c r="C922" s="1" t="s">
        <v>26</v>
      </c>
      <c r="D922" s="1" t="s">
        <v>40</v>
      </c>
      <c r="E922" s="1" t="s">
        <v>16</v>
      </c>
      <c r="F922" s="1">
        <v>1915.59</v>
      </c>
      <c r="G922" s="1" t="s">
        <v>194</v>
      </c>
      <c r="H922" s="2">
        <v>22210</v>
      </c>
      <c r="I922" s="2">
        <v>45810</v>
      </c>
      <c r="J922" s="1">
        <v>31.63</v>
      </c>
      <c r="K922" s="4">
        <f t="shared" si="28"/>
        <v>605.90111699999989</v>
      </c>
      <c r="L922" s="4">
        <f t="shared" si="29"/>
        <v>1309.688883</v>
      </c>
    </row>
    <row r="923" spans="1:12" x14ac:dyDescent="0.3">
      <c r="A923" s="1">
        <v>1921</v>
      </c>
      <c r="B923" s="2">
        <v>45361</v>
      </c>
      <c r="C923" s="1" t="s">
        <v>10</v>
      </c>
      <c r="D923" s="1" t="s">
        <v>69</v>
      </c>
      <c r="E923" s="1" t="s">
        <v>12</v>
      </c>
      <c r="F923" s="1">
        <v>106.78</v>
      </c>
      <c r="G923" s="1" t="s">
        <v>323</v>
      </c>
      <c r="H923" s="2">
        <v>33840</v>
      </c>
      <c r="I923" s="2">
        <v>45373</v>
      </c>
      <c r="J923" s="1">
        <v>44.76</v>
      </c>
      <c r="K923" s="4">
        <f t="shared" si="28"/>
        <v>47.794727999999999</v>
      </c>
      <c r="L923" s="4">
        <f t="shared" si="29"/>
        <v>58.985272000000002</v>
      </c>
    </row>
    <row r="924" spans="1:12" x14ac:dyDescent="0.3">
      <c r="A924" s="1">
        <v>1922</v>
      </c>
      <c r="B924" s="2">
        <v>45034</v>
      </c>
      <c r="C924" s="1" t="s">
        <v>35</v>
      </c>
      <c r="D924" s="1" t="s">
        <v>88</v>
      </c>
      <c r="E924" s="1" t="s">
        <v>16</v>
      </c>
      <c r="F924" s="1">
        <v>3524.42</v>
      </c>
      <c r="G924" s="1" t="s">
        <v>180</v>
      </c>
      <c r="H924" s="2">
        <v>25163</v>
      </c>
      <c r="I924" s="2">
        <v>45040</v>
      </c>
      <c r="J924" s="1">
        <v>47.61</v>
      </c>
      <c r="K924" s="4">
        <f t="shared" si="28"/>
        <v>1677.9763619999999</v>
      </c>
      <c r="L924" s="4">
        <f t="shared" si="29"/>
        <v>1846.4436380000002</v>
      </c>
    </row>
    <row r="925" spans="1:12" x14ac:dyDescent="0.3">
      <c r="A925" s="1">
        <v>1923</v>
      </c>
      <c r="B925" s="2">
        <v>44304</v>
      </c>
      <c r="C925" s="1" t="s">
        <v>21</v>
      </c>
      <c r="D925" s="1" t="s">
        <v>18</v>
      </c>
      <c r="E925" s="1" t="s">
        <v>19</v>
      </c>
      <c r="F925" s="1">
        <v>1287.42</v>
      </c>
      <c r="G925" s="1" t="s">
        <v>196</v>
      </c>
      <c r="H925" s="2">
        <v>26300</v>
      </c>
      <c r="I925" s="2">
        <v>44313</v>
      </c>
      <c r="J925" s="1">
        <v>1.5</v>
      </c>
      <c r="K925" s="4">
        <f t="shared" si="28"/>
        <v>19.311299999999999</v>
      </c>
      <c r="L925" s="4">
        <f t="shared" si="29"/>
        <v>1268.1087</v>
      </c>
    </row>
    <row r="926" spans="1:12" x14ac:dyDescent="0.3">
      <c r="A926" s="1">
        <v>1924</v>
      </c>
      <c r="B926" s="2">
        <v>44516</v>
      </c>
      <c r="C926" s="1" t="s">
        <v>26</v>
      </c>
      <c r="D926" s="1" t="s">
        <v>38</v>
      </c>
      <c r="E926" s="1" t="s">
        <v>28</v>
      </c>
      <c r="F926" s="1">
        <v>391.23</v>
      </c>
      <c r="G926" s="1" t="s">
        <v>255</v>
      </c>
      <c r="H926" s="2">
        <v>22646</v>
      </c>
      <c r="I926" s="2">
        <v>44517</v>
      </c>
      <c r="J926" s="1">
        <v>7.7</v>
      </c>
      <c r="K926" s="4">
        <f t="shared" si="28"/>
        <v>30.12471</v>
      </c>
      <c r="L926" s="4">
        <f t="shared" si="29"/>
        <v>361.10529000000002</v>
      </c>
    </row>
    <row r="927" spans="1:12" x14ac:dyDescent="0.3">
      <c r="A927" s="1">
        <v>1925</v>
      </c>
      <c r="B927" s="2">
        <v>45846</v>
      </c>
      <c r="C927" s="1" t="s">
        <v>26</v>
      </c>
      <c r="D927" s="1" t="s">
        <v>18</v>
      </c>
      <c r="E927" s="1" t="s">
        <v>19</v>
      </c>
      <c r="F927" s="1">
        <v>1569.98</v>
      </c>
      <c r="G927" s="1" t="s">
        <v>315</v>
      </c>
      <c r="H927" s="2">
        <v>32330</v>
      </c>
      <c r="I927" s="2">
        <v>45848</v>
      </c>
      <c r="J927" s="1">
        <v>49.99</v>
      </c>
      <c r="K927" s="4">
        <f t="shared" si="28"/>
        <v>784.83300200000008</v>
      </c>
      <c r="L927" s="4">
        <f t="shared" si="29"/>
        <v>785.14699799999994</v>
      </c>
    </row>
    <row r="928" spans="1:12" x14ac:dyDescent="0.3">
      <c r="A928" s="1">
        <v>1926</v>
      </c>
      <c r="B928" s="2">
        <v>44778</v>
      </c>
      <c r="C928" s="1" t="s">
        <v>35</v>
      </c>
      <c r="D928" s="1" t="s">
        <v>73</v>
      </c>
      <c r="E928" s="1" t="s">
        <v>28</v>
      </c>
      <c r="F928" s="1">
        <v>4978.8</v>
      </c>
      <c r="G928" s="1" t="s">
        <v>252</v>
      </c>
      <c r="H928" s="2">
        <v>34209</v>
      </c>
      <c r="I928" s="2">
        <v>44790</v>
      </c>
      <c r="J928" s="1">
        <v>19.88</v>
      </c>
      <c r="K928" s="4">
        <f t="shared" si="28"/>
        <v>989.78543999999988</v>
      </c>
      <c r="L928" s="4">
        <f t="shared" si="29"/>
        <v>3989.0145600000005</v>
      </c>
    </row>
    <row r="929" spans="1:12" x14ac:dyDescent="0.3">
      <c r="A929" s="1">
        <v>1927</v>
      </c>
      <c r="B929" s="2">
        <v>44664</v>
      </c>
      <c r="C929" s="1" t="s">
        <v>14</v>
      </c>
      <c r="D929" s="1" t="s">
        <v>15</v>
      </c>
      <c r="E929" s="1" t="s">
        <v>16</v>
      </c>
      <c r="F929" s="1">
        <v>4206.6099999999997</v>
      </c>
      <c r="G929" s="1" t="s">
        <v>274</v>
      </c>
      <c r="H929" s="2">
        <v>34557</v>
      </c>
      <c r="I929" s="2">
        <v>44670</v>
      </c>
      <c r="J929" s="1">
        <v>26.31</v>
      </c>
      <c r="K929" s="4">
        <f t="shared" si="28"/>
        <v>1106.7590909999999</v>
      </c>
      <c r="L929" s="4">
        <f t="shared" si="29"/>
        <v>3099.8509089999998</v>
      </c>
    </row>
    <row r="930" spans="1:12" x14ac:dyDescent="0.3">
      <c r="A930" s="1">
        <v>1928</v>
      </c>
      <c r="B930" s="2">
        <v>45402</v>
      </c>
      <c r="C930" s="1" t="s">
        <v>35</v>
      </c>
      <c r="D930" s="1" t="s">
        <v>73</v>
      </c>
      <c r="E930" s="1" t="s">
        <v>28</v>
      </c>
      <c r="F930" s="1">
        <v>3917.77</v>
      </c>
      <c r="G930" s="1" t="s">
        <v>29</v>
      </c>
      <c r="H930" s="2">
        <v>24033</v>
      </c>
      <c r="I930" s="2">
        <v>45403</v>
      </c>
      <c r="J930" s="1">
        <v>18.149999999999999</v>
      </c>
      <c r="K930" s="4">
        <f t="shared" si="28"/>
        <v>711.07525499999997</v>
      </c>
      <c r="L930" s="4">
        <f t="shared" si="29"/>
        <v>3206.6947449999998</v>
      </c>
    </row>
    <row r="931" spans="1:12" x14ac:dyDescent="0.3">
      <c r="A931" s="1">
        <v>1929</v>
      </c>
      <c r="B931" s="2">
        <v>45169</v>
      </c>
      <c r="C931" s="1" t="s">
        <v>10</v>
      </c>
      <c r="D931" s="1" t="s">
        <v>73</v>
      </c>
      <c r="E931" s="1" t="s">
        <v>28</v>
      </c>
      <c r="F931" s="1">
        <v>1214.76</v>
      </c>
      <c r="G931" s="1" t="s">
        <v>325</v>
      </c>
      <c r="H931" s="2">
        <v>28731</v>
      </c>
      <c r="I931" s="2">
        <v>45176</v>
      </c>
      <c r="J931" s="1">
        <v>34.880000000000003</v>
      </c>
      <c r="K931" s="4">
        <f t="shared" si="28"/>
        <v>423.70828799999998</v>
      </c>
      <c r="L931" s="4">
        <f t="shared" si="29"/>
        <v>791.05171199999995</v>
      </c>
    </row>
    <row r="932" spans="1:12" x14ac:dyDescent="0.3">
      <c r="A932" s="1">
        <v>1930</v>
      </c>
      <c r="B932" s="2">
        <v>45578</v>
      </c>
      <c r="C932" s="1" t="s">
        <v>26</v>
      </c>
      <c r="D932" s="1" t="s">
        <v>73</v>
      </c>
      <c r="E932" s="1" t="s">
        <v>28</v>
      </c>
      <c r="F932" s="1">
        <v>3782.03</v>
      </c>
      <c r="G932" s="1" t="s">
        <v>161</v>
      </c>
      <c r="H932" s="2">
        <v>29386</v>
      </c>
      <c r="I932" s="2">
        <v>45590</v>
      </c>
      <c r="J932" s="1">
        <v>10.24</v>
      </c>
      <c r="K932" s="4">
        <f t="shared" si="28"/>
        <v>387.27987200000001</v>
      </c>
      <c r="L932" s="4">
        <f t="shared" si="29"/>
        <v>3394.7501280000001</v>
      </c>
    </row>
    <row r="933" spans="1:12" x14ac:dyDescent="0.3">
      <c r="A933" s="1">
        <v>1931</v>
      </c>
      <c r="B933" s="2">
        <v>45036</v>
      </c>
      <c r="C933" s="1" t="s">
        <v>10</v>
      </c>
      <c r="D933" s="1" t="s">
        <v>61</v>
      </c>
      <c r="E933" s="1" t="s">
        <v>19</v>
      </c>
      <c r="F933" s="1">
        <v>1401.86</v>
      </c>
      <c r="G933" s="1" t="s">
        <v>235</v>
      </c>
      <c r="H933" s="2">
        <v>36760</v>
      </c>
      <c r="I933" s="2">
        <v>45050</v>
      </c>
      <c r="J933" s="1">
        <v>40.04</v>
      </c>
      <c r="K933" s="4">
        <f t="shared" si="28"/>
        <v>561.30474399999991</v>
      </c>
      <c r="L933" s="4">
        <f t="shared" si="29"/>
        <v>840.55525599999999</v>
      </c>
    </row>
    <row r="934" spans="1:12" x14ac:dyDescent="0.3">
      <c r="A934" s="1">
        <v>1932</v>
      </c>
      <c r="B934" s="2">
        <v>44067</v>
      </c>
      <c r="C934" s="1" t="s">
        <v>14</v>
      </c>
      <c r="D934" s="1" t="s">
        <v>22</v>
      </c>
      <c r="E934" s="1" t="s">
        <v>19</v>
      </c>
      <c r="F934" s="1">
        <v>4472.6000000000004</v>
      </c>
      <c r="G934" s="1" t="s">
        <v>235</v>
      </c>
      <c r="H934" s="2">
        <v>36760</v>
      </c>
      <c r="I934" s="2">
        <v>44072</v>
      </c>
      <c r="J934" s="1">
        <v>17.690000000000001</v>
      </c>
      <c r="K934" s="4">
        <f t="shared" si="28"/>
        <v>791.20294000000013</v>
      </c>
      <c r="L934" s="4">
        <f t="shared" si="29"/>
        <v>3681.3970600000002</v>
      </c>
    </row>
    <row r="935" spans="1:12" x14ac:dyDescent="0.3">
      <c r="A935" s="1">
        <v>1933</v>
      </c>
      <c r="B935" s="2">
        <v>44864</v>
      </c>
      <c r="C935" s="1" t="s">
        <v>35</v>
      </c>
      <c r="D935" s="1" t="s">
        <v>71</v>
      </c>
      <c r="E935" s="1" t="s">
        <v>31</v>
      </c>
      <c r="F935" s="1">
        <v>2128.62</v>
      </c>
      <c r="G935" s="1" t="s">
        <v>248</v>
      </c>
      <c r="H935" s="2">
        <v>32685</v>
      </c>
      <c r="I935" s="2">
        <v>44878</v>
      </c>
      <c r="J935" s="1">
        <v>40.1</v>
      </c>
      <c r="K935" s="4">
        <f t="shared" si="28"/>
        <v>853.57662000000005</v>
      </c>
      <c r="L935" s="4">
        <f t="shared" si="29"/>
        <v>1275.0433799999998</v>
      </c>
    </row>
    <row r="936" spans="1:12" x14ac:dyDescent="0.3">
      <c r="A936" s="1">
        <v>1934</v>
      </c>
      <c r="B936" s="2">
        <v>44178</v>
      </c>
      <c r="C936" s="1" t="s">
        <v>26</v>
      </c>
      <c r="D936" s="1" t="s">
        <v>15</v>
      </c>
      <c r="E936" s="1" t="s">
        <v>16</v>
      </c>
      <c r="F936" s="1">
        <v>314.91000000000003</v>
      </c>
      <c r="G936" s="1" t="s">
        <v>286</v>
      </c>
      <c r="H936" s="2">
        <v>33430</v>
      </c>
      <c r="I936" s="2">
        <v>44182</v>
      </c>
      <c r="J936" s="1">
        <v>19.690000000000001</v>
      </c>
      <c r="K936" s="4">
        <f t="shared" si="28"/>
        <v>62.005779000000011</v>
      </c>
      <c r="L936" s="4">
        <f t="shared" si="29"/>
        <v>252.90422100000001</v>
      </c>
    </row>
    <row r="937" spans="1:12" x14ac:dyDescent="0.3">
      <c r="A937" s="1">
        <v>1935</v>
      </c>
      <c r="B937" s="2">
        <v>45710</v>
      </c>
      <c r="C937" s="1" t="s">
        <v>26</v>
      </c>
      <c r="D937" s="1" t="s">
        <v>49</v>
      </c>
      <c r="E937" s="1" t="s">
        <v>12</v>
      </c>
      <c r="F937" s="1">
        <v>3345.99</v>
      </c>
      <c r="G937" s="1" t="s">
        <v>97</v>
      </c>
      <c r="H937" s="2">
        <v>24706</v>
      </c>
      <c r="I937" s="2">
        <v>45721</v>
      </c>
      <c r="J937" s="1">
        <v>38.380000000000003</v>
      </c>
      <c r="K937" s="4">
        <f t="shared" si="28"/>
        <v>1284.1909620000001</v>
      </c>
      <c r="L937" s="4">
        <f t="shared" si="29"/>
        <v>2061.7990379999997</v>
      </c>
    </row>
    <row r="938" spans="1:12" x14ac:dyDescent="0.3">
      <c r="A938" s="1">
        <v>1936</v>
      </c>
      <c r="B938" s="2">
        <v>45607</v>
      </c>
      <c r="C938" s="1" t="s">
        <v>21</v>
      </c>
      <c r="D938" s="1" t="s">
        <v>40</v>
      </c>
      <c r="E938" s="1" t="s">
        <v>16</v>
      </c>
      <c r="F938" s="1">
        <v>489.14</v>
      </c>
      <c r="G938" s="1" t="s">
        <v>178</v>
      </c>
      <c r="H938" s="2">
        <v>23890</v>
      </c>
      <c r="I938" s="2">
        <v>45608</v>
      </c>
      <c r="J938" s="1">
        <v>21.66</v>
      </c>
      <c r="K938" s="4">
        <f t="shared" si="28"/>
        <v>105.94772400000001</v>
      </c>
      <c r="L938" s="4">
        <f t="shared" si="29"/>
        <v>383.19227599999999</v>
      </c>
    </row>
    <row r="939" spans="1:12" x14ac:dyDescent="0.3">
      <c r="A939" s="1">
        <v>1937</v>
      </c>
      <c r="B939" s="2">
        <v>44704</v>
      </c>
      <c r="C939" s="1" t="s">
        <v>10</v>
      </c>
      <c r="D939" s="1" t="s">
        <v>36</v>
      </c>
      <c r="E939" s="1" t="s">
        <v>28</v>
      </c>
      <c r="F939" s="1">
        <v>4141.28</v>
      </c>
      <c r="G939" s="1" t="s">
        <v>239</v>
      </c>
      <c r="H939" s="2">
        <v>38442</v>
      </c>
      <c r="I939" s="2">
        <v>44713</v>
      </c>
      <c r="J939" s="1">
        <v>45.35</v>
      </c>
      <c r="K939" s="4">
        <f t="shared" si="28"/>
        <v>1878.0704799999999</v>
      </c>
      <c r="L939" s="4">
        <f t="shared" si="29"/>
        <v>2263.2095199999999</v>
      </c>
    </row>
    <row r="940" spans="1:12" x14ac:dyDescent="0.3">
      <c r="A940" s="1">
        <v>1938</v>
      </c>
      <c r="B940" s="2">
        <v>45162</v>
      </c>
      <c r="C940" s="1" t="s">
        <v>10</v>
      </c>
      <c r="D940" s="1" t="s">
        <v>22</v>
      </c>
      <c r="E940" s="1" t="s">
        <v>19</v>
      </c>
      <c r="F940" s="1">
        <v>3591.8</v>
      </c>
      <c r="G940" s="1" t="s">
        <v>219</v>
      </c>
      <c r="H940" s="2">
        <v>25321</v>
      </c>
      <c r="I940" s="2">
        <v>45171</v>
      </c>
      <c r="J940" s="1">
        <v>14.86</v>
      </c>
      <c r="K940" s="4">
        <f t="shared" si="28"/>
        <v>533.74147999999991</v>
      </c>
      <c r="L940" s="4">
        <f t="shared" si="29"/>
        <v>3058.0585200000005</v>
      </c>
    </row>
    <row r="941" spans="1:12" x14ac:dyDescent="0.3">
      <c r="A941" s="1">
        <v>1939</v>
      </c>
      <c r="B941" s="2">
        <v>44974</v>
      </c>
      <c r="C941" s="1" t="s">
        <v>14</v>
      </c>
      <c r="D941" s="1" t="s">
        <v>61</v>
      </c>
      <c r="E941" s="1" t="s">
        <v>19</v>
      </c>
      <c r="F941" s="1">
        <v>4649.03</v>
      </c>
      <c r="G941" s="1" t="s">
        <v>70</v>
      </c>
      <c r="H941" s="2">
        <v>30887</v>
      </c>
      <c r="I941" s="2">
        <v>44983</v>
      </c>
      <c r="J941" s="1">
        <v>18.34</v>
      </c>
      <c r="K941" s="4">
        <f t="shared" si="28"/>
        <v>852.63210200000003</v>
      </c>
      <c r="L941" s="4">
        <f t="shared" si="29"/>
        <v>3796.3978979999997</v>
      </c>
    </row>
    <row r="942" spans="1:12" x14ac:dyDescent="0.3">
      <c r="A942" s="1">
        <v>1940</v>
      </c>
      <c r="B942" s="2">
        <v>44896</v>
      </c>
      <c r="C942" s="1" t="s">
        <v>26</v>
      </c>
      <c r="D942" s="1" t="s">
        <v>73</v>
      </c>
      <c r="E942" s="1" t="s">
        <v>28</v>
      </c>
      <c r="F942" s="1">
        <v>2701.12</v>
      </c>
      <c r="G942" s="1" t="s">
        <v>41</v>
      </c>
      <c r="H942" s="2">
        <v>35818</v>
      </c>
      <c r="I942" s="2">
        <v>44902</v>
      </c>
      <c r="J942" s="1">
        <v>4.6500000000000004</v>
      </c>
      <c r="K942" s="4">
        <f t="shared" si="28"/>
        <v>125.60208000000002</v>
      </c>
      <c r="L942" s="4">
        <f t="shared" si="29"/>
        <v>2575.5179199999998</v>
      </c>
    </row>
    <row r="943" spans="1:12" x14ac:dyDescent="0.3">
      <c r="A943" s="1">
        <v>1941</v>
      </c>
      <c r="B943" s="2">
        <v>45776</v>
      </c>
      <c r="C943" s="1" t="s">
        <v>14</v>
      </c>
      <c r="D943" s="1" t="s">
        <v>61</v>
      </c>
      <c r="E943" s="1" t="s">
        <v>19</v>
      </c>
      <c r="F943" s="1">
        <v>1951.11</v>
      </c>
      <c r="G943" s="1" t="s">
        <v>188</v>
      </c>
      <c r="H943" s="2">
        <v>31467</v>
      </c>
      <c r="I943" s="2">
        <v>45781</v>
      </c>
      <c r="J943" s="1">
        <v>32.76</v>
      </c>
      <c r="K943" s="4">
        <f t="shared" si="28"/>
        <v>639.18363599999998</v>
      </c>
      <c r="L943" s="4">
        <f t="shared" si="29"/>
        <v>1311.9263639999999</v>
      </c>
    </row>
    <row r="944" spans="1:12" x14ac:dyDescent="0.3">
      <c r="A944" s="1">
        <v>1942</v>
      </c>
      <c r="B944" s="2">
        <v>44399</v>
      </c>
      <c r="C944" s="1" t="s">
        <v>21</v>
      </c>
      <c r="D944" s="1" t="s">
        <v>40</v>
      </c>
      <c r="E944" s="1" t="s">
        <v>16</v>
      </c>
      <c r="F944" s="1">
        <v>4608.12</v>
      </c>
      <c r="G944" s="1" t="s">
        <v>238</v>
      </c>
      <c r="H944" s="2">
        <v>31880</v>
      </c>
      <c r="I944" s="2">
        <v>44403</v>
      </c>
      <c r="J944" s="1">
        <v>43.95</v>
      </c>
      <c r="K944" s="4">
        <f t="shared" si="28"/>
        <v>2025.26874</v>
      </c>
      <c r="L944" s="4">
        <f t="shared" si="29"/>
        <v>2582.8512599999999</v>
      </c>
    </row>
    <row r="945" spans="1:12" x14ac:dyDescent="0.3">
      <c r="A945" s="1">
        <v>1943</v>
      </c>
      <c r="B945" s="2">
        <v>44656</v>
      </c>
      <c r="C945" s="1" t="s">
        <v>14</v>
      </c>
      <c r="D945" s="1" t="s">
        <v>53</v>
      </c>
      <c r="E945" s="1" t="s">
        <v>28</v>
      </c>
      <c r="F945" s="1">
        <v>2211.34</v>
      </c>
      <c r="G945" s="1" t="s">
        <v>263</v>
      </c>
      <c r="H945" s="2">
        <v>35629</v>
      </c>
      <c r="I945" s="2">
        <v>44662</v>
      </c>
      <c r="J945" s="1">
        <v>10.82</v>
      </c>
      <c r="K945" s="4">
        <f t="shared" si="28"/>
        <v>239.26698800000003</v>
      </c>
      <c r="L945" s="4">
        <f t="shared" si="29"/>
        <v>1972.0730120000001</v>
      </c>
    </row>
    <row r="946" spans="1:12" x14ac:dyDescent="0.3">
      <c r="A946" s="1">
        <v>1944</v>
      </c>
      <c r="B946" s="2">
        <v>44115</v>
      </c>
      <c r="C946" s="1" t="s">
        <v>35</v>
      </c>
      <c r="D946" s="1" t="s">
        <v>38</v>
      </c>
      <c r="E946" s="1" t="s">
        <v>28</v>
      </c>
      <c r="F946" s="1">
        <v>2815.86</v>
      </c>
      <c r="G946" s="1" t="s">
        <v>230</v>
      </c>
      <c r="H946" s="2">
        <v>35642</v>
      </c>
      <c r="I946" s="2">
        <v>44119</v>
      </c>
      <c r="J946" s="1">
        <v>7.31</v>
      </c>
      <c r="K946" s="4">
        <f t="shared" si="28"/>
        <v>205.83936600000001</v>
      </c>
      <c r="L946" s="4">
        <f t="shared" si="29"/>
        <v>2610.020634</v>
      </c>
    </row>
    <row r="947" spans="1:12" x14ac:dyDescent="0.3">
      <c r="A947" s="1">
        <v>1945</v>
      </c>
      <c r="B947" s="2">
        <v>45006</v>
      </c>
      <c r="C947" s="1" t="s">
        <v>10</v>
      </c>
      <c r="D947" s="1" t="s">
        <v>15</v>
      </c>
      <c r="E947" s="1" t="s">
        <v>16</v>
      </c>
      <c r="F947" s="1">
        <v>2209.85</v>
      </c>
      <c r="G947" s="1" t="s">
        <v>326</v>
      </c>
      <c r="H947" s="2">
        <v>25663</v>
      </c>
      <c r="I947" s="2">
        <v>45011</v>
      </c>
      <c r="J947" s="1">
        <v>35.65</v>
      </c>
      <c r="K947" s="4">
        <f t="shared" si="28"/>
        <v>787.81152499999996</v>
      </c>
      <c r="L947" s="4">
        <f t="shared" si="29"/>
        <v>1422.0384749999998</v>
      </c>
    </row>
    <row r="948" spans="1:12" x14ac:dyDescent="0.3">
      <c r="A948" s="1">
        <v>1946</v>
      </c>
      <c r="B948" s="2">
        <v>45032</v>
      </c>
      <c r="C948" s="1" t="s">
        <v>35</v>
      </c>
      <c r="D948" s="1" t="s">
        <v>11</v>
      </c>
      <c r="E948" s="1" t="s">
        <v>12</v>
      </c>
      <c r="F948" s="1">
        <v>3412.98</v>
      </c>
      <c r="G948" s="1" t="s">
        <v>70</v>
      </c>
      <c r="H948" s="2">
        <v>30887</v>
      </c>
      <c r="I948" s="2">
        <v>45041</v>
      </c>
      <c r="J948" s="1">
        <v>43.36</v>
      </c>
      <c r="K948" s="4">
        <f t="shared" si="28"/>
        <v>1479.8681280000001</v>
      </c>
      <c r="L948" s="4">
        <f t="shared" si="29"/>
        <v>1933.1118719999999</v>
      </c>
    </row>
    <row r="949" spans="1:12" x14ac:dyDescent="0.3">
      <c r="A949" s="1">
        <v>1947</v>
      </c>
      <c r="B949" s="2">
        <v>44509</v>
      </c>
      <c r="C949" s="1" t="s">
        <v>21</v>
      </c>
      <c r="D949" s="1" t="s">
        <v>30</v>
      </c>
      <c r="E949" s="1" t="s">
        <v>31</v>
      </c>
      <c r="F949" s="1">
        <v>3690.16</v>
      </c>
      <c r="G949" s="1" t="s">
        <v>316</v>
      </c>
      <c r="H949" s="2">
        <v>36087</v>
      </c>
      <c r="I949" s="2">
        <v>44517</v>
      </c>
      <c r="J949" s="1">
        <v>40.450000000000003</v>
      </c>
      <c r="K949" s="4">
        <f t="shared" si="28"/>
        <v>1492.6697200000001</v>
      </c>
      <c r="L949" s="4">
        <f t="shared" si="29"/>
        <v>2197.49028</v>
      </c>
    </row>
    <row r="950" spans="1:12" x14ac:dyDescent="0.3">
      <c r="A950" s="1">
        <v>1948</v>
      </c>
      <c r="B950" s="2">
        <v>45669</v>
      </c>
      <c r="C950" s="1" t="s">
        <v>14</v>
      </c>
      <c r="D950" s="1" t="s">
        <v>65</v>
      </c>
      <c r="E950" s="1" t="s">
        <v>19</v>
      </c>
      <c r="F950" s="1">
        <v>3714.34</v>
      </c>
      <c r="G950" s="1" t="s">
        <v>78</v>
      </c>
      <c r="H950" s="2">
        <v>25099</v>
      </c>
      <c r="I950" s="2">
        <v>45670</v>
      </c>
      <c r="J950" s="1">
        <v>47.5</v>
      </c>
      <c r="K950" s="4">
        <f t="shared" si="28"/>
        <v>1764.3115</v>
      </c>
      <c r="L950" s="4">
        <f t="shared" si="29"/>
        <v>1950.0285000000001</v>
      </c>
    </row>
    <row r="951" spans="1:12" x14ac:dyDescent="0.3">
      <c r="A951" s="1">
        <v>1949</v>
      </c>
      <c r="B951" s="2">
        <v>44210</v>
      </c>
      <c r="C951" s="1" t="s">
        <v>14</v>
      </c>
      <c r="D951" s="1" t="s">
        <v>55</v>
      </c>
      <c r="E951" s="1" t="s">
        <v>31</v>
      </c>
      <c r="F951" s="1">
        <v>1241.3399999999999</v>
      </c>
      <c r="G951" s="1" t="s">
        <v>74</v>
      </c>
      <c r="H951" s="2">
        <v>31224</v>
      </c>
      <c r="I951" s="2">
        <v>44214</v>
      </c>
      <c r="J951" s="1">
        <v>29.02</v>
      </c>
      <c r="K951" s="4">
        <f t="shared" si="28"/>
        <v>360.23686800000002</v>
      </c>
      <c r="L951" s="4">
        <f t="shared" si="29"/>
        <v>881.10313199999996</v>
      </c>
    </row>
    <row r="952" spans="1:12" x14ac:dyDescent="0.3">
      <c r="A952" s="1">
        <v>1950</v>
      </c>
      <c r="B952" s="2">
        <v>45678</v>
      </c>
      <c r="C952" s="1" t="s">
        <v>10</v>
      </c>
      <c r="D952" s="1" t="s">
        <v>11</v>
      </c>
      <c r="E952" s="1" t="s">
        <v>12</v>
      </c>
      <c r="F952" s="1">
        <v>3443.53</v>
      </c>
      <c r="G952" s="1" t="s">
        <v>138</v>
      </c>
      <c r="H952" s="2">
        <v>25948</v>
      </c>
      <c r="I952" s="2">
        <v>45679</v>
      </c>
      <c r="J952" s="1">
        <v>21.96</v>
      </c>
      <c r="K952" s="4">
        <f t="shared" si="28"/>
        <v>756.19918800000005</v>
      </c>
      <c r="L952" s="4">
        <f t="shared" si="29"/>
        <v>2687.3308120000002</v>
      </c>
    </row>
    <row r="953" spans="1:12" x14ac:dyDescent="0.3">
      <c r="A953" s="1">
        <v>1951</v>
      </c>
      <c r="B953" s="2">
        <v>44071</v>
      </c>
      <c r="C953" s="1" t="s">
        <v>21</v>
      </c>
      <c r="D953" s="1" t="s">
        <v>69</v>
      </c>
      <c r="E953" s="1" t="s">
        <v>12</v>
      </c>
      <c r="F953" s="1">
        <v>3359.09</v>
      </c>
      <c r="G953" s="1" t="s">
        <v>211</v>
      </c>
      <c r="H953" s="2">
        <v>35702</v>
      </c>
      <c r="I953" s="2">
        <v>44074</v>
      </c>
      <c r="J953" s="1">
        <v>26.73</v>
      </c>
      <c r="K953" s="4">
        <f t="shared" si="28"/>
        <v>897.88475699999992</v>
      </c>
      <c r="L953" s="4">
        <f t="shared" si="29"/>
        <v>2461.2052430000003</v>
      </c>
    </row>
    <row r="954" spans="1:12" x14ac:dyDescent="0.3">
      <c r="A954" s="1">
        <v>1952</v>
      </c>
      <c r="B954" s="2">
        <v>45575</v>
      </c>
      <c r="C954" s="1" t="s">
        <v>14</v>
      </c>
      <c r="D954" s="1" t="s">
        <v>49</v>
      </c>
      <c r="E954" s="1" t="s">
        <v>12</v>
      </c>
      <c r="F954" s="1">
        <v>2503.42</v>
      </c>
      <c r="G954" s="1" t="s">
        <v>142</v>
      </c>
      <c r="H954" s="2">
        <v>29541</v>
      </c>
      <c r="I954" s="2">
        <v>45580</v>
      </c>
      <c r="J954" s="1">
        <v>5.45</v>
      </c>
      <c r="K954" s="4">
        <f t="shared" si="28"/>
        <v>136.43639000000002</v>
      </c>
      <c r="L954" s="4">
        <f t="shared" si="29"/>
        <v>2366.9836100000002</v>
      </c>
    </row>
    <row r="955" spans="1:12" x14ac:dyDescent="0.3">
      <c r="A955" s="1">
        <v>1953</v>
      </c>
      <c r="B955" s="2">
        <v>45189</v>
      </c>
      <c r="C955" s="1" t="s">
        <v>26</v>
      </c>
      <c r="D955" s="1" t="s">
        <v>61</v>
      </c>
      <c r="E955" s="1" t="s">
        <v>19</v>
      </c>
      <c r="F955" s="1">
        <v>1687.13</v>
      </c>
      <c r="G955" s="1" t="s">
        <v>160</v>
      </c>
      <c r="H955" s="2">
        <v>35321</v>
      </c>
      <c r="I955" s="2">
        <v>45201</v>
      </c>
      <c r="J955" s="1">
        <v>8.3800000000000008</v>
      </c>
      <c r="K955" s="4">
        <f t="shared" si="28"/>
        <v>141.38149400000003</v>
      </c>
      <c r="L955" s="4">
        <f t="shared" si="29"/>
        <v>1545.7485060000001</v>
      </c>
    </row>
    <row r="956" spans="1:12" x14ac:dyDescent="0.3">
      <c r="A956" s="1">
        <v>1954</v>
      </c>
      <c r="B956" s="2">
        <v>45382</v>
      </c>
      <c r="C956" s="1" t="s">
        <v>14</v>
      </c>
      <c r="D956" s="1" t="s">
        <v>40</v>
      </c>
      <c r="E956" s="1" t="s">
        <v>16</v>
      </c>
      <c r="F956" s="1">
        <v>1612.54</v>
      </c>
      <c r="G956" s="1" t="s">
        <v>224</v>
      </c>
      <c r="H956" s="2">
        <v>35405</v>
      </c>
      <c r="I956" s="2">
        <v>45389</v>
      </c>
      <c r="J956" s="1">
        <v>39.380000000000003</v>
      </c>
      <c r="K956" s="4">
        <f t="shared" si="28"/>
        <v>635.01825200000007</v>
      </c>
      <c r="L956" s="4">
        <f t="shared" si="29"/>
        <v>977.52174799999989</v>
      </c>
    </row>
    <row r="957" spans="1:12" x14ac:dyDescent="0.3">
      <c r="A957" s="1">
        <v>1955</v>
      </c>
      <c r="B957" s="2">
        <v>44402</v>
      </c>
      <c r="C957" s="1" t="s">
        <v>26</v>
      </c>
      <c r="D957" s="1" t="s">
        <v>15</v>
      </c>
      <c r="E957" s="1" t="s">
        <v>16</v>
      </c>
      <c r="F957" s="1">
        <v>1837.14</v>
      </c>
      <c r="G957" s="1" t="s">
        <v>230</v>
      </c>
      <c r="H957" s="2">
        <v>35642</v>
      </c>
      <c r="I957" s="2">
        <v>44412</v>
      </c>
      <c r="J957" s="1">
        <v>26.52</v>
      </c>
      <c r="K957" s="4">
        <f t="shared" si="28"/>
        <v>487.20952800000003</v>
      </c>
      <c r="L957" s="4">
        <f t="shared" si="29"/>
        <v>1349.930472</v>
      </c>
    </row>
    <row r="958" spans="1:12" x14ac:dyDescent="0.3">
      <c r="A958" s="1">
        <v>1956</v>
      </c>
      <c r="B958" s="2">
        <v>44520</v>
      </c>
      <c r="C958" s="1" t="s">
        <v>10</v>
      </c>
      <c r="D958" s="1" t="s">
        <v>11</v>
      </c>
      <c r="E958" s="1" t="s">
        <v>12</v>
      </c>
      <c r="F958" s="1">
        <v>4483.1499999999996</v>
      </c>
      <c r="G958" s="1" t="s">
        <v>170</v>
      </c>
      <c r="H958" s="2">
        <v>34205</v>
      </c>
      <c r="I958" s="2">
        <v>44526</v>
      </c>
      <c r="J958" s="1">
        <v>40.35</v>
      </c>
      <c r="K958" s="4">
        <f t="shared" si="28"/>
        <v>1808.9510250000001</v>
      </c>
      <c r="L958" s="4">
        <f t="shared" si="29"/>
        <v>2674.1989749999993</v>
      </c>
    </row>
    <row r="959" spans="1:12" x14ac:dyDescent="0.3">
      <c r="A959" s="1">
        <v>1957</v>
      </c>
      <c r="B959" s="2">
        <v>44245</v>
      </c>
      <c r="C959" s="1" t="s">
        <v>21</v>
      </c>
      <c r="D959" s="1" t="s">
        <v>49</v>
      </c>
      <c r="E959" s="1" t="s">
        <v>12</v>
      </c>
      <c r="F959" s="1">
        <v>1254.9100000000001</v>
      </c>
      <c r="G959" s="1" t="s">
        <v>242</v>
      </c>
      <c r="H959" s="2">
        <v>21785</v>
      </c>
      <c r="I959" s="2">
        <v>44258</v>
      </c>
      <c r="J959" s="1">
        <v>39.520000000000003</v>
      </c>
      <c r="K959" s="4">
        <f t="shared" si="28"/>
        <v>495.9404320000001</v>
      </c>
      <c r="L959" s="4">
        <f t="shared" si="29"/>
        <v>758.96956799999998</v>
      </c>
    </row>
    <row r="960" spans="1:12" x14ac:dyDescent="0.3">
      <c r="A960" s="1">
        <v>1958</v>
      </c>
      <c r="B960" s="2">
        <v>44353</v>
      </c>
      <c r="C960" s="1" t="s">
        <v>21</v>
      </c>
      <c r="D960" s="1" t="s">
        <v>40</v>
      </c>
      <c r="E960" s="1" t="s">
        <v>16</v>
      </c>
      <c r="F960" s="1">
        <v>2931.39</v>
      </c>
      <c r="G960" s="1" t="s">
        <v>79</v>
      </c>
      <c r="H960" s="2">
        <v>28675</v>
      </c>
      <c r="I960" s="2">
        <v>44356</v>
      </c>
      <c r="J960" s="1">
        <v>41.44</v>
      </c>
      <c r="K960" s="4">
        <f t="shared" si="28"/>
        <v>1214.768016</v>
      </c>
      <c r="L960" s="4">
        <f t="shared" si="29"/>
        <v>1716.6219839999999</v>
      </c>
    </row>
    <row r="961" spans="1:12" x14ac:dyDescent="0.3">
      <c r="A961" s="1">
        <v>1959</v>
      </c>
      <c r="B961" s="2">
        <v>45785</v>
      </c>
      <c r="C961" s="1" t="s">
        <v>26</v>
      </c>
      <c r="D961" s="1" t="s">
        <v>49</v>
      </c>
      <c r="E961" s="1" t="s">
        <v>12</v>
      </c>
      <c r="F961" s="1">
        <v>4482.41</v>
      </c>
      <c r="G961" s="1" t="s">
        <v>131</v>
      </c>
      <c r="H961" s="2">
        <v>38087</v>
      </c>
      <c r="I961" s="2">
        <v>45797</v>
      </c>
      <c r="J961" s="1">
        <v>45.9</v>
      </c>
      <c r="K961" s="4">
        <f t="shared" si="28"/>
        <v>2057.4261899999997</v>
      </c>
      <c r="L961" s="4">
        <f t="shared" si="29"/>
        <v>2424.9838100000002</v>
      </c>
    </row>
    <row r="962" spans="1:12" x14ac:dyDescent="0.3">
      <c r="A962" s="1">
        <v>1960</v>
      </c>
      <c r="B962" s="2">
        <v>45063</v>
      </c>
      <c r="C962" s="1" t="s">
        <v>35</v>
      </c>
      <c r="D962" s="1" t="s">
        <v>69</v>
      </c>
      <c r="E962" s="1" t="s">
        <v>31</v>
      </c>
      <c r="F962" s="1">
        <v>2174.3000000000002</v>
      </c>
      <c r="G962" s="1" t="s">
        <v>326</v>
      </c>
      <c r="H962" s="2">
        <v>25663</v>
      </c>
      <c r="I962" s="2">
        <v>45073</v>
      </c>
      <c r="J962" s="1">
        <v>31.81</v>
      </c>
      <c r="K962" s="4">
        <f t="shared" si="28"/>
        <v>691.64483000000007</v>
      </c>
      <c r="L962" s="4">
        <f t="shared" si="29"/>
        <v>1482.65517</v>
      </c>
    </row>
    <row r="963" spans="1:12" x14ac:dyDescent="0.3">
      <c r="A963" s="1">
        <v>1961</v>
      </c>
      <c r="B963" s="2">
        <v>44600</v>
      </c>
      <c r="C963" s="1" t="s">
        <v>14</v>
      </c>
      <c r="D963" s="1" t="s">
        <v>11</v>
      </c>
      <c r="E963" s="1" t="s">
        <v>12</v>
      </c>
      <c r="F963" s="1">
        <v>1709.59</v>
      </c>
      <c r="G963" s="1" t="s">
        <v>128</v>
      </c>
      <c r="H963" s="2">
        <v>37961</v>
      </c>
      <c r="I963" s="2">
        <v>44604</v>
      </c>
      <c r="J963" s="1">
        <v>47.88</v>
      </c>
      <c r="K963" s="4">
        <f t="shared" ref="K963:K1001" si="30">F963*J963%</f>
        <v>818.551692</v>
      </c>
      <c r="L963" s="4">
        <f t="shared" ref="L963:L1001" si="31">F963-K963</f>
        <v>891.03830799999992</v>
      </c>
    </row>
    <row r="964" spans="1:12" x14ac:dyDescent="0.3">
      <c r="A964" s="1">
        <v>1962</v>
      </c>
      <c r="B964" s="2">
        <v>44515</v>
      </c>
      <c r="C964" s="1" t="s">
        <v>26</v>
      </c>
      <c r="D964" s="1" t="s">
        <v>18</v>
      </c>
      <c r="E964" s="1" t="s">
        <v>19</v>
      </c>
      <c r="F964" s="1">
        <v>3171.06</v>
      </c>
      <c r="G964" s="1" t="s">
        <v>298</v>
      </c>
      <c r="H964" s="2">
        <v>30410</v>
      </c>
      <c r="I964" s="2">
        <v>44529</v>
      </c>
      <c r="J964" s="1">
        <v>47.15</v>
      </c>
      <c r="K964" s="4">
        <f t="shared" si="30"/>
        <v>1495.1547899999998</v>
      </c>
      <c r="L964" s="4">
        <f t="shared" si="31"/>
        <v>1675.9052100000001</v>
      </c>
    </row>
    <row r="965" spans="1:12" x14ac:dyDescent="0.3">
      <c r="A965" s="1">
        <v>1963</v>
      </c>
      <c r="B965" s="2">
        <v>44608</v>
      </c>
      <c r="C965" s="1" t="s">
        <v>35</v>
      </c>
      <c r="D965" s="1" t="s">
        <v>55</v>
      </c>
      <c r="E965" s="1" t="s">
        <v>31</v>
      </c>
      <c r="F965" s="1">
        <v>4888.68</v>
      </c>
      <c r="G965" s="1" t="s">
        <v>158</v>
      </c>
      <c r="H965" s="2">
        <v>34871</v>
      </c>
      <c r="I965" s="2">
        <v>44619</v>
      </c>
      <c r="J965" s="1">
        <v>38.729999999999997</v>
      </c>
      <c r="K965" s="4">
        <f t="shared" si="30"/>
        <v>1893.3857640000001</v>
      </c>
      <c r="L965" s="4">
        <f t="shared" si="31"/>
        <v>2995.2942360000002</v>
      </c>
    </row>
    <row r="966" spans="1:12" x14ac:dyDescent="0.3">
      <c r="A966" s="1">
        <v>1964</v>
      </c>
      <c r="B966" s="2">
        <v>44421</v>
      </c>
      <c r="C966" s="1" t="s">
        <v>10</v>
      </c>
      <c r="D966" s="1" t="s">
        <v>71</v>
      </c>
      <c r="E966" s="1" t="s">
        <v>31</v>
      </c>
      <c r="F966" s="1">
        <v>1024.3699999999999</v>
      </c>
      <c r="G966" s="1" t="s">
        <v>260</v>
      </c>
      <c r="H966" s="2">
        <v>38628</v>
      </c>
      <c r="I966" s="2">
        <v>44430</v>
      </c>
      <c r="J966" s="1">
        <v>41.87</v>
      </c>
      <c r="K966" s="4">
        <f t="shared" si="30"/>
        <v>428.90371899999991</v>
      </c>
      <c r="L966" s="4">
        <f t="shared" si="31"/>
        <v>595.46628099999998</v>
      </c>
    </row>
    <row r="967" spans="1:12" x14ac:dyDescent="0.3">
      <c r="A967" s="1">
        <v>1965</v>
      </c>
      <c r="B967" s="2">
        <v>44788</v>
      </c>
      <c r="C967" s="1" t="s">
        <v>21</v>
      </c>
      <c r="D967" s="1" t="s">
        <v>61</v>
      </c>
      <c r="E967" s="1" t="s">
        <v>19</v>
      </c>
      <c r="F967" s="1">
        <v>4581.2299999999996</v>
      </c>
      <c r="G967" s="1" t="s">
        <v>163</v>
      </c>
      <c r="H967" s="2">
        <v>30364</v>
      </c>
      <c r="I967" s="2">
        <v>44793</v>
      </c>
      <c r="J967" s="1">
        <v>47.09</v>
      </c>
      <c r="K967" s="4">
        <f t="shared" si="30"/>
        <v>2157.301207</v>
      </c>
      <c r="L967" s="4">
        <f t="shared" si="31"/>
        <v>2423.9287929999996</v>
      </c>
    </row>
    <row r="968" spans="1:12" x14ac:dyDescent="0.3">
      <c r="A968" s="1">
        <v>1966</v>
      </c>
      <c r="B968" s="2">
        <v>44086</v>
      </c>
      <c r="C968" s="1" t="s">
        <v>26</v>
      </c>
      <c r="D968" s="1" t="s">
        <v>65</v>
      </c>
      <c r="E968" s="1" t="s">
        <v>19</v>
      </c>
      <c r="F968" s="1">
        <v>2299.33</v>
      </c>
      <c r="G968" s="1" t="s">
        <v>84</v>
      </c>
      <c r="H968" s="2">
        <v>26472</v>
      </c>
      <c r="I968" s="2">
        <v>44095</v>
      </c>
      <c r="J968" s="1">
        <v>27.15</v>
      </c>
      <c r="K968" s="4">
        <f t="shared" si="30"/>
        <v>624.2680949999999</v>
      </c>
      <c r="L968" s="4">
        <f t="shared" si="31"/>
        <v>1675.061905</v>
      </c>
    </row>
    <row r="969" spans="1:12" x14ac:dyDescent="0.3">
      <c r="A969" s="1">
        <v>1967</v>
      </c>
      <c r="B969" s="2">
        <v>44316</v>
      </c>
      <c r="C969" s="1" t="s">
        <v>21</v>
      </c>
      <c r="D969" s="1" t="s">
        <v>15</v>
      </c>
      <c r="E969" s="1" t="s">
        <v>16</v>
      </c>
      <c r="F969" s="1">
        <v>2148.19</v>
      </c>
      <c r="G969" s="1" t="s">
        <v>223</v>
      </c>
      <c r="H969" s="2">
        <v>35407</v>
      </c>
      <c r="I969" s="2">
        <v>44324</v>
      </c>
      <c r="J969" s="1">
        <v>31.44</v>
      </c>
      <c r="K969" s="4">
        <f t="shared" si="30"/>
        <v>675.39093600000001</v>
      </c>
      <c r="L969" s="4">
        <f t="shared" si="31"/>
        <v>1472.799064</v>
      </c>
    </row>
    <row r="970" spans="1:12" x14ac:dyDescent="0.3">
      <c r="A970" s="1">
        <v>1968</v>
      </c>
      <c r="B970" s="2">
        <v>44287</v>
      </c>
      <c r="C970" s="1" t="s">
        <v>10</v>
      </c>
      <c r="D970" s="1" t="s">
        <v>22</v>
      </c>
      <c r="E970" s="1" t="s">
        <v>19</v>
      </c>
      <c r="F970" s="1">
        <v>4578.1099999999997</v>
      </c>
      <c r="G970" s="1" t="s">
        <v>23</v>
      </c>
      <c r="H970" s="2">
        <v>38378</v>
      </c>
      <c r="I970" s="2">
        <v>44289</v>
      </c>
      <c r="J970" s="1">
        <v>32.28</v>
      </c>
      <c r="K970" s="4">
        <f t="shared" si="30"/>
        <v>1477.8139080000001</v>
      </c>
      <c r="L970" s="4">
        <f t="shared" si="31"/>
        <v>3100.2960919999996</v>
      </c>
    </row>
    <row r="971" spans="1:12" x14ac:dyDescent="0.3">
      <c r="A971" s="1">
        <v>1969</v>
      </c>
      <c r="B971" s="2">
        <v>45483</v>
      </c>
      <c r="C971" s="1" t="s">
        <v>10</v>
      </c>
      <c r="D971" s="1" t="s">
        <v>71</v>
      </c>
      <c r="E971" s="1" t="s">
        <v>31</v>
      </c>
      <c r="F971" s="1">
        <v>1321.82</v>
      </c>
      <c r="G971" s="1" t="s">
        <v>254</v>
      </c>
      <c r="H971" s="2">
        <v>29366</v>
      </c>
      <c r="I971" s="2">
        <v>45497</v>
      </c>
      <c r="J971" s="1">
        <v>8.65</v>
      </c>
      <c r="K971" s="4">
        <f t="shared" si="30"/>
        <v>114.33743</v>
      </c>
      <c r="L971" s="4">
        <f t="shared" si="31"/>
        <v>1207.4825699999999</v>
      </c>
    </row>
    <row r="972" spans="1:12" x14ac:dyDescent="0.3">
      <c r="A972" s="1">
        <v>1970</v>
      </c>
      <c r="B972" s="2">
        <v>44111</v>
      </c>
      <c r="C972" s="1" t="s">
        <v>10</v>
      </c>
      <c r="D972" s="1" t="s">
        <v>58</v>
      </c>
      <c r="E972" s="1" t="s">
        <v>31</v>
      </c>
      <c r="F972" s="1">
        <v>4786.34</v>
      </c>
      <c r="G972" s="1" t="s">
        <v>327</v>
      </c>
      <c r="H972" s="2">
        <v>35343</v>
      </c>
      <c r="I972" s="2">
        <v>44115</v>
      </c>
      <c r="J972" s="1">
        <v>34.32</v>
      </c>
      <c r="K972" s="4">
        <f t="shared" si="30"/>
        <v>1642.6718880000001</v>
      </c>
      <c r="L972" s="4">
        <f t="shared" si="31"/>
        <v>3143.6681120000003</v>
      </c>
    </row>
    <row r="973" spans="1:12" x14ac:dyDescent="0.3">
      <c r="A973" s="1">
        <v>1971</v>
      </c>
      <c r="B973" s="2">
        <v>45884</v>
      </c>
      <c r="C973" s="1" t="s">
        <v>26</v>
      </c>
      <c r="D973" s="1" t="s">
        <v>44</v>
      </c>
      <c r="E973" s="1" t="s">
        <v>16</v>
      </c>
      <c r="F973" s="1">
        <v>3228.56</v>
      </c>
      <c r="G973" s="1" t="s">
        <v>37</v>
      </c>
      <c r="H973" s="2">
        <v>27534</v>
      </c>
      <c r="I973" s="2">
        <v>45890</v>
      </c>
      <c r="J973" s="1">
        <v>48.72</v>
      </c>
      <c r="K973" s="4">
        <f t="shared" si="30"/>
        <v>1572.9544319999998</v>
      </c>
      <c r="L973" s="4">
        <f t="shared" si="31"/>
        <v>1655.6055680000002</v>
      </c>
    </row>
    <row r="974" spans="1:12" x14ac:dyDescent="0.3">
      <c r="A974" s="1">
        <v>1972</v>
      </c>
      <c r="B974" s="2">
        <v>44421</v>
      </c>
      <c r="C974" s="1" t="s">
        <v>21</v>
      </c>
      <c r="D974" s="1" t="s">
        <v>40</v>
      </c>
      <c r="E974" s="1" t="s">
        <v>16</v>
      </c>
      <c r="F974" s="1">
        <v>2697.91</v>
      </c>
      <c r="G974" s="1" t="s">
        <v>80</v>
      </c>
      <c r="H974" s="2">
        <v>31578</v>
      </c>
      <c r="I974" s="2">
        <v>44431</v>
      </c>
      <c r="J974" s="1">
        <v>40.82</v>
      </c>
      <c r="K974" s="4">
        <f t="shared" si="30"/>
        <v>1101.2868619999999</v>
      </c>
      <c r="L974" s="4">
        <f t="shared" si="31"/>
        <v>1596.6231379999999</v>
      </c>
    </row>
    <row r="975" spans="1:12" x14ac:dyDescent="0.3">
      <c r="A975" s="1">
        <v>1973</v>
      </c>
      <c r="B975" s="2">
        <v>44350</v>
      </c>
      <c r="C975" s="1" t="s">
        <v>21</v>
      </c>
      <c r="D975" s="1" t="s">
        <v>40</v>
      </c>
      <c r="E975" s="1" t="s">
        <v>16</v>
      </c>
      <c r="F975" s="1">
        <v>3250.71</v>
      </c>
      <c r="G975" s="1" t="s">
        <v>205</v>
      </c>
      <c r="H975" s="2">
        <v>27526</v>
      </c>
      <c r="I975" s="2">
        <v>44352</v>
      </c>
      <c r="J975" s="1">
        <v>38.67</v>
      </c>
      <c r="K975" s="4">
        <f t="shared" si="30"/>
        <v>1257.049557</v>
      </c>
      <c r="L975" s="4">
        <f t="shared" si="31"/>
        <v>1993.660443</v>
      </c>
    </row>
    <row r="976" spans="1:12" x14ac:dyDescent="0.3">
      <c r="A976" s="1">
        <v>1974</v>
      </c>
      <c r="B976" s="2">
        <v>44959</v>
      </c>
      <c r="C976" s="1" t="s">
        <v>21</v>
      </c>
      <c r="D976" s="1" t="s">
        <v>24</v>
      </c>
      <c r="E976" s="1" t="s">
        <v>19</v>
      </c>
      <c r="F976" s="1">
        <v>1777.81</v>
      </c>
      <c r="G976" s="1" t="s">
        <v>70</v>
      </c>
      <c r="H976" s="2">
        <v>30887</v>
      </c>
      <c r="I976" s="2">
        <v>44966</v>
      </c>
      <c r="J976" s="1">
        <v>36.43</v>
      </c>
      <c r="K976" s="4">
        <f t="shared" si="30"/>
        <v>647.65618300000006</v>
      </c>
      <c r="L976" s="4">
        <f t="shared" si="31"/>
        <v>1130.1538169999999</v>
      </c>
    </row>
    <row r="977" spans="1:12" x14ac:dyDescent="0.3">
      <c r="A977" s="1">
        <v>1975</v>
      </c>
      <c r="B977" s="2">
        <v>45826</v>
      </c>
      <c r="C977" s="1" t="s">
        <v>26</v>
      </c>
      <c r="D977" s="1" t="s">
        <v>11</v>
      </c>
      <c r="E977" s="1" t="s">
        <v>12</v>
      </c>
      <c r="F977" s="1">
        <v>3112.42</v>
      </c>
      <c r="G977" s="1" t="s">
        <v>124</v>
      </c>
      <c r="H977" s="2">
        <v>30786</v>
      </c>
      <c r="I977" s="2">
        <v>45830</v>
      </c>
      <c r="J977" s="1">
        <v>38.31</v>
      </c>
      <c r="K977" s="4">
        <f t="shared" si="30"/>
        <v>1192.3681019999999</v>
      </c>
      <c r="L977" s="4">
        <f t="shared" si="31"/>
        <v>1920.0518980000002</v>
      </c>
    </row>
    <row r="978" spans="1:12" x14ac:dyDescent="0.3">
      <c r="A978" s="1">
        <v>1976</v>
      </c>
      <c r="B978" s="2">
        <v>45528</v>
      </c>
      <c r="C978" s="1" t="s">
        <v>14</v>
      </c>
      <c r="D978" s="1" t="s">
        <v>30</v>
      </c>
      <c r="E978" s="1" t="s">
        <v>31</v>
      </c>
      <c r="F978" s="1">
        <v>1607.63</v>
      </c>
      <c r="G978" s="1" t="s">
        <v>328</v>
      </c>
      <c r="H978" s="2">
        <v>28863</v>
      </c>
      <c r="I978" s="2">
        <v>45536</v>
      </c>
      <c r="J978" s="1">
        <v>25.29</v>
      </c>
      <c r="K978" s="4">
        <f t="shared" si="30"/>
        <v>406.56962700000003</v>
      </c>
      <c r="L978" s="4">
        <f t="shared" si="31"/>
        <v>1201.060373</v>
      </c>
    </row>
    <row r="979" spans="1:12" x14ac:dyDescent="0.3">
      <c r="A979" s="1">
        <v>1977</v>
      </c>
      <c r="B979" s="2">
        <v>44608</v>
      </c>
      <c r="C979" s="1" t="s">
        <v>35</v>
      </c>
      <c r="D979" s="1" t="s">
        <v>38</v>
      </c>
      <c r="E979" s="1" t="s">
        <v>28</v>
      </c>
      <c r="F979" s="1">
        <v>4210.1099999999997</v>
      </c>
      <c r="G979" s="1" t="s">
        <v>93</v>
      </c>
      <c r="H979" s="2">
        <v>33984</v>
      </c>
      <c r="I979" s="2">
        <v>44611</v>
      </c>
      <c r="J979" s="1">
        <v>24.74</v>
      </c>
      <c r="K979" s="4">
        <f t="shared" si="30"/>
        <v>1041.5812139999998</v>
      </c>
      <c r="L979" s="4">
        <f t="shared" si="31"/>
        <v>3168.5287859999999</v>
      </c>
    </row>
    <row r="980" spans="1:12" x14ac:dyDescent="0.3">
      <c r="A980" s="1">
        <v>1978</v>
      </c>
      <c r="B980" s="2">
        <v>44677</v>
      </c>
      <c r="C980" s="1" t="s">
        <v>35</v>
      </c>
      <c r="D980" s="1" t="s">
        <v>22</v>
      </c>
      <c r="E980" s="1" t="s">
        <v>19</v>
      </c>
      <c r="F980" s="1">
        <v>1140.3699999999999</v>
      </c>
      <c r="G980" s="1" t="s">
        <v>327</v>
      </c>
      <c r="H980" s="2">
        <v>35343</v>
      </c>
      <c r="I980" s="2">
        <v>44680</v>
      </c>
      <c r="J980" s="1">
        <v>23.17</v>
      </c>
      <c r="K980" s="4">
        <f t="shared" si="30"/>
        <v>264.22372899999999</v>
      </c>
      <c r="L980" s="4">
        <f t="shared" si="31"/>
        <v>876.14627099999984</v>
      </c>
    </row>
    <row r="981" spans="1:12" x14ac:dyDescent="0.3">
      <c r="A981" s="1">
        <v>1979</v>
      </c>
      <c r="B981" s="2">
        <v>45714</v>
      </c>
      <c r="C981" s="1" t="s">
        <v>10</v>
      </c>
      <c r="D981" s="1" t="s">
        <v>55</v>
      </c>
      <c r="E981" s="1" t="s">
        <v>31</v>
      </c>
      <c r="F981" s="1">
        <v>3651.65</v>
      </c>
      <c r="G981" s="1" t="s">
        <v>295</v>
      </c>
      <c r="H981" s="2">
        <v>23369</v>
      </c>
      <c r="I981" s="2">
        <v>45723</v>
      </c>
      <c r="J981" s="1">
        <v>17.829999999999998</v>
      </c>
      <c r="K981" s="4">
        <f t="shared" si="30"/>
        <v>651.08919500000002</v>
      </c>
      <c r="L981" s="4">
        <f t="shared" si="31"/>
        <v>3000.5608050000001</v>
      </c>
    </row>
    <row r="982" spans="1:12" x14ac:dyDescent="0.3">
      <c r="A982" s="1">
        <v>1980</v>
      </c>
      <c r="B982" s="2">
        <v>44666</v>
      </c>
      <c r="C982" s="1" t="s">
        <v>21</v>
      </c>
      <c r="D982" s="1" t="s">
        <v>65</v>
      </c>
      <c r="E982" s="1" t="s">
        <v>19</v>
      </c>
      <c r="F982" s="1">
        <v>2249.48</v>
      </c>
      <c r="G982" s="1" t="s">
        <v>240</v>
      </c>
      <c r="H982" s="2">
        <v>38478</v>
      </c>
      <c r="I982" s="2">
        <v>44671</v>
      </c>
      <c r="J982" s="1">
        <v>8.68</v>
      </c>
      <c r="K982" s="4">
        <f t="shared" si="30"/>
        <v>195.254864</v>
      </c>
      <c r="L982" s="4">
        <f t="shared" si="31"/>
        <v>2054.225136</v>
      </c>
    </row>
    <row r="983" spans="1:12" x14ac:dyDescent="0.3">
      <c r="A983" s="1">
        <v>1981</v>
      </c>
      <c r="B983" s="2">
        <v>44517</v>
      </c>
      <c r="C983" s="1" t="s">
        <v>10</v>
      </c>
      <c r="D983" s="1" t="s">
        <v>58</v>
      </c>
      <c r="E983" s="1" t="s">
        <v>31</v>
      </c>
      <c r="F983" s="1">
        <v>572.61</v>
      </c>
      <c r="G983" s="1" t="s">
        <v>228</v>
      </c>
      <c r="H983" s="2">
        <v>25811</v>
      </c>
      <c r="I983" s="2">
        <v>44521</v>
      </c>
      <c r="J983" s="1">
        <v>17.8</v>
      </c>
      <c r="K983" s="4">
        <f t="shared" si="30"/>
        <v>101.92458000000002</v>
      </c>
      <c r="L983" s="4">
        <f t="shared" si="31"/>
        <v>470.68542000000002</v>
      </c>
    </row>
    <row r="984" spans="1:12" x14ac:dyDescent="0.3">
      <c r="A984" s="1">
        <v>1982</v>
      </c>
      <c r="B984" s="2">
        <v>44780</v>
      </c>
      <c r="C984" s="1" t="s">
        <v>21</v>
      </c>
      <c r="D984" s="1" t="s">
        <v>24</v>
      </c>
      <c r="E984" s="1" t="s">
        <v>19</v>
      </c>
      <c r="F984" s="1">
        <v>3738.45</v>
      </c>
      <c r="G984" s="1" t="s">
        <v>287</v>
      </c>
      <c r="H984" s="2">
        <v>36329</v>
      </c>
      <c r="I984" s="2">
        <v>44783</v>
      </c>
      <c r="J984" s="1">
        <v>40.39</v>
      </c>
      <c r="K984" s="4">
        <f t="shared" si="30"/>
        <v>1509.9599549999998</v>
      </c>
      <c r="L984" s="4">
        <f t="shared" si="31"/>
        <v>2228.490045</v>
      </c>
    </row>
    <row r="985" spans="1:12" x14ac:dyDescent="0.3">
      <c r="A985" s="1">
        <v>1983</v>
      </c>
      <c r="B985" s="2">
        <v>45556</v>
      </c>
      <c r="C985" s="1" t="s">
        <v>10</v>
      </c>
      <c r="D985" s="1" t="s">
        <v>47</v>
      </c>
      <c r="E985" s="1" t="s">
        <v>12</v>
      </c>
      <c r="F985" s="1">
        <v>2860.02</v>
      </c>
      <c r="G985" s="1" t="s">
        <v>309</v>
      </c>
      <c r="H985" s="2">
        <v>23838</v>
      </c>
      <c r="I985" s="2">
        <v>45568</v>
      </c>
      <c r="J985" s="1">
        <v>9.4600000000000009</v>
      </c>
      <c r="K985" s="4">
        <f t="shared" si="30"/>
        <v>270.55789199999998</v>
      </c>
      <c r="L985" s="4">
        <f t="shared" si="31"/>
        <v>2589.4621080000002</v>
      </c>
    </row>
    <row r="986" spans="1:12" x14ac:dyDescent="0.3">
      <c r="A986" s="1">
        <v>1984</v>
      </c>
      <c r="B986" s="2">
        <v>44207</v>
      </c>
      <c r="C986" s="1" t="s">
        <v>10</v>
      </c>
      <c r="D986" s="1" t="s">
        <v>24</v>
      </c>
      <c r="E986" s="1" t="s">
        <v>19</v>
      </c>
      <c r="F986" s="1">
        <v>2382.77</v>
      </c>
      <c r="G986" s="1" t="s">
        <v>269</v>
      </c>
      <c r="H986" s="2">
        <v>30976</v>
      </c>
      <c r="I986" s="2">
        <v>44210</v>
      </c>
      <c r="J986" s="1">
        <v>28.79</v>
      </c>
      <c r="K986" s="4">
        <f t="shared" si="30"/>
        <v>685.99948299999994</v>
      </c>
      <c r="L986" s="4">
        <f t="shared" si="31"/>
        <v>1696.7705169999999</v>
      </c>
    </row>
    <row r="987" spans="1:12" x14ac:dyDescent="0.3">
      <c r="A987" s="1">
        <v>1985</v>
      </c>
      <c r="B987" s="2">
        <v>45108</v>
      </c>
      <c r="C987" s="1" t="s">
        <v>14</v>
      </c>
      <c r="D987" s="1" t="s">
        <v>24</v>
      </c>
      <c r="E987" s="1" t="s">
        <v>19</v>
      </c>
      <c r="F987" s="1">
        <v>2464.46</v>
      </c>
      <c r="G987" s="1" t="s">
        <v>304</v>
      </c>
      <c r="H987" s="2">
        <v>36246</v>
      </c>
      <c r="I987" s="2">
        <v>45111</v>
      </c>
      <c r="J987" s="1">
        <v>20.329999999999998</v>
      </c>
      <c r="K987" s="4">
        <f t="shared" si="30"/>
        <v>501.02471799999995</v>
      </c>
      <c r="L987" s="4">
        <f t="shared" si="31"/>
        <v>1963.4352820000001</v>
      </c>
    </row>
    <row r="988" spans="1:12" x14ac:dyDescent="0.3">
      <c r="A988" s="1">
        <v>1986</v>
      </c>
      <c r="B988" s="2">
        <v>45000</v>
      </c>
      <c r="C988" s="1" t="s">
        <v>21</v>
      </c>
      <c r="D988" s="1" t="s">
        <v>102</v>
      </c>
      <c r="E988" s="1" t="s">
        <v>12</v>
      </c>
      <c r="F988" s="1">
        <v>468.69</v>
      </c>
      <c r="G988" s="1" t="s">
        <v>216</v>
      </c>
      <c r="H988" s="2">
        <v>31419</v>
      </c>
      <c r="I988" s="2">
        <v>45014</v>
      </c>
      <c r="J988" s="1">
        <v>46.49</v>
      </c>
      <c r="K988" s="4">
        <f t="shared" si="30"/>
        <v>217.89398100000003</v>
      </c>
      <c r="L988" s="4">
        <f t="shared" si="31"/>
        <v>250.79601899999997</v>
      </c>
    </row>
    <row r="989" spans="1:12" x14ac:dyDescent="0.3">
      <c r="A989" s="1">
        <v>1987</v>
      </c>
      <c r="B989" s="2">
        <v>45619</v>
      </c>
      <c r="C989" s="1" t="s">
        <v>35</v>
      </c>
      <c r="D989" s="1" t="s">
        <v>71</v>
      </c>
      <c r="E989" s="1" t="s">
        <v>31</v>
      </c>
      <c r="F989" s="1">
        <v>677.56</v>
      </c>
      <c r="G989" s="1" t="s">
        <v>139</v>
      </c>
      <c r="H989" s="2">
        <v>29381</v>
      </c>
      <c r="I989" s="2">
        <v>45621</v>
      </c>
      <c r="J989" s="1">
        <v>37.049999999999997</v>
      </c>
      <c r="K989" s="4">
        <f t="shared" si="30"/>
        <v>251.03597999999997</v>
      </c>
      <c r="L989" s="4">
        <f t="shared" si="31"/>
        <v>426.52401999999995</v>
      </c>
    </row>
    <row r="990" spans="1:12" x14ac:dyDescent="0.3">
      <c r="A990" s="1">
        <v>1988</v>
      </c>
      <c r="B990" s="2">
        <v>44777</v>
      </c>
      <c r="C990" s="1" t="s">
        <v>21</v>
      </c>
      <c r="D990" s="1" t="s">
        <v>88</v>
      </c>
      <c r="E990" s="1" t="s">
        <v>16</v>
      </c>
      <c r="F990" s="1">
        <v>2122.41</v>
      </c>
      <c r="G990" s="1" t="s">
        <v>173</v>
      </c>
      <c r="H990" s="2">
        <v>22016</v>
      </c>
      <c r="I990" s="2">
        <v>44791</v>
      </c>
      <c r="J990" s="1">
        <v>16.09</v>
      </c>
      <c r="K990" s="4">
        <f t="shared" si="30"/>
        <v>341.49576899999994</v>
      </c>
      <c r="L990" s="4">
        <f t="shared" si="31"/>
        <v>1780.914231</v>
      </c>
    </row>
    <row r="991" spans="1:12" x14ac:dyDescent="0.3">
      <c r="A991" s="1">
        <v>1989</v>
      </c>
      <c r="B991" s="2">
        <v>45091</v>
      </c>
      <c r="C991" s="1" t="s">
        <v>10</v>
      </c>
      <c r="D991" s="1" t="s">
        <v>102</v>
      </c>
      <c r="E991" s="1" t="s">
        <v>12</v>
      </c>
      <c r="F991" s="1">
        <v>3431.74</v>
      </c>
      <c r="G991" s="1" t="s">
        <v>151</v>
      </c>
      <c r="H991" s="2">
        <v>34427</v>
      </c>
      <c r="I991" s="2">
        <v>45093</v>
      </c>
      <c r="J991" s="1">
        <v>31.94</v>
      </c>
      <c r="K991" s="4">
        <f t="shared" si="30"/>
        <v>1096.0977559999999</v>
      </c>
      <c r="L991" s="4">
        <f t="shared" si="31"/>
        <v>2335.6422439999997</v>
      </c>
    </row>
    <row r="992" spans="1:12" x14ac:dyDescent="0.3">
      <c r="A992" s="1">
        <v>1990</v>
      </c>
      <c r="B992" s="2">
        <v>45222</v>
      </c>
      <c r="C992" s="1" t="s">
        <v>10</v>
      </c>
      <c r="D992" s="1" t="s">
        <v>53</v>
      </c>
      <c r="E992" s="1" t="s">
        <v>28</v>
      </c>
      <c r="F992" s="1">
        <v>4273.12</v>
      </c>
      <c r="G992" s="1" t="s">
        <v>244</v>
      </c>
      <c r="H992" s="2">
        <v>30356</v>
      </c>
      <c r="I992" s="2">
        <v>45232</v>
      </c>
      <c r="J992" s="1">
        <v>36.299999999999997</v>
      </c>
      <c r="K992" s="4">
        <f t="shared" si="30"/>
        <v>1551.14256</v>
      </c>
      <c r="L992" s="4">
        <f t="shared" si="31"/>
        <v>2721.9774399999997</v>
      </c>
    </row>
    <row r="993" spans="1:12" x14ac:dyDescent="0.3">
      <c r="A993" s="1">
        <v>1991</v>
      </c>
      <c r="B993" s="2">
        <v>44469</v>
      </c>
      <c r="C993" s="1" t="s">
        <v>14</v>
      </c>
      <c r="D993" s="1" t="s">
        <v>47</v>
      </c>
      <c r="E993" s="1" t="s">
        <v>12</v>
      </c>
      <c r="F993" s="1">
        <v>1021.17</v>
      </c>
      <c r="G993" s="1" t="s">
        <v>62</v>
      </c>
      <c r="H993" s="2">
        <v>22870</v>
      </c>
      <c r="I993" s="2">
        <v>44478</v>
      </c>
      <c r="J993" s="1">
        <v>22.08</v>
      </c>
      <c r="K993" s="4">
        <f t="shared" si="30"/>
        <v>225.47433599999999</v>
      </c>
      <c r="L993" s="4">
        <f t="shared" si="31"/>
        <v>795.69566399999997</v>
      </c>
    </row>
    <row r="994" spans="1:12" x14ac:dyDescent="0.3">
      <c r="A994" s="1">
        <v>1992</v>
      </c>
      <c r="B994" s="2">
        <v>45185</v>
      </c>
      <c r="C994" s="1" t="s">
        <v>21</v>
      </c>
      <c r="D994" s="1" t="s">
        <v>27</v>
      </c>
      <c r="E994" s="1" t="s">
        <v>28</v>
      </c>
      <c r="F994" s="1">
        <v>810.89</v>
      </c>
      <c r="G994" s="1" t="s">
        <v>198</v>
      </c>
      <c r="H994" s="2">
        <v>31598</v>
      </c>
      <c r="I994" s="2">
        <v>45196</v>
      </c>
      <c r="J994" s="1">
        <v>1.1100000000000001</v>
      </c>
      <c r="K994" s="4">
        <f t="shared" si="30"/>
        <v>9.0008789999999994</v>
      </c>
      <c r="L994" s="4">
        <f t="shared" si="31"/>
        <v>801.88912099999993</v>
      </c>
    </row>
    <row r="995" spans="1:12" x14ac:dyDescent="0.3">
      <c r="A995" s="1">
        <v>1993</v>
      </c>
      <c r="B995" s="2">
        <v>44395</v>
      </c>
      <c r="C995" s="1" t="s">
        <v>21</v>
      </c>
      <c r="D995" s="1" t="s">
        <v>58</v>
      </c>
      <c r="E995" s="1" t="s">
        <v>31</v>
      </c>
      <c r="F995" s="1">
        <v>2747.73</v>
      </c>
      <c r="G995" s="1" t="s">
        <v>193</v>
      </c>
      <c r="H995" s="2">
        <v>26082</v>
      </c>
      <c r="I995" s="2">
        <v>44409</v>
      </c>
      <c r="J995" s="1">
        <v>27.71</v>
      </c>
      <c r="K995" s="4">
        <f t="shared" si="30"/>
        <v>761.395983</v>
      </c>
      <c r="L995" s="4">
        <f t="shared" si="31"/>
        <v>1986.3340170000001</v>
      </c>
    </row>
    <row r="996" spans="1:12" x14ac:dyDescent="0.3">
      <c r="A996" s="1">
        <v>1994</v>
      </c>
      <c r="B996" s="2">
        <v>44922</v>
      </c>
      <c r="C996" s="1" t="s">
        <v>35</v>
      </c>
      <c r="D996" s="1" t="s">
        <v>69</v>
      </c>
      <c r="E996" s="1" t="s">
        <v>31</v>
      </c>
      <c r="F996" s="1">
        <v>3679.17</v>
      </c>
      <c r="G996" s="1" t="s">
        <v>202</v>
      </c>
      <c r="H996" s="2">
        <v>24802</v>
      </c>
      <c r="I996" s="2">
        <v>44936</v>
      </c>
      <c r="J996" s="1">
        <v>11.92</v>
      </c>
      <c r="K996" s="4">
        <f t="shared" si="30"/>
        <v>438.55706400000003</v>
      </c>
      <c r="L996" s="4">
        <f t="shared" si="31"/>
        <v>3240.612936</v>
      </c>
    </row>
    <row r="997" spans="1:12" x14ac:dyDescent="0.3">
      <c r="A997" s="1">
        <v>1995</v>
      </c>
      <c r="B997" s="2">
        <v>44137</v>
      </c>
      <c r="C997" s="1" t="s">
        <v>14</v>
      </c>
      <c r="D997" s="1" t="s">
        <v>38</v>
      </c>
      <c r="E997" s="1" t="s">
        <v>28</v>
      </c>
      <c r="F997" s="1">
        <v>2082.8000000000002</v>
      </c>
      <c r="G997" s="1" t="s">
        <v>75</v>
      </c>
      <c r="H997" s="2">
        <v>25853</v>
      </c>
      <c r="I997" s="2">
        <v>44146</v>
      </c>
      <c r="J997" s="1">
        <v>30.49</v>
      </c>
      <c r="K997" s="4">
        <f t="shared" si="30"/>
        <v>635.04572000000007</v>
      </c>
      <c r="L997" s="4">
        <f t="shared" si="31"/>
        <v>1447.7542800000001</v>
      </c>
    </row>
    <row r="998" spans="1:12" x14ac:dyDescent="0.3">
      <c r="A998" s="1">
        <v>1996</v>
      </c>
      <c r="B998" s="2">
        <v>45720</v>
      </c>
      <c r="C998" s="1" t="s">
        <v>21</v>
      </c>
      <c r="D998" s="1" t="s">
        <v>65</v>
      </c>
      <c r="E998" s="1" t="s">
        <v>19</v>
      </c>
      <c r="F998" s="1">
        <v>339.6</v>
      </c>
      <c r="G998" s="1" t="s">
        <v>66</v>
      </c>
      <c r="H998" s="2">
        <v>33192</v>
      </c>
      <c r="I998" s="2">
        <v>45730</v>
      </c>
      <c r="J998" s="1">
        <v>41.36</v>
      </c>
      <c r="K998" s="4">
        <f t="shared" si="30"/>
        <v>140.45856000000001</v>
      </c>
      <c r="L998" s="4">
        <f t="shared" si="31"/>
        <v>199.14144000000002</v>
      </c>
    </row>
    <row r="999" spans="1:12" x14ac:dyDescent="0.3">
      <c r="A999" s="1">
        <v>1997</v>
      </c>
      <c r="B999" s="2">
        <v>44735</v>
      </c>
      <c r="C999" s="1" t="s">
        <v>26</v>
      </c>
      <c r="D999" s="1" t="s">
        <v>49</v>
      </c>
      <c r="E999" s="1" t="s">
        <v>12</v>
      </c>
      <c r="F999" s="1">
        <v>3798.58</v>
      </c>
      <c r="G999" s="1" t="s">
        <v>256</v>
      </c>
      <c r="H999" s="2">
        <v>34537</v>
      </c>
      <c r="I999" s="2">
        <v>44746</v>
      </c>
      <c r="J999" s="1">
        <v>1.3</v>
      </c>
      <c r="K999" s="4">
        <f t="shared" si="30"/>
        <v>49.381540000000001</v>
      </c>
      <c r="L999" s="4">
        <f t="shared" si="31"/>
        <v>3749.1984600000001</v>
      </c>
    </row>
    <row r="1000" spans="1:12" x14ac:dyDescent="0.3">
      <c r="A1000" s="1">
        <v>1998</v>
      </c>
      <c r="B1000" s="2">
        <v>45399</v>
      </c>
      <c r="C1000" s="1" t="s">
        <v>14</v>
      </c>
      <c r="D1000" s="1" t="s">
        <v>18</v>
      </c>
      <c r="E1000" s="1" t="s">
        <v>19</v>
      </c>
      <c r="F1000" s="1">
        <v>2405.3000000000002</v>
      </c>
      <c r="G1000" s="1" t="s">
        <v>20</v>
      </c>
      <c r="H1000" s="2">
        <v>24232</v>
      </c>
      <c r="I1000" s="2">
        <v>45405</v>
      </c>
      <c r="J1000" s="1">
        <v>14.82</v>
      </c>
      <c r="K1000" s="4">
        <f t="shared" si="30"/>
        <v>356.46546000000001</v>
      </c>
      <c r="L1000" s="4">
        <f t="shared" si="31"/>
        <v>2048.8345400000003</v>
      </c>
    </row>
    <row r="1001" spans="1:12" x14ac:dyDescent="0.3">
      <c r="A1001" s="1">
        <v>1999</v>
      </c>
      <c r="B1001" s="2">
        <v>44652</v>
      </c>
      <c r="C1001" s="1" t="s">
        <v>35</v>
      </c>
      <c r="D1001" s="1" t="s">
        <v>30</v>
      </c>
      <c r="E1001" s="1" t="s">
        <v>31</v>
      </c>
      <c r="F1001" s="1">
        <v>964.49</v>
      </c>
      <c r="G1001" s="1" t="s">
        <v>112</v>
      </c>
      <c r="H1001" s="2">
        <v>38171</v>
      </c>
      <c r="I1001" s="2">
        <v>44664</v>
      </c>
      <c r="J1001" s="1">
        <v>32.28</v>
      </c>
      <c r="K1001" s="4">
        <f t="shared" si="30"/>
        <v>311.33737200000002</v>
      </c>
      <c r="L1001" s="4">
        <f t="shared" si="31"/>
        <v>653.15262800000005</v>
      </c>
    </row>
  </sheetData>
  <mergeCells count="1">
    <mergeCell ref="Q1:X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718F-3CA7-400F-90B6-B625A746A950}">
  <dimension ref="B2:M1002"/>
  <sheetViews>
    <sheetView tabSelected="1" workbookViewId="0">
      <selection activeCell="R20" sqref="R20"/>
    </sheetView>
  </sheetViews>
  <sheetFormatPr defaultRowHeight="14.4" x14ac:dyDescent="0.3"/>
  <cols>
    <col min="1" max="1" width="7.33203125" bestFit="1" customWidth="1"/>
    <col min="2" max="2" width="9.5546875" bestFit="1" customWidth="1"/>
    <col min="3" max="3" width="11.6640625" bestFit="1" customWidth="1"/>
    <col min="4" max="4" width="8.6640625" customWidth="1"/>
    <col min="5" max="5" width="12.109375" customWidth="1"/>
    <col min="6" max="6" width="12.88671875" customWidth="1"/>
    <col min="7" max="7" width="12.5546875" customWidth="1"/>
    <col min="8" max="8" width="18.77734375" customWidth="1"/>
    <col min="9" max="9" width="10.33203125" bestFit="1" customWidth="1"/>
    <col min="10" max="10" width="13.6640625" bestFit="1" customWidth="1"/>
    <col min="11" max="11" width="11.6640625" bestFit="1" customWidth="1"/>
    <col min="12" max="12" width="14.77734375" bestFit="1" customWidth="1"/>
    <col min="13" max="13" width="10.109375" bestFit="1" customWidth="1"/>
    <col min="14" max="14" width="7.88671875" bestFit="1" customWidth="1"/>
  </cols>
  <sheetData>
    <row r="2" spans="2:13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329</v>
      </c>
      <c r="M2" s="15" t="s">
        <v>330</v>
      </c>
    </row>
    <row r="3" spans="2:13" x14ac:dyDescent="0.3">
      <c r="B3" s="1">
        <v>1667</v>
      </c>
      <c r="C3" s="2">
        <v>44932</v>
      </c>
      <c r="D3" s="1" t="s">
        <v>35</v>
      </c>
      <c r="E3" s="1" t="s">
        <v>24</v>
      </c>
      <c r="F3" s="1" t="s">
        <v>19</v>
      </c>
      <c r="G3" s="1">
        <v>2188.62</v>
      </c>
      <c r="H3" s="1" t="s">
        <v>136</v>
      </c>
      <c r="I3" s="2">
        <v>23704</v>
      </c>
      <c r="J3" s="2">
        <v>44942</v>
      </c>
      <c r="K3" s="1">
        <v>30.97</v>
      </c>
      <c r="L3" s="4">
        <f>G3*K3%</f>
        <v>677.81561399999987</v>
      </c>
      <c r="M3" s="4">
        <f>G3-L3</f>
        <v>1510.804386</v>
      </c>
    </row>
    <row r="4" spans="2:13" x14ac:dyDescent="0.3">
      <c r="B4" s="1">
        <v>1122</v>
      </c>
      <c r="C4" s="2">
        <v>44929</v>
      </c>
      <c r="D4" s="1" t="s">
        <v>35</v>
      </c>
      <c r="E4" s="1" t="s">
        <v>36</v>
      </c>
      <c r="F4" s="1" t="s">
        <v>28</v>
      </c>
      <c r="G4" s="1">
        <v>2326.17</v>
      </c>
      <c r="H4" s="1" t="s">
        <v>145</v>
      </c>
      <c r="I4" s="2">
        <v>23470</v>
      </c>
      <c r="J4" s="2">
        <v>44938</v>
      </c>
      <c r="K4" s="1">
        <v>8.98</v>
      </c>
      <c r="L4" s="4">
        <f>G4*K4%</f>
        <v>208.89006600000002</v>
      </c>
      <c r="M4" s="4">
        <f>G4-L4</f>
        <v>2117.2799340000001</v>
      </c>
    </row>
    <row r="5" spans="2:13" x14ac:dyDescent="0.3">
      <c r="B5" s="1">
        <v>1086</v>
      </c>
      <c r="C5" s="2">
        <v>45703</v>
      </c>
      <c r="D5" s="1" t="s">
        <v>35</v>
      </c>
      <c r="E5" s="1" t="s">
        <v>24</v>
      </c>
      <c r="F5" s="1" t="s">
        <v>19</v>
      </c>
      <c r="G5" s="1">
        <v>3968.35</v>
      </c>
      <c r="H5" s="1" t="s">
        <v>118</v>
      </c>
      <c r="I5" s="2">
        <v>22599</v>
      </c>
      <c r="J5" s="2">
        <v>45712</v>
      </c>
      <c r="K5" s="1">
        <v>30.13</v>
      </c>
      <c r="L5" s="4">
        <f>G5*K5%</f>
        <v>1195.663855</v>
      </c>
      <c r="M5" s="4">
        <f>G5-L5</f>
        <v>2772.6861449999997</v>
      </c>
    </row>
    <row r="6" spans="2:13" x14ac:dyDescent="0.3">
      <c r="B6" s="1">
        <v>1832</v>
      </c>
      <c r="C6" s="2">
        <v>44476</v>
      </c>
      <c r="D6" s="1" t="s">
        <v>35</v>
      </c>
      <c r="E6" s="1" t="s">
        <v>22</v>
      </c>
      <c r="F6" s="1" t="s">
        <v>19</v>
      </c>
      <c r="G6" s="1">
        <v>367.38</v>
      </c>
      <c r="H6" s="1" t="s">
        <v>241</v>
      </c>
      <c r="I6" s="2">
        <v>31880</v>
      </c>
      <c r="J6" s="2">
        <v>44483</v>
      </c>
      <c r="K6" s="1">
        <v>34.29</v>
      </c>
      <c r="L6" s="4">
        <f>G6*K6%</f>
        <v>125.97460199999999</v>
      </c>
      <c r="M6" s="4">
        <f>G6-L6</f>
        <v>241.40539799999999</v>
      </c>
    </row>
    <row r="7" spans="2:13" x14ac:dyDescent="0.3">
      <c r="B7" s="1">
        <v>1052</v>
      </c>
      <c r="C7" s="2">
        <v>44954</v>
      </c>
      <c r="D7" s="1" t="s">
        <v>35</v>
      </c>
      <c r="E7" s="1" t="s">
        <v>65</v>
      </c>
      <c r="F7" s="1" t="s">
        <v>19</v>
      </c>
      <c r="G7" s="1">
        <v>4847.83</v>
      </c>
      <c r="H7" s="1" t="s">
        <v>93</v>
      </c>
      <c r="I7" s="2">
        <v>33984</v>
      </c>
      <c r="J7" s="2">
        <v>44960</v>
      </c>
      <c r="K7" s="1">
        <v>14.96</v>
      </c>
      <c r="L7" s="4">
        <f>G7*K7%</f>
        <v>725.23536799999999</v>
      </c>
      <c r="M7" s="4">
        <f>G7-L7</f>
        <v>4122.5946320000003</v>
      </c>
    </row>
    <row r="8" spans="2:13" x14ac:dyDescent="0.3">
      <c r="B8" s="1">
        <v>1977</v>
      </c>
      <c r="C8" s="2">
        <v>44608</v>
      </c>
      <c r="D8" s="1" t="s">
        <v>35</v>
      </c>
      <c r="E8" s="1" t="s">
        <v>38</v>
      </c>
      <c r="F8" s="1" t="s">
        <v>28</v>
      </c>
      <c r="G8" s="1">
        <v>4210.1099999999997</v>
      </c>
      <c r="H8" s="1" t="s">
        <v>93</v>
      </c>
      <c r="I8" s="2">
        <v>33984</v>
      </c>
      <c r="J8" s="2">
        <v>44611</v>
      </c>
      <c r="K8" s="1">
        <v>24.74</v>
      </c>
      <c r="L8" s="4">
        <f>G8*K8%</f>
        <v>1041.5812139999998</v>
      </c>
      <c r="M8" s="4">
        <f>G8-L8</f>
        <v>3168.5287859999999</v>
      </c>
    </row>
    <row r="9" spans="2:13" x14ac:dyDescent="0.3">
      <c r="B9" s="1">
        <v>1455</v>
      </c>
      <c r="C9" s="2">
        <v>45583</v>
      </c>
      <c r="D9" s="1" t="s">
        <v>35</v>
      </c>
      <c r="E9" s="1" t="s">
        <v>53</v>
      </c>
      <c r="F9" s="1" t="s">
        <v>28</v>
      </c>
      <c r="G9" s="1">
        <v>4094.7</v>
      </c>
      <c r="H9" s="1" t="s">
        <v>274</v>
      </c>
      <c r="I9" s="2">
        <v>34557</v>
      </c>
      <c r="J9" s="2">
        <v>45595</v>
      </c>
      <c r="K9" s="1">
        <v>11.99</v>
      </c>
      <c r="L9" s="4">
        <f>G9*K9%</f>
        <v>490.95452999999998</v>
      </c>
      <c r="M9" s="4">
        <f>G9-L9</f>
        <v>3603.7454699999998</v>
      </c>
    </row>
    <row r="10" spans="2:13" x14ac:dyDescent="0.3">
      <c r="B10" s="1">
        <v>1585</v>
      </c>
      <c r="C10" s="2">
        <v>45316</v>
      </c>
      <c r="D10" s="1" t="s">
        <v>35</v>
      </c>
      <c r="E10" s="1" t="s">
        <v>22</v>
      </c>
      <c r="F10" s="1" t="s">
        <v>19</v>
      </c>
      <c r="G10" s="1">
        <v>3581.16</v>
      </c>
      <c r="H10" s="1" t="s">
        <v>199</v>
      </c>
      <c r="I10" s="2">
        <v>25341</v>
      </c>
      <c r="J10" s="2">
        <v>45323</v>
      </c>
      <c r="K10" s="1">
        <v>5.05</v>
      </c>
      <c r="L10" s="4">
        <f>G10*K10%</f>
        <v>180.84857999999997</v>
      </c>
      <c r="M10" s="4">
        <f>G10-L10</f>
        <v>3400.31142</v>
      </c>
    </row>
    <row r="11" spans="2:13" x14ac:dyDescent="0.3">
      <c r="B11" s="1">
        <v>1327</v>
      </c>
      <c r="C11" s="2">
        <v>45274</v>
      </c>
      <c r="D11" s="1" t="s">
        <v>35</v>
      </c>
      <c r="E11" s="1" t="s">
        <v>38</v>
      </c>
      <c r="F11" s="1" t="s">
        <v>28</v>
      </c>
      <c r="G11" s="1">
        <v>407.98</v>
      </c>
      <c r="H11" s="1" t="s">
        <v>129</v>
      </c>
      <c r="I11" s="2">
        <v>25933</v>
      </c>
      <c r="J11" s="2">
        <v>45279</v>
      </c>
      <c r="K11" s="1">
        <v>31.88</v>
      </c>
      <c r="L11" s="4">
        <f>G11*K11%</f>
        <v>130.06402399999999</v>
      </c>
      <c r="M11" s="4">
        <f>G11-L11</f>
        <v>277.915976</v>
      </c>
    </row>
    <row r="12" spans="2:13" x14ac:dyDescent="0.3">
      <c r="B12" s="1">
        <v>1055</v>
      </c>
      <c r="C12" s="2">
        <v>45293</v>
      </c>
      <c r="D12" s="1" t="s">
        <v>35</v>
      </c>
      <c r="E12" s="1" t="s">
        <v>27</v>
      </c>
      <c r="F12" s="1" t="s">
        <v>28</v>
      </c>
      <c r="G12" s="1">
        <v>2130.08</v>
      </c>
      <c r="H12" s="1" t="s">
        <v>96</v>
      </c>
      <c r="I12" s="2">
        <v>36236</v>
      </c>
      <c r="J12" s="2">
        <v>45298</v>
      </c>
      <c r="K12" s="1">
        <v>20.03</v>
      </c>
      <c r="L12" s="4">
        <f>G12*K12%</f>
        <v>426.65502400000003</v>
      </c>
      <c r="M12" s="4">
        <f>G12-L12</f>
        <v>1703.4249759999998</v>
      </c>
    </row>
    <row r="13" spans="2:13" x14ac:dyDescent="0.3">
      <c r="B13" s="1">
        <v>1587</v>
      </c>
      <c r="C13" s="2">
        <v>44896</v>
      </c>
      <c r="D13" s="1" t="s">
        <v>35</v>
      </c>
      <c r="E13" s="1" t="s">
        <v>58</v>
      </c>
      <c r="F13" s="1" t="s">
        <v>31</v>
      </c>
      <c r="G13" s="1">
        <v>3073.98</v>
      </c>
      <c r="H13" s="1" t="s">
        <v>276</v>
      </c>
      <c r="I13" s="2">
        <v>33394</v>
      </c>
      <c r="J13" s="2">
        <v>44899</v>
      </c>
      <c r="K13" s="1">
        <v>2.78</v>
      </c>
      <c r="L13" s="4">
        <f>G13*K13%</f>
        <v>85.456643999999997</v>
      </c>
      <c r="M13" s="4">
        <f>G13-L13</f>
        <v>2988.5233560000001</v>
      </c>
    </row>
    <row r="14" spans="2:13" x14ac:dyDescent="0.3">
      <c r="B14" s="1">
        <v>1594</v>
      </c>
      <c r="C14" s="2">
        <v>44911</v>
      </c>
      <c r="D14" s="1" t="s">
        <v>35</v>
      </c>
      <c r="E14" s="1" t="s">
        <v>33</v>
      </c>
      <c r="F14" s="1" t="s">
        <v>16</v>
      </c>
      <c r="G14" s="1">
        <v>2530.5</v>
      </c>
      <c r="H14" s="1" t="s">
        <v>276</v>
      </c>
      <c r="I14" s="2">
        <v>33394</v>
      </c>
      <c r="J14" s="2">
        <v>44917</v>
      </c>
      <c r="K14" s="1">
        <v>32.81</v>
      </c>
      <c r="L14" s="4">
        <f>G14*K14%</f>
        <v>830.25705000000005</v>
      </c>
      <c r="M14" s="4">
        <f>G14-L14</f>
        <v>1700.2429499999998</v>
      </c>
    </row>
    <row r="15" spans="2:13" x14ac:dyDescent="0.3">
      <c r="B15" s="1">
        <v>1916</v>
      </c>
      <c r="C15" s="2">
        <v>44360</v>
      </c>
      <c r="D15" s="1" t="s">
        <v>35</v>
      </c>
      <c r="E15" s="1" t="s">
        <v>40</v>
      </c>
      <c r="F15" s="1" t="s">
        <v>16</v>
      </c>
      <c r="G15" s="1">
        <v>2540.2399999999998</v>
      </c>
      <c r="H15" s="1" t="s">
        <v>276</v>
      </c>
      <c r="I15" s="2">
        <v>33394</v>
      </c>
      <c r="J15" s="2">
        <v>44372</v>
      </c>
      <c r="K15" s="1">
        <v>33.18</v>
      </c>
      <c r="L15" s="4">
        <f>G15*K15%</f>
        <v>842.85163199999988</v>
      </c>
      <c r="M15" s="4">
        <f>G15-L15</f>
        <v>1697.3883679999999</v>
      </c>
    </row>
    <row r="16" spans="2:13" x14ac:dyDescent="0.3">
      <c r="B16" s="1">
        <v>1795</v>
      </c>
      <c r="C16" s="2">
        <v>44504</v>
      </c>
      <c r="D16" s="1" t="s">
        <v>35</v>
      </c>
      <c r="E16" s="1" t="s">
        <v>18</v>
      </c>
      <c r="F16" s="1" t="s">
        <v>19</v>
      </c>
      <c r="G16" s="1">
        <v>3311.08</v>
      </c>
      <c r="H16" s="1" t="s">
        <v>94</v>
      </c>
      <c r="I16" s="2">
        <v>25516</v>
      </c>
      <c r="J16" s="2">
        <v>44513</v>
      </c>
      <c r="K16" s="1">
        <v>36.19</v>
      </c>
      <c r="L16" s="4">
        <f>G16*K16%</f>
        <v>1198.2798519999999</v>
      </c>
      <c r="M16" s="4">
        <f>G16-L16</f>
        <v>2112.8001480000003</v>
      </c>
    </row>
    <row r="17" spans="2:13" x14ac:dyDescent="0.3">
      <c r="B17" s="1">
        <v>1064</v>
      </c>
      <c r="C17" s="2">
        <v>44565</v>
      </c>
      <c r="D17" s="1" t="s">
        <v>35</v>
      </c>
      <c r="E17" s="1" t="s">
        <v>102</v>
      </c>
      <c r="F17" s="1" t="s">
        <v>12</v>
      </c>
      <c r="G17" s="1">
        <v>809.73</v>
      </c>
      <c r="H17" s="1" t="s">
        <v>94</v>
      </c>
      <c r="I17" s="2">
        <v>25516</v>
      </c>
      <c r="J17" s="2">
        <v>44571</v>
      </c>
      <c r="K17" s="1">
        <v>34.11</v>
      </c>
      <c r="L17" s="4">
        <f>G17*K17%</f>
        <v>276.19890300000003</v>
      </c>
      <c r="M17" s="4">
        <f>G17-L17</f>
        <v>533.53109700000005</v>
      </c>
    </row>
    <row r="18" spans="2:13" x14ac:dyDescent="0.3">
      <c r="B18" s="1">
        <v>1648</v>
      </c>
      <c r="C18" s="2">
        <v>44377</v>
      </c>
      <c r="D18" s="1" t="s">
        <v>35</v>
      </c>
      <c r="E18" s="1" t="s">
        <v>18</v>
      </c>
      <c r="F18" s="1" t="s">
        <v>19</v>
      </c>
      <c r="G18" s="1">
        <v>1210.22</v>
      </c>
      <c r="H18" s="1" t="s">
        <v>303</v>
      </c>
      <c r="I18" s="2">
        <v>30474</v>
      </c>
      <c r="J18" s="2">
        <v>44382</v>
      </c>
      <c r="K18" s="1">
        <v>46.37</v>
      </c>
      <c r="L18" s="4">
        <f>G18*K18%</f>
        <v>561.17901400000005</v>
      </c>
      <c r="M18" s="4">
        <f>G18-L18</f>
        <v>649.04098599999998</v>
      </c>
    </row>
    <row r="19" spans="2:13" x14ac:dyDescent="0.3">
      <c r="B19" s="1">
        <v>1599</v>
      </c>
      <c r="C19" s="2">
        <v>45019</v>
      </c>
      <c r="D19" s="1" t="s">
        <v>35</v>
      </c>
      <c r="E19" s="1" t="s">
        <v>38</v>
      </c>
      <c r="F19" s="1" t="s">
        <v>28</v>
      </c>
      <c r="G19" s="1">
        <v>4965.5600000000004</v>
      </c>
      <c r="H19" s="1" t="s">
        <v>121</v>
      </c>
      <c r="I19" s="2">
        <v>24580</v>
      </c>
      <c r="J19" s="2">
        <v>45026</v>
      </c>
      <c r="K19" s="1">
        <v>27.76</v>
      </c>
      <c r="L19" s="4">
        <f>G19*K19%</f>
        <v>1378.4394560000003</v>
      </c>
      <c r="M19" s="4">
        <f>G19-L19</f>
        <v>3587.1205440000003</v>
      </c>
    </row>
    <row r="20" spans="2:13" x14ac:dyDescent="0.3">
      <c r="B20" s="1">
        <v>1573</v>
      </c>
      <c r="C20" s="2">
        <v>45595</v>
      </c>
      <c r="D20" s="1" t="s">
        <v>35</v>
      </c>
      <c r="E20" s="1" t="s">
        <v>40</v>
      </c>
      <c r="F20" s="1" t="s">
        <v>16</v>
      </c>
      <c r="G20" s="1">
        <v>3658.88</v>
      </c>
      <c r="H20" s="1" t="s">
        <v>121</v>
      </c>
      <c r="I20" s="2">
        <v>24580</v>
      </c>
      <c r="J20" s="2">
        <v>45598</v>
      </c>
      <c r="K20" s="1">
        <v>30.79</v>
      </c>
      <c r="L20" s="4">
        <f>G20*K20%</f>
        <v>1126.569152</v>
      </c>
      <c r="M20" s="4">
        <f>G20-L20</f>
        <v>2532.3108480000001</v>
      </c>
    </row>
    <row r="21" spans="2:13" x14ac:dyDescent="0.3">
      <c r="B21" s="1">
        <v>1840</v>
      </c>
      <c r="C21" s="2">
        <v>44110</v>
      </c>
      <c r="D21" s="1" t="s">
        <v>35</v>
      </c>
      <c r="E21" s="1" t="s">
        <v>33</v>
      </c>
      <c r="F21" s="1" t="s">
        <v>16</v>
      </c>
      <c r="G21" s="1">
        <v>1090.21</v>
      </c>
      <c r="H21" s="1" t="s">
        <v>313</v>
      </c>
      <c r="I21" s="2">
        <v>23039</v>
      </c>
      <c r="J21" s="2">
        <v>44121</v>
      </c>
      <c r="K21" s="1">
        <v>39.01</v>
      </c>
      <c r="L21" s="4">
        <f>G21*K21%</f>
        <v>425.29092100000003</v>
      </c>
      <c r="M21" s="4">
        <f>G21-L21</f>
        <v>664.91907900000001</v>
      </c>
    </row>
    <row r="22" spans="2:13" x14ac:dyDescent="0.3">
      <c r="B22" s="1">
        <v>1463</v>
      </c>
      <c r="C22" s="2">
        <v>45786</v>
      </c>
      <c r="D22" s="1" t="s">
        <v>35</v>
      </c>
      <c r="E22" s="1" t="s">
        <v>69</v>
      </c>
      <c r="F22" s="1" t="s">
        <v>31</v>
      </c>
      <c r="G22" s="1">
        <v>4085.17</v>
      </c>
      <c r="H22" s="1" t="s">
        <v>277</v>
      </c>
      <c r="I22" s="2">
        <v>35224</v>
      </c>
      <c r="J22" s="2">
        <v>45797</v>
      </c>
      <c r="K22" s="1">
        <v>9.56</v>
      </c>
      <c r="L22" s="4">
        <f>G22*K22%</f>
        <v>390.54225200000002</v>
      </c>
      <c r="M22" s="4">
        <f>G22-L22</f>
        <v>3694.6277479999999</v>
      </c>
    </row>
    <row r="23" spans="2:13" x14ac:dyDescent="0.3">
      <c r="B23" s="1">
        <v>1706</v>
      </c>
      <c r="C23" s="2">
        <v>45165</v>
      </c>
      <c r="D23" s="1" t="s">
        <v>35</v>
      </c>
      <c r="E23" s="1" t="s">
        <v>38</v>
      </c>
      <c r="F23" s="1" t="s">
        <v>28</v>
      </c>
      <c r="G23" s="1">
        <v>3244.23</v>
      </c>
      <c r="H23" s="1" t="s">
        <v>282</v>
      </c>
      <c r="I23" s="2">
        <v>38073</v>
      </c>
      <c r="J23" s="2">
        <v>45171</v>
      </c>
      <c r="K23" s="1">
        <v>48.8</v>
      </c>
      <c r="L23" s="4">
        <f>G23*K23%</f>
        <v>1583.18424</v>
      </c>
      <c r="M23" s="4">
        <f>G23-L23</f>
        <v>1661.04576</v>
      </c>
    </row>
    <row r="24" spans="2:13" x14ac:dyDescent="0.3">
      <c r="B24" s="1">
        <v>1087</v>
      </c>
      <c r="C24" s="2">
        <v>45003</v>
      </c>
      <c r="D24" s="1" t="s">
        <v>35</v>
      </c>
      <c r="E24" s="1" t="s">
        <v>49</v>
      </c>
      <c r="F24" s="1" t="s">
        <v>12</v>
      </c>
      <c r="G24" s="1">
        <v>4586.37</v>
      </c>
      <c r="H24" s="1" t="s">
        <v>119</v>
      </c>
      <c r="I24" s="2">
        <v>34954</v>
      </c>
      <c r="J24" s="2">
        <v>45005</v>
      </c>
      <c r="K24" s="1">
        <v>40.15</v>
      </c>
      <c r="L24" s="4">
        <f>G24*K24%</f>
        <v>1841.4275549999998</v>
      </c>
      <c r="M24" s="4">
        <f>G24-L24</f>
        <v>2744.9424450000001</v>
      </c>
    </row>
    <row r="25" spans="2:13" x14ac:dyDescent="0.3">
      <c r="B25" s="1">
        <v>1384</v>
      </c>
      <c r="C25" s="2">
        <v>45185</v>
      </c>
      <c r="D25" s="1" t="s">
        <v>35</v>
      </c>
      <c r="E25" s="1" t="s">
        <v>38</v>
      </c>
      <c r="F25" s="1" t="s">
        <v>28</v>
      </c>
      <c r="G25" s="1">
        <v>699.51</v>
      </c>
      <c r="H25" s="1" t="s">
        <v>74</v>
      </c>
      <c r="I25" s="2">
        <v>31224</v>
      </c>
      <c r="J25" s="2">
        <v>45198</v>
      </c>
      <c r="K25" s="1">
        <v>6.44</v>
      </c>
      <c r="L25" s="4">
        <f>G25*K25%</f>
        <v>45.048443999999996</v>
      </c>
      <c r="M25" s="4">
        <f>G25-L25</f>
        <v>654.46155599999997</v>
      </c>
    </row>
    <row r="26" spans="2:13" x14ac:dyDescent="0.3">
      <c r="B26" s="1">
        <v>1136</v>
      </c>
      <c r="C26" s="2">
        <v>44784</v>
      </c>
      <c r="D26" s="1" t="s">
        <v>35</v>
      </c>
      <c r="E26" s="1" t="s">
        <v>55</v>
      </c>
      <c r="F26" s="1" t="s">
        <v>31</v>
      </c>
      <c r="G26" s="1">
        <v>2204.64</v>
      </c>
      <c r="H26" s="1" t="s">
        <v>132</v>
      </c>
      <c r="I26" s="2">
        <v>34364</v>
      </c>
      <c r="J26" s="2">
        <v>44785</v>
      </c>
      <c r="K26" s="1">
        <v>1.55</v>
      </c>
      <c r="L26" s="4">
        <f>G26*K26%</f>
        <v>34.17192</v>
      </c>
      <c r="M26" s="4">
        <f>G26-L26</f>
        <v>2170.4680799999996</v>
      </c>
    </row>
    <row r="27" spans="2:13" x14ac:dyDescent="0.3">
      <c r="B27" s="1">
        <v>1281</v>
      </c>
      <c r="C27" s="2">
        <v>44602</v>
      </c>
      <c r="D27" s="1" t="s">
        <v>35</v>
      </c>
      <c r="E27" s="1" t="s">
        <v>18</v>
      </c>
      <c r="F27" s="1" t="s">
        <v>19</v>
      </c>
      <c r="G27" s="1">
        <v>1739.97</v>
      </c>
      <c r="H27" s="1" t="s">
        <v>132</v>
      </c>
      <c r="I27" s="2">
        <v>34364</v>
      </c>
      <c r="J27" s="2">
        <v>44608</v>
      </c>
      <c r="K27" s="1">
        <v>37.43</v>
      </c>
      <c r="L27" s="4">
        <f>G27*K27%</f>
        <v>651.27077100000008</v>
      </c>
      <c r="M27" s="4">
        <f>G27-L27</f>
        <v>1088.6992289999998</v>
      </c>
    </row>
    <row r="28" spans="2:13" x14ac:dyDescent="0.3">
      <c r="B28" s="1">
        <v>1114</v>
      </c>
      <c r="C28" s="2">
        <v>45723</v>
      </c>
      <c r="D28" s="1" t="s">
        <v>35</v>
      </c>
      <c r="E28" s="1" t="s">
        <v>11</v>
      </c>
      <c r="F28" s="1" t="s">
        <v>12</v>
      </c>
      <c r="G28" s="1">
        <v>412.14</v>
      </c>
      <c r="H28" s="1" t="s">
        <v>106</v>
      </c>
      <c r="I28" s="2">
        <v>35506</v>
      </c>
      <c r="J28" s="2">
        <v>45726</v>
      </c>
      <c r="K28" s="1">
        <v>38.22</v>
      </c>
      <c r="L28" s="4">
        <f>G28*K28%</f>
        <v>157.51990799999999</v>
      </c>
      <c r="M28" s="4">
        <f>G28-L28</f>
        <v>254.620092</v>
      </c>
    </row>
    <row r="29" spans="2:13" x14ac:dyDescent="0.3">
      <c r="B29" s="1">
        <v>1250</v>
      </c>
      <c r="C29" s="2">
        <v>44458</v>
      </c>
      <c r="D29" s="1" t="s">
        <v>35</v>
      </c>
      <c r="E29" s="1" t="s">
        <v>49</v>
      </c>
      <c r="F29" s="1" t="s">
        <v>12</v>
      </c>
      <c r="G29" s="1">
        <v>2340.94</v>
      </c>
      <c r="H29" s="1" t="s">
        <v>218</v>
      </c>
      <c r="I29" s="2">
        <v>29792</v>
      </c>
      <c r="J29" s="2">
        <v>44460</v>
      </c>
      <c r="K29" s="1">
        <v>22.07</v>
      </c>
      <c r="L29" s="4">
        <f>G29*K29%</f>
        <v>516.64545800000008</v>
      </c>
      <c r="M29" s="4">
        <f>G29-L29</f>
        <v>1824.2945420000001</v>
      </c>
    </row>
    <row r="30" spans="2:13" x14ac:dyDescent="0.3">
      <c r="B30" s="1">
        <v>1215</v>
      </c>
      <c r="C30" s="2">
        <v>45473</v>
      </c>
      <c r="D30" s="1" t="s">
        <v>35</v>
      </c>
      <c r="E30" s="1" t="s">
        <v>11</v>
      </c>
      <c r="F30" s="1" t="s">
        <v>12</v>
      </c>
      <c r="G30" s="1">
        <v>4188.75</v>
      </c>
      <c r="H30" s="1" t="s">
        <v>203</v>
      </c>
      <c r="I30" s="2">
        <v>34357</v>
      </c>
      <c r="J30" s="2">
        <v>45475</v>
      </c>
      <c r="K30" s="1">
        <v>38.21</v>
      </c>
      <c r="L30" s="4">
        <f>G30*K30%</f>
        <v>1600.521375</v>
      </c>
      <c r="M30" s="4">
        <f>G30-L30</f>
        <v>2588.2286249999997</v>
      </c>
    </row>
    <row r="31" spans="2:13" x14ac:dyDescent="0.3">
      <c r="B31" s="1">
        <v>1374</v>
      </c>
      <c r="C31" s="2">
        <v>45791</v>
      </c>
      <c r="D31" s="1" t="s">
        <v>35</v>
      </c>
      <c r="E31" s="1" t="s">
        <v>55</v>
      </c>
      <c r="F31" s="1" t="s">
        <v>31</v>
      </c>
      <c r="G31" s="1">
        <v>3418.14</v>
      </c>
      <c r="H31" s="1" t="s">
        <v>253</v>
      </c>
      <c r="I31" s="2">
        <v>27131</v>
      </c>
      <c r="J31" s="2">
        <v>45795</v>
      </c>
      <c r="K31" s="1">
        <v>14.35</v>
      </c>
      <c r="L31" s="4">
        <f>G31*K31%</f>
        <v>490.50308999999993</v>
      </c>
      <c r="M31" s="4">
        <f>G31-L31</f>
        <v>2927.6369100000002</v>
      </c>
    </row>
    <row r="32" spans="2:13" x14ac:dyDescent="0.3">
      <c r="B32" s="1">
        <v>1270</v>
      </c>
      <c r="C32" s="2">
        <v>44757</v>
      </c>
      <c r="D32" s="1" t="s">
        <v>35</v>
      </c>
      <c r="E32" s="1" t="s">
        <v>36</v>
      </c>
      <c r="F32" s="1" t="s">
        <v>28</v>
      </c>
      <c r="G32" s="1">
        <v>1878.78</v>
      </c>
      <c r="H32" s="1" t="s">
        <v>46</v>
      </c>
      <c r="I32" s="2">
        <v>24670</v>
      </c>
      <c r="J32" s="2">
        <v>44766</v>
      </c>
      <c r="K32" s="1">
        <v>1.81</v>
      </c>
      <c r="L32" s="4">
        <f>G32*K32%</f>
        <v>34.005918000000001</v>
      </c>
      <c r="M32" s="4">
        <f>G32-L32</f>
        <v>1844.7740819999999</v>
      </c>
    </row>
    <row r="33" spans="2:13" x14ac:dyDescent="0.3">
      <c r="B33" s="1">
        <v>1616</v>
      </c>
      <c r="C33" s="2">
        <v>44472</v>
      </c>
      <c r="D33" s="1" t="s">
        <v>35</v>
      </c>
      <c r="E33" s="1" t="s">
        <v>61</v>
      </c>
      <c r="F33" s="1" t="s">
        <v>19</v>
      </c>
      <c r="G33" s="1">
        <v>4597.1000000000004</v>
      </c>
      <c r="H33" s="1" t="s">
        <v>301</v>
      </c>
      <c r="I33" s="2">
        <v>31775</v>
      </c>
      <c r="J33" s="2">
        <v>44482</v>
      </c>
      <c r="K33" s="1">
        <v>13.79</v>
      </c>
      <c r="L33" s="4">
        <f>G33*K33%</f>
        <v>633.94009000000005</v>
      </c>
      <c r="M33" s="4">
        <f>G33-L33</f>
        <v>3963.1599100000003</v>
      </c>
    </row>
    <row r="34" spans="2:13" x14ac:dyDescent="0.3">
      <c r="B34" s="1">
        <v>1819</v>
      </c>
      <c r="C34" s="2">
        <v>44970</v>
      </c>
      <c r="D34" s="1" t="s">
        <v>35</v>
      </c>
      <c r="E34" s="1" t="s">
        <v>24</v>
      </c>
      <c r="F34" s="1" t="s">
        <v>19</v>
      </c>
      <c r="G34" s="1">
        <v>2156.0700000000002</v>
      </c>
      <c r="H34" s="1" t="s">
        <v>301</v>
      </c>
      <c r="I34" s="2">
        <v>31775</v>
      </c>
      <c r="J34" s="2">
        <v>44983</v>
      </c>
      <c r="K34" s="1">
        <v>27.96</v>
      </c>
      <c r="L34" s="4">
        <f>G34*K34%</f>
        <v>602.83717200000012</v>
      </c>
      <c r="M34" s="4">
        <f>G34-L34</f>
        <v>1553.2328280000002</v>
      </c>
    </row>
    <row r="35" spans="2:13" x14ac:dyDescent="0.3">
      <c r="B35" s="1">
        <v>1898</v>
      </c>
      <c r="C35" s="2">
        <v>44273</v>
      </c>
      <c r="D35" s="1" t="s">
        <v>35</v>
      </c>
      <c r="E35" s="1" t="s">
        <v>71</v>
      </c>
      <c r="F35" s="1" t="s">
        <v>31</v>
      </c>
      <c r="G35" s="1">
        <v>3591.29</v>
      </c>
      <c r="H35" s="1" t="s">
        <v>235</v>
      </c>
      <c r="I35" s="2">
        <v>36760</v>
      </c>
      <c r="J35" s="2">
        <v>44283</v>
      </c>
      <c r="K35" s="1">
        <v>11.69</v>
      </c>
      <c r="L35" s="4">
        <f>G35*K35%</f>
        <v>419.82180099999994</v>
      </c>
      <c r="M35" s="4">
        <f>G35-L35</f>
        <v>3171.4681989999999</v>
      </c>
    </row>
    <row r="36" spans="2:13" x14ac:dyDescent="0.3">
      <c r="B36" s="1">
        <v>1298</v>
      </c>
      <c r="C36" s="2">
        <v>45461</v>
      </c>
      <c r="D36" s="1" t="s">
        <v>35</v>
      </c>
      <c r="E36" s="1" t="s">
        <v>33</v>
      </c>
      <c r="F36" s="1" t="s">
        <v>16</v>
      </c>
      <c r="G36" s="1">
        <v>828.96</v>
      </c>
      <c r="H36" s="1" t="s">
        <v>235</v>
      </c>
      <c r="I36" s="2">
        <v>36760</v>
      </c>
      <c r="J36" s="2">
        <v>45462</v>
      </c>
      <c r="K36" s="1">
        <v>40.68</v>
      </c>
      <c r="L36" s="4">
        <f>G36*K36%</f>
        <v>337.22092800000001</v>
      </c>
      <c r="M36" s="4">
        <f>G36-L36</f>
        <v>491.73907200000002</v>
      </c>
    </row>
    <row r="37" spans="2:13" x14ac:dyDescent="0.3">
      <c r="B37" s="1">
        <v>1572</v>
      </c>
      <c r="C37" s="2">
        <v>44528</v>
      </c>
      <c r="D37" s="1" t="s">
        <v>35</v>
      </c>
      <c r="E37" s="1" t="s">
        <v>15</v>
      </c>
      <c r="F37" s="1" t="s">
        <v>16</v>
      </c>
      <c r="G37" s="1">
        <v>381.09</v>
      </c>
      <c r="H37" s="1" t="s">
        <v>297</v>
      </c>
      <c r="I37" s="2">
        <v>35410</v>
      </c>
      <c r="J37" s="2">
        <v>44529</v>
      </c>
      <c r="K37" s="1">
        <v>23.63</v>
      </c>
      <c r="L37" s="4">
        <f>G37*K37%</f>
        <v>90.051566999999991</v>
      </c>
      <c r="M37" s="4">
        <f>G37-L37</f>
        <v>291.038433</v>
      </c>
    </row>
    <row r="38" spans="2:13" x14ac:dyDescent="0.3">
      <c r="B38" s="1">
        <v>1197</v>
      </c>
      <c r="C38" s="2">
        <v>45554</v>
      </c>
      <c r="D38" s="1" t="s">
        <v>35</v>
      </c>
      <c r="E38" s="1" t="s">
        <v>33</v>
      </c>
      <c r="F38" s="1" t="s">
        <v>16</v>
      </c>
      <c r="G38" s="1">
        <v>4798.92</v>
      </c>
      <c r="H38" s="1" t="s">
        <v>123</v>
      </c>
      <c r="I38" s="2">
        <v>36120</v>
      </c>
      <c r="J38" s="2">
        <v>45561</v>
      </c>
      <c r="K38" s="1">
        <v>34.590000000000003</v>
      </c>
      <c r="L38" s="4">
        <f>G38*K38%</f>
        <v>1659.9464280000002</v>
      </c>
      <c r="M38" s="4">
        <f>G38-L38</f>
        <v>3138.9735719999999</v>
      </c>
    </row>
    <row r="39" spans="2:13" x14ac:dyDescent="0.3">
      <c r="B39" s="1">
        <v>1074</v>
      </c>
      <c r="C39" s="2">
        <v>45174</v>
      </c>
      <c r="D39" s="1" t="s">
        <v>35</v>
      </c>
      <c r="E39" s="1" t="s">
        <v>88</v>
      </c>
      <c r="F39" s="1" t="s">
        <v>16</v>
      </c>
      <c r="G39" s="1">
        <v>2618.06</v>
      </c>
      <c r="H39" s="1" t="s">
        <v>109</v>
      </c>
      <c r="I39" s="2">
        <v>26011</v>
      </c>
      <c r="J39" s="2">
        <v>45176</v>
      </c>
      <c r="K39" s="1">
        <v>11.89</v>
      </c>
      <c r="L39" s="4">
        <f>G39*K39%</f>
        <v>311.28733399999999</v>
      </c>
      <c r="M39" s="4">
        <f>G39-L39</f>
        <v>2306.7726659999998</v>
      </c>
    </row>
    <row r="40" spans="2:13" x14ac:dyDescent="0.3">
      <c r="B40" s="1">
        <v>1322</v>
      </c>
      <c r="C40" s="2">
        <v>44138</v>
      </c>
      <c r="D40" s="1" t="s">
        <v>35</v>
      </c>
      <c r="E40" s="1" t="s">
        <v>53</v>
      </c>
      <c r="F40" s="1" t="s">
        <v>28</v>
      </c>
      <c r="G40" s="1">
        <v>4450.13</v>
      </c>
      <c r="H40" s="1" t="s">
        <v>198</v>
      </c>
      <c r="I40" s="2">
        <v>31598</v>
      </c>
      <c r="J40" s="2">
        <v>44151</v>
      </c>
      <c r="K40" s="1">
        <v>5.77</v>
      </c>
      <c r="L40" s="4">
        <f>G40*K40%</f>
        <v>256.77250099999998</v>
      </c>
      <c r="M40" s="4">
        <f>G40-L40</f>
        <v>4193.3574989999997</v>
      </c>
    </row>
    <row r="41" spans="2:13" x14ac:dyDescent="0.3">
      <c r="B41" s="1">
        <v>1477</v>
      </c>
      <c r="C41" s="2">
        <v>44919</v>
      </c>
      <c r="D41" s="1" t="s">
        <v>35</v>
      </c>
      <c r="E41" s="1" t="s">
        <v>22</v>
      </c>
      <c r="F41" s="1" t="s">
        <v>19</v>
      </c>
      <c r="G41" s="1">
        <v>4592.13</v>
      </c>
      <c r="H41" s="1" t="s">
        <v>213</v>
      </c>
      <c r="I41" s="2">
        <v>34345</v>
      </c>
      <c r="J41" s="2">
        <v>44925</v>
      </c>
      <c r="K41" s="1">
        <v>11.9</v>
      </c>
      <c r="L41" s="4">
        <f>G41*K41%</f>
        <v>546.46347000000003</v>
      </c>
      <c r="M41" s="4">
        <f>G41-L41</f>
        <v>4045.66653</v>
      </c>
    </row>
    <row r="42" spans="2:13" x14ac:dyDescent="0.3">
      <c r="B42" s="1">
        <v>1235</v>
      </c>
      <c r="C42" s="2">
        <v>44284</v>
      </c>
      <c r="D42" s="1" t="s">
        <v>35</v>
      </c>
      <c r="E42" s="1" t="s">
        <v>18</v>
      </c>
      <c r="F42" s="1" t="s">
        <v>19</v>
      </c>
      <c r="G42" s="1">
        <v>4999.79</v>
      </c>
      <c r="H42" s="1" t="s">
        <v>213</v>
      </c>
      <c r="I42" s="2">
        <v>34345</v>
      </c>
      <c r="J42" s="2">
        <v>44285</v>
      </c>
      <c r="K42" s="1">
        <v>42.92</v>
      </c>
      <c r="L42" s="4">
        <f>G42*K42%</f>
        <v>2145.9098680000002</v>
      </c>
      <c r="M42" s="4">
        <f>G42-L42</f>
        <v>2853.8801319999998</v>
      </c>
    </row>
    <row r="43" spans="2:13" x14ac:dyDescent="0.3">
      <c r="B43" s="1">
        <v>1513</v>
      </c>
      <c r="C43" s="2">
        <v>44590</v>
      </c>
      <c r="D43" s="1" t="s">
        <v>35</v>
      </c>
      <c r="E43" s="1" t="s">
        <v>24</v>
      </c>
      <c r="F43" s="1" t="s">
        <v>19</v>
      </c>
      <c r="G43" s="1">
        <v>492.46</v>
      </c>
      <c r="H43" s="1" t="s">
        <v>213</v>
      </c>
      <c r="I43" s="2">
        <v>34345</v>
      </c>
      <c r="J43" s="2">
        <v>44602</v>
      </c>
      <c r="K43" s="1">
        <v>44.35</v>
      </c>
      <c r="L43" s="4">
        <f>G43*K43%</f>
        <v>218.40600999999998</v>
      </c>
      <c r="M43" s="4">
        <f>G43-L43</f>
        <v>274.05399</v>
      </c>
    </row>
    <row r="44" spans="2:13" x14ac:dyDescent="0.3">
      <c r="B44" s="1">
        <v>1266</v>
      </c>
      <c r="C44" s="2">
        <v>45878</v>
      </c>
      <c r="D44" s="1" t="s">
        <v>35</v>
      </c>
      <c r="E44" s="1" t="s">
        <v>33</v>
      </c>
      <c r="F44" s="1" t="s">
        <v>16</v>
      </c>
      <c r="G44" s="1">
        <v>4570.67</v>
      </c>
      <c r="H44" s="1" t="s">
        <v>223</v>
      </c>
      <c r="I44" s="2">
        <v>35407</v>
      </c>
      <c r="J44" s="2">
        <v>45880</v>
      </c>
      <c r="K44" s="1">
        <v>40.4</v>
      </c>
      <c r="L44" s="4">
        <f>G44*K44%</f>
        <v>1846.5506799999998</v>
      </c>
      <c r="M44" s="4">
        <f>G44-L44</f>
        <v>2724.1193200000002</v>
      </c>
    </row>
    <row r="45" spans="2:13" x14ac:dyDescent="0.3">
      <c r="B45" s="1">
        <v>1928</v>
      </c>
      <c r="C45" s="2">
        <v>45402</v>
      </c>
      <c r="D45" s="1" t="s">
        <v>35</v>
      </c>
      <c r="E45" s="1" t="s">
        <v>73</v>
      </c>
      <c r="F45" s="1" t="s">
        <v>28</v>
      </c>
      <c r="G45" s="1">
        <v>3917.77</v>
      </c>
      <c r="H45" s="1" t="s">
        <v>29</v>
      </c>
      <c r="I45" s="2">
        <v>24033</v>
      </c>
      <c r="J45" s="2">
        <v>45403</v>
      </c>
      <c r="K45" s="1">
        <v>18.149999999999999</v>
      </c>
      <c r="L45" s="4">
        <f>G45*K45%</f>
        <v>711.07525499999997</v>
      </c>
      <c r="M45" s="4">
        <f>G45-L45</f>
        <v>3206.6947449999998</v>
      </c>
    </row>
    <row r="46" spans="2:13" x14ac:dyDescent="0.3">
      <c r="B46" s="1">
        <v>1174</v>
      </c>
      <c r="C46" s="2">
        <v>44498</v>
      </c>
      <c r="D46" s="1" t="s">
        <v>35</v>
      </c>
      <c r="E46" s="1" t="s">
        <v>30</v>
      </c>
      <c r="F46" s="1" t="s">
        <v>31</v>
      </c>
      <c r="G46" s="1">
        <v>4323.72</v>
      </c>
      <c r="H46" s="1" t="s">
        <v>29</v>
      </c>
      <c r="I46" s="2">
        <v>24033</v>
      </c>
      <c r="J46" s="2">
        <v>44501</v>
      </c>
      <c r="K46" s="1">
        <v>40.82</v>
      </c>
      <c r="L46" s="4">
        <f>G46*K46%</f>
        <v>1764.9425040000001</v>
      </c>
      <c r="M46" s="4">
        <f>G46-L46</f>
        <v>2558.7774960000002</v>
      </c>
    </row>
    <row r="47" spans="2:13" x14ac:dyDescent="0.3">
      <c r="B47" s="1">
        <v>1720</v>
      </c>
      <c r="C47" s="2">
        <v>44377</v>
      </c>
      <c r="D47" s="1" t="s">
        <v>35</v>
      </c>
      <c r="E47" s="1" t="s">
        <v>11</v>
      </c>
      <c r="F47" s="1" t="s">
        <v>12</v>
      </c>
      <c r="G47" s="1">
        <v>3653.64</v>
      </c>
      <c r="H47" s="1" t="s">
        <v>312</v>
      </c>
      <c r="I47" s="2">
        <v>34765</v>
      </c>
      <c r="J47" s="2">
        <v>44380</v>
      </c>
      <c r="K47" s="1">
        <v>14.62</v>
      </c>
      <c r="L47" s="4">
        <f>G47*K47%</f>
        <v>534.16216799999995</v>
      </c>
      <c r="M47" s="4">
        <f>G47-L47</f>
        <v>3119.477832</v>
      </c>
    </row>
    <row r="48" spans="2:13" x14ac:dyDescent="0.3">
      <c r="B48" s="1">
        <v>1111</v>
      </c>
      <c r="C48" s="2">
        <v>45144</v>
      </c>
      <c r="D48" s="1" t="s">
        <v>35</v>
      </c>
      <c r="E48" s="1" t="s">
        <v>73</v>
      </c>
      <c r="F48" s="1" t="s">
        <v>28</v>
      </c>
      <c r="G48" s="1">
        <v>3954.86</v>
      </c>
      <c r="H48" s="1" t="s">
        <v>135</v>
      </c>
      <c r="I48" s="2">
        <v>38018</v>
      </c>
      <c r="J48" s="2">
        <v>45158</v>
      </c>
      <c r="K48" s="1">
        <v>13.44</v>
      </c>
      <c r="L48" s="4">
        <f>G48*K48%</f>
        <v>531.53318400000001</v>
      </c>
      <c r="M48" s="4">
        <f>G48-L48</f>
        <v>3423.3268160000002</v>
      </c>
    </row>
    <row r="49" spans="2:13" x14ac:dyDescent="0.3">
      <c r="B49" s="1">
        <v>1551</v>
      </c>
      <c r="C49" s="2">
        <v>45270</v>
      </c>
      <c r="D49" s="1" t="s">
        <v>35</v>
      </c>
      <c r="E49" s="1" t="s">
        <v>24</v>
      </c>
      <c r="F49" s="1" t="s">
        <v>19</v>
      </c>
      <c r="G49" s="1">
        <v>2344.4299999999998</v>
      </c>
      <c r="H49" s="1" t="s">
        <v>135</v>
      </c>
      <c r="I49" s="2">
        <v>38018</v>
      </c>
      <c r="J49" s="2">
        <v>45273</v>
      </c>
      <c r="K49" s="1">
        <v>39.96</v>
      </c>
      <c r="L49" s="4">
        <f>G49*K49%</f>
        <v>936.83422799999994</v>
      </c>
      <c r="M49" s="4">
        <f>G49-L49</f>
        <v>1407.5957719999999</v>
      </c>
    </row>
    <row r="50" spans="2:13" x14ac:dyDescent="0.3">
      <c r="B50" s="1">
        <v>1864</v>
      </c>
      <c r="C50" s="2">
        <v>44130</v>
      </c>
      <c r="D50" s="1" t="s">
        <v>35</v>
      </c>
      <c r="E50" s="1" t="s">
        <v>71</v>
      </c>
      <c r="F50" s="1" t="s">
        <v>31</v>
      </c>
      <c r="G50" s="1">
        <v>3797.46</v>
      </c>
      <c r="H50" s="1" t="s">
        <v>39</v>
      </c>
      <c r="I50" s="2">
        <v>26282</v>
      </c>
      <c r="J50" s="2">
        <v>44133</v>
      </c>
      <c r="K50" s="1">
        <v>12.07</v>
      </c>
      <c r="L50" s="4">
        <f>G50*K50%</f>
        <v>458.35342200000002</v>
      </c>
      <c r="M50" s="4">
        <f>G50-L50</f>
        <v>3339.1065779999999</v>
      </c>
    </row>
    <row r="51" spans="2:13" x14ac:dyDescent="0.3">
      <c r="B51" s="1">
        <v>1009</v>
      </c>
      <c r="C51" s="2">
        <v>44110</v>
      </c>
      <c r="D51" s="1" t="s">
        <v>35</v>
      </c>
      <c r="E51" s="1" t="s">
        <v>38</v>
      </c>
      <c r="F51" s="1" t="s">
        <v>28</v>
      </c>
      <c r="G51" s="1">
        <v>4445.5</v>
      </c>
      <c r="H51" s="1" t="s">
        <v>39</v>
      </c>
      <c r="I51" s="2">
        <v>26282</v>
      </c>
      <c r="J51" s="2">
        <v>44123</v>
      </c>
      <c r="K51" s="1">
        <v>27.08</v>
      </c>
      <c r="L51" s="4">
        <f>G51*K51%</f>
        <v>1203.8414</v>
      </c>
      <c r="M51" s="4">
        <f>G51-L51</f>
        <v>3241.6585999999998</v>
      </c>
    </row>
    <row r="52" spans="2:13" x14ac:dyDescent="0.3">
      <c r="B52" s="1">
        <v>1552</v>
      </c>
      <c r="C52" s="2">
        <v>45467</v>
      </c>
      <c r="D52" s="1" t="s">
        <v>35</v>
      </c>
      <c r="E52" s="1" t="s">
        <v>73</v>
      </c>
      <c r="F52" s="1" t="s">
        <v>28</v>
      </c>
      <c r="G52" s="1">
        <v>1735.59</v>
      </c>
      <c r="H52" s="1" t="s">
        <v>168</v>
      </c>
      <c r="I52" s="2">
        <v>37674</v>
      </c>
      <c r="J52" s="2">
        <v>45481</v>
      </c>
      <c r="K52" s="1">
        <v>35.090000000000003</v>
      </c>
      <c r="L52" s="4">
        <f>G52*K52%</f>
        <v>609.01853100000005</v>
      </c>
      <c r="M52" s="4">
        <f>G52-L52</f>
        <v>1126.571469</v>
      </c>
    </row>
    <row r="53" spans="2:13" x14ac:dyDescent="0.3">
      <c r="B53" s="1">
        <v>1640</v>
      </c>
      <c r="C53" s="2">
        <v>45661</v>
      </c>
      <c r="D53" s="1" t="s">
        <v>35</v>
      </c>
      <c r="E53" s="1" t="s">
        <v>15</v>
      </c>
      <c r="F53" s="1" t="s">
        <v>16</v>
      </c>
      <c r="G53" s="1">
        <v>3804.9</v>
      </c>
      <c r="H53" s="1" t="s">
        <v>298</v>
      </c>
      <c r="I53" s="2">
        <v>30410</v>
      </c>
      <c r="J53" s="2">
        <v>45663</v>
      </c>
      <c r="K53" s="1">
        <v>6.91</v>
      </c>
      <c r="L53" s="4">
        <f>G53*K53%</f>
        <v>262.91858999999999</v>
      </c>
      <c r="M53" s="4">
        <f>G53-L53</f>
        <v>3541.9814100000003</v>
      </c>
    </row>
    <row r="54" spans="2:13" x14ac:dyDescent="0.3">
      <c r="B54" s="1">
        <v>1960</v>
      </c>
      <c r="C54" s="2">
        <v>45063</v>
      </c>
      <c r="D54" s="1" t="s">
        <v>35</v>
      </c>
      <c r="E54" s="1" t="s">
        <v>69</v>
      </c>
      <c r="F54" s="1" t="s">
        <v>31</v>
      </c>
      <c r="G54" s="1">
        <v>2174.3000000000002</v>
      </c>
      <c r="H54" s="1" t="s">
        <v>326</v>
      </c>
      <c r="I54" s="2">
        <v>25663</v>
      </c>
      <c r="J54" s="2">
        <v>45073</v>
      </c>
      <c r="K54" s="1">
        <v>31.81</v>
      </c>
      <c r="L54" s="4">
        <f>G54*K54%</f>
        <v>691.64483000000007</v>
      </c>
      <c r="M54" s="4">
        <f>G54-L54</f>
        <v>1482.65517</v>
      </c>
    </row>
    <row r="55" spans="2:13" x14ac:dyDescent="0.3">
      <c r="B55" s="1">
        <v>1295</v>
      </c>
      <c r="C55" s="2">
        <v>45791</v>
      </c>
      <c r="D55" s="1" t="s">
        <v>35</v>
      </c>
      <c r="E55" s="1" t="s">
        <v>11</v>
      </c>
      <c r="F55" s="1" t="s">
        <v>12</v>
      </c>
      <c r="G55" s="1">
        <v>2154.89</v>
      </c>
      <c r="H55" s="1" t="s">
        <v>50</v>
      </c>
      <c r="I55" s="2">
        <v>22594</v>
      </c>
      <c r="J55" s="2">
        <v>45792</v>
      </c>
      <c r="K55" s="1">
        <v>25</v>
      </c>
      <c r="L55" s="4">
        <f>G55*K55%</f>
        <v>538.72249999999997</v>
      </c>
      <c r="M55" s="4">
        <f>G55-L55</f>
        <v>1616.1675</v>
      </c>
    </row>
    <row r="56" spans="2:13" x14ac:dyDescent="0.3">
      <c r="B56" s="1">
        <v>1896</v>
      </c>
      <c r="C56" s="2">
        <v>44786</v>
      </c>
      <c r="D56" s="1" t="s">
        <v>35</v>
      </c>
      <c r="E56" s="1" t="s">
        <v>53</v>
      </c>
      <c r="F56" s="1" t="s">
        <v>28</v>
      </c>
      <c r="G56" s="1">
        <v>4689.82</v>
      </c>
      <c r="H56" s="1" t="s">
        <v>317</v>
      </c>
      <c r="I56" s="2">
        <v>32196</v>
      </c>
      <c r="J56" s="2">
        <v>44796</v>
      </c>
      <c r="K56" s="1">
        <v>28.56</v>
      </c>
      <c r="L56" s="4">
        <f>G56*K56%</f>
        <v>1339.4125919999997</v>
      </c>
      <c r="M56" s="4">
        <f>G56-L56</f>
        <v>3350.407408</v>
      </c>
    </row>
    <row r="57" spans="2:13" x14ac:dyDescent="0.3">
      <c r="B57" s="1">
        <v>1512</v>
      </c>
      <c r="C57" s="2">
        <v>44119</v>
      </c>
      <c r="D57" s="1" t="s">
        <v>35</v>
      </c>
      <c r="E57" s="1" t="s">
        <v>24</v>
      </c>
      <c r="F57" s="1" t="s">
        <v>19</v>
      </c>
      <c r="G57" s="1">
        <v>4036.97</v>
      </c>
      <c r="H57" s="1" t="s">
        <v>228</v>
      </c>
      <c r="I57" s="2">
        <v>25811</v>
      </c>
      <c r="J57" s="2">
        <v>44128</v>
      </c>
      <c r="K57" s="1">
        <v>10.38</v>
      </c>
      <c r="L57" s="4">
        <f>G57*K57%</f>
        <v>419.037486</v>
      </c>
      <c r="M57" s="4">
        <f>G57-L57</f>
        <v>3617.9325139999996</v>
      </c>
    </row>
    <row r="58" spans="2:13" x14ac:dyDescent="0.3">
      <c r="B58" s="1">
        <v>1276</v>
      </c>
      <c r="C58" s="2">
        <v>45664</v>
      </c>
      <c r="D58" s="1" t="s">
        <v>35</v>
      </c>
      <c r="E58" s="1" t="s">
        <v>47</v>
      </c>
      <c r="F58" s="1" t="s">
        <v>12</v>
      </c>
      <c r="G58" s="1">
        <v>2605.23</v>
      </c>
      <c r="H58" s="1" t="s">
        <v>228</v>
      </c>
      <c r="I58" s="2">
        <v>25811</v>
      </c>
      <c r="J58" s="2">
        <v>45671</v>
      </c>
      <c r="K58" s="1">
        <v>38.31</v>
      </c>
      <c r="L58" s="4">
        <f>G58*K58%</f>
        <v>998.06361300000003</v>
      </c>
      <c r="M58" s="4">
        <f>G58-L58</f>
        <v>1607.166387</v>
      </c>
    </row>
    <row r="59" spans="2:13" x14ac:dyDescent="0.3">
      <c r="B59" s="1">
        <v>1008</v>
      </c>
      <c r="C59" s="2">
        <v>45269</v>
      </c>
      <c r="D59" s="1" t="s">
        <v>35</v>
      </c>
      <c r="E59" s="1" t="s">
        <v>36</v>
      </c>
      <c r="F59" s="1" t="s">
        <v>28</v>
      </c>
      <c r="G59" s="1">
        <v>3813.09</v>
      </c>
      <c r="H59" s="1" t="s">
        <v>37</v>
      </c>
      <c r="I59" s="2">
        <v>27534</v>
      </c>
      <c r="J59" s="2">
        <v>45279</v>
      </c>
      <c r="K59" s="1">
        <v>6.96</v>
      </c>
      <c r="L59" s="4">
        <f>G59*K59%</f>
        <v>265.39106399999997</v>
      </c>
      <c r="M59" s="4">
        <f>G59-L59</f>
        <v>3547.6989360000002</v>
      </c>
    </row>
    <row r="60" spans="2:13" x14ac:dyDescent="0.3">
      <c r="B60" s="1">
        <v>1538</v>
      </c>
      <c r="C60" s="2">
        <v>45003</v>
      </c>
      <c r="D60" s="1" t="s">
        <v>35</v>
      </c>
      <c r="E60" s="1" t="s">
        <v>36</v>
      </c>
      <c r="F60" s="1" t="s">
        <v>28</v>
      </c>
      <c r="G60" s="1">
        <v>4083.61</v>
      </c>
      <c r="H60" s="1" t="s">
        <v>293</v>
      </c>
      <c r="I60" s="2">
        <v>26379</v>
      </c>
      <c r="J60" s="2">
        <v>45017</v>
      </c>
      <c r="K60" s="1">
        <v>7.1</v>
      </c>
      <c r="L60" s="4">
        <f>G60*K60%</f>
        <v>289.93630999999999</v>
      </c>
      <c r="M60" s="4">
        <f>G60-L60</f>
        <v>3793.6736900000001</v>
      </c>
    </row>
    <row r="61" spans="2:13" x14ac:dyDescent="0.3">
      <c r="B61" s="1">
        <v>1857</v>
      </c>
      <c r="C61" s="2">
        <v>44287</v>
      </c>
      <c r="D61" s="1" t="s">
        <v>35</v>
      </c>
      <c r="E61" s="1" t="s">
        <v>36</v>
      </c>
      <c r="F61" s="1" t="s">
        <v>28</v>
      </c>
      <c r="G61" s="1">
        <v>1906.35</v>
      </c>
      <c r="H61" s="1" t="s">
        <v>293</v>
      </c>
      <c r="I61" s="2">
        <v>26379</v>
      </c>
      <c r="J61" s="2">
        <v>44299</v>
      </c>
      <c r="K61" s="1">
        <v>49.06</v>
      </c>
      <c r="L61" s="4">
        <f>G61*K61%</f>
        <v>935.25531000000001</v>
      </c>
      <c r="M61" s="4">
        <f>G61-L61</f>
        <v>971.0946899999999</v>
      </c>
    </row>
    <row r="62" spans="2:13" x14ac:dyDescent="0.3">
      <c r="B62" s="1">
        <v>1683</v>
      </c>
      <c r="C62" s="2">
        <v>44229</v>
      </c>
      <c r="D62" s="1" t="s">
        <v>35</v>
      </c>
      <c r="E62" s="1" t="s">
        <v>18</v>
      </c>
      <c r="F62" s="1" t="s">
        <v>19</v>
      </c>
      <c r="G62" s="1">
        <v>2109.39</v>
      </c>
      <c r="H62" s="1" t="s">
        <v>261</v>
      </c>
      <c r="I62" s="2">
        <v>23920</v>
      </c>
      <c r="J62" s="2">
        <v>44235</v>
      </c>
      <c r="K62" s="1">
        <v>19.059999999999999</v>
      </c>
      <c r="L62" s="4">
        <f>G62*K62%</f>
        <v>402.04973399999994</v>
      </c>
      <c r="M62" s="4">
        <f>G62-L62</f>
        <v>1707.3402659999999</v>
      </c>
    </row>
    <row r="63" spans="2:13" x14ac:dyDescent="0.3">
      <c r="B63" s="1">
        <v>1728</v>
      </c>
      <c r="C63" s="2">
        <v>44521</v>
      </c>
      <c r="D63" s="1" t="s">
        <v>35</v>
      </c>
      <c r="E63" s="1" t="s">
        <v>18</v>
      </c>
      <c r="F63" s="1" t="s">
        <v>19</v>
      </c>
      <c r="G63" s="1">
        <v>1193.6600000000001</v>
      </c>
      <c r="H63" s="1" t="s">
        <v>60</v>
      </c>
      <c r="I63" s="2">
        <v>33482</v>
      </c>
      <c r="J63" s="2">
        <v>44530</v>
      </c>
      <c r="K63" s="1">
        <v>37.83</v>
      </c>
      <c r="L63" s="4">
        <f>G63*K63%</f>
        <v>451.561578</v>
      </c>
      <c r="M63" s="4">
        <f>G63-L63</f>
        <v>742.09842200000003</v>
      </c>
    </row>
    <row r="64" spans="2:13" x14ac:dyDescent="0.3">
      <c r="B64" s="1">
        <v>1893</v>
      </c>
      <c r="C64" s="2">
        <v>44597</v>
      </c>
      <c r="D64" s="1" t="s">
        <v>35</v>
      </c>
      <c r="E64" s="1" t="s">
        <v>27</v>
      </c>
      <c r="F64" s="1" t="s">
        <v>28</v>
      </c>
      <c r="G64" s="1">
        <v>1953.69</v>
      </c>
      <c r="H64" s="1" t="s">
        <v>163</v>
      </c>
      <c r="I64" s="2">
        <v>30364</v>
      </c>
      <c r="J64" s="2">
        <v>44611</v>
      </c>
      <c r="K64" s="1">
        <v>32.869999999999997</v>
      </c>
      <c r="L64" s="4">
        <f>G64*K64%</f>
        <v>642.17790300000001</v>
      </c>
      <c r="M64" s="4">
        <f>G64-L64</f>
        <v>1311.512097</v>
      </c>
    </row>
    <row r="65" spans="2:13" x14ac:dyDescent="0.3">
      <c r="B65" s="1">
        <v>1171</v>
      </c>
      <c r="C65" s="2">
        <v>45820</v>
      </c>
      <c r="D65" s="1" t="s">
        <v>35</v>
      </c>
      <c r="E65" s="1" t="s">
        <v>24</v>
      </c>
      <c r="F65" s="1" t="s">
        <v>19</v>
      </c>
      <c r="G65" s="1">
        <v>271.82</v>
      </c>
      <c r="H65" s="1" t="s">
        <v>163</v>
      </c>
      <c r="I65" s="2">
        <v>30364</v>
      </c>
      <c r="J65" s="2">
        <v>45824</v>
      </c>
      <c r="K65" s="1">
        <v>42.03</v>
      </c>
      <c r="L65" s="4">
        <f>G65*K65%</f>
        <v>114.245946</v>
      </c>
      <c r="M65" s="4">
        <f>G65-L65</f>
        <v>157.57405399999999</v>
      </c>
    </row>
    <row r="66" spans="2:13" x14ac:dyDescent="0.3">
      <c r="B66" s="1">
        <v>1870</v>
      </c>
      <c r="C66" s="2">
        <v>44294</v>
      </c>
      <c r="D66" s="1" t="s">
        <v>35</v>
      </c>
      <c r="E66" s="1" t="s">
        <v>40</v>
      </c>
      <c r="F66" s="1" t="s">
        <v>16</v>
      </c>
      <c r="G66" s="1">
        <v>107.06</v>
      </c>
      <c r="H66" s="1" t="s">
        <v>99</v>
      </c>
      <c r="I66" s="2">
        <v>26397</v>
      </c>
      <c r="J66" s="2">
        <v>44308</v>
      </c>
      <c r="K66" s="1">
        <v>7.95</v>
      </c>
      <c r="L66" s="4">
        <f>G66*K66%</f>
        <v>8.5112699999999997</v>
      </c>
      <c r="M66" s="4">
        <f>G66-L66</f>
        <v>98.548730000000006</v>
      </c>
    </row>
    <row r="67" spans="2:13" x14ac:dyDescent="0.3">
      <c r="B67" s="1">
        <v>1223</v>
      </c>
      <c r="C67" s="2">
        <v>45167</v>
      </c>
      <c r="D67" s="1" t="s">
        <v>35</v>
      </c>
      <c r="E67" s="1" t="s">
        <v>36</v>
      </c>
      <c r="F67" s="1" t="s">
        <v>28</v>
      </c>
      <c r="G67" s="1">
        <v>2497.2600000000002</v>
      </c>
      <c r="H67" s="1" t="s">
        <v>130</v>
      </c>
      <c r="I67" s="2">
        <v>38750</v>
      </c>
      <c r="J67" s="2">
        <v>45174</v>
      </c>
      <c r="K67" s="1">
        <v>1.29</v>
      </c>
      <c r="L67" s="4">
        <f>G67*K67%</f>
        <v>32.214654000000003</v>
      </c>
      <c r="M67" s="4">
        <f>G67-L67</f>
        <v>2465.0453460000003</v>
      </c>
    </row>
    <row r="68" spans="2:13" x14ac:dyDescent="0.3">
      <c r="B68" s="1">
        <v>1656</v>
      </c>
      <c r="C68" s="2">
        <v>44918</v>
      </c>
      <c r="D68" s="1" t="s">
        <v>35</v>
      </c>
      <c r="E68" s="1" t="s">
        <v>88</v>
      </c>
      <c r="F68" s="1" t="s">
        <v>16</v>
      </c>
      <c r="G68" s="1">
        <v>1309.18</v>
      </c>
      <c r="H68" s="1" t="s">
        <v>130</v>
      </c>
      <c r="I68" s="2">
        <v>38750</v>
      </c>
      <c r="J68" s="2">
        <v>44928</v>
      </c>
      <c r="K68" s="1">
        <v>26.82</v>
      </c>
      <c r="L68" s="4">
        <f>G68*K68%</f>
        <v>351.12207599999999</v>
      </c>
      <c r="M68" s="4">
        <f>G68-L68</f>
        <v>958.05792400000007</v>
      </c>
    </row>
    <row r="69" spans="2:13" x14ac:dyDescent="0.3">
      <c r="B69" s="1">
        <v>1875</v>
      </c>
      <c r="C69" s="2">
        <v>44441</v>
      </c>
      <c r="D69" s="1" t="s">
        <v>35</v>
      </c>
      <c r="E69" s="1" t="s">
        <v>88</v>
      </c>
      <c r="F69" s="1" t="s">
        <v>16</v>
      </c>
      <c r="G69" s="1">
        <v>4552.8100000000004</v>
      </c>
      <c r="H69" s="1" t="s">
        <v>242</v>
      </c>
      <c r="I69" s="2">
        <v>21785</v>
      </c>
      <c r="J69" s="2">
        <v>44447</v>
      </c>
      <c r="K69" s="1">
        <v>24.52</v>
      </c>
      <c r="L69" s="4">
        <f>G69*K69%</f>
        <v>1116.3490120000001</v>
      </c>
      <c r="M69" s="4">
        <f>G69-L69</f>
        <v>3436.4609880000003</v>
      </c>
    </row>
    <row r="70" spans="2:13" x14ac:dyDescent="0.3">
      <c r="B70" s="1">
        <v>1115</v>
      </c>
      <c r="C70" s="2">
        <v>44218</v>
      </c>
      <c r="D70" s="1" t="s">
        <v>35</v>
      </c>
      <c r="E70" s="1" t="s">
        <v>38</v>
      </c>
      <c r="F70" s="1" t="s">
        <v>28</v>
      </c>
      <c r="G70" s="1">
        <v>3960.77</v>
      </c>
      <c r="H70" s="1" t="s">
        <v>138</v>
      </c>
      <c r="I70" s="2">
        <v>25948</v>
      </c>
      <c r="J70" s="2">
        <v>44222</v>
      </c>
      <c r="K70" s="1">
        <v>42.31</v>
      </c>
      <c r="L70" s="4">
        <f>G70*K70%</f>
        <v>1675.8017870000001</v>
      </c>
      <c r="M70" s="4">
        <f>G70-L70</f>
        <v>2284.9682130000001</v>
      </c>
    </row>
    <row r="71" spans="2:13" x14ac:dyDescent="0.3">
      <c r="B71" s="1">
        <v>1456</v>
      </c>
      <c r="C71" s="2">
        <v>44685</v>
      </c>
      <c r="D71" s="1" t="s">
        <v>35</v>
      </c>
      <c r="E71" s="1" t="s">
        <v>44</v>
      </c>
      <c r="F71" s="1" t="s">
        <v>16</v>
      </c>
      <c r="G71" s="1">
        <v>598.49</v>
      </c>
      <c r="H71" s="1" t="s">
        <v>138</v>
      </c>
      <c r="I71" s="2">
        <v>25948</v>
      </c>
      <c r="J71" s="2">
        <v>44688</v>
      </c>
      <c r="K71" s="1">
        <v>39.99</v>
      </c>
      <c r="L71" s="4">
        <f>G71*K71%</f>
        <v>239.33615100000003</v>
      </c>
      <c r="M71" s="4">
        <f>G71-L71</f>
        <v>359.15384899999998</v>
      </c>
    </row>
    <row r="72" spans="2:13" x14ac:dyDescent="0.3">
      <c r="B72" s="1">
        <v>1994</v>
      </c>
      <c r="C72" s="2">
        <v>44922</v>
      </c>
      <c r="D72" s="1" t="s">
        <v>35</v>
      </c>
      <c r="E72" s="1" t="s">
        <v>69</v>
      </c>
      <c r="F72" s="1" t="s">
        <v>31</v>
      </c>
      <c r="G72" s="1">
        <v>3679.17</v>
      </c>
      <c r="H72" s="1" t="s">
        <v>202</v>
      </c>
      <c r="I72" s="2">
        <v>24802</v>
      </c>
      <c r="J72" s="2">
        <v>44936</v>
      </c>
      <c r="K72" s="1">
        <v>11.92</v>
      </c>
      <c r="L72" s="4">
        <f>G72*K72%</f>
        <v>438.55706400000003</v>
      </c>
      <c r="M72" s="4">
        <f>G72-L72</f>
        <v>3240.612936</v>
      </c>
    </row>
    <row r="73" spans="2:13" x14ac:dyDescent="0.3">
      <c r="B73" s="1">
        <v>1492</v>
      </c>
      <c r="C73" s="2">
        <v>44582</v>
      </c>
      <c r="D73" s="1" t="s">
        <v>35</v>
      </c>
      <c r="E73" s="1" t="s">
        <v>69</v>
      </c>
      <c r="F73" s="1" t="s">
        <v>31</v>
      </c>
      <c r="G73" s="1">
        <v>857.98</v>
      </c>
      <c r="H73" s="1" t="s">
        <v>202</v>
      </c>
      <c r="I73" s="2">
        <v>24802</v>
      </c>
      <c r="J73" s="2">
        <v>44595</v>
      </c>
      <c r="K73" s="1">
        <v>8.44</v>
      </c>
      <c r="L73" s="4">
        <f>G73*K73%</f>
        <v>72.413511999999997</v>
      </c>
      <c r="M73" s="4">
        <f>G73-L73</f>
        <v>785.56648800000005</v>
      </c>
    </row>
    <row r="74" spans="2:13" x14ac:dyDescent="0.3">
      <c r="B74" s="1">
        <v>1398</v>
      </c>
      <c r="C74" s="2">
        <v>44212</v>
      </c>
      <c r="D74" s="1" t="s">
        <v>35</v>
      </c>
      <c r="E74" s="1" t="s">
        <v>88</v>
      </c>
      <c r="F74" s="1" t="s">
        <v>16</v>
      </c>
      <c r="G74" s="1">
        <v>3671.09</v>
      </c>
      <c r="H74" s="1" t="s">
        <v>112</v>
      </c>
      <c r="I74" s="2">
        <v>38171</v>
      </c>
      <c r="J74" s="2">
        <v>44225</v>
      </c>
      <c r="K74" s="1">
        <v>45.75</v>
      </c>
      <c r="L74" s="4">
        <f>G74*K74%</f>
        <v>1679.5236750000001</v>
      </c>
      <c r="M74" s="4">
        <f>G74-L74</f>
        <v>1991.566325</v>
      </c>
    </row>
    <row r="75" spans="2:13" x14ac:dyDescent="0.3">
      <c r="B75" s="1">
        <v>1999</v>
      </c>
      <c r="C75" s="2">
        <v>44652</v>
      </c>
      <c r="D75" s="1" t="s">
        <v>35</v>
      </c>
      <c r="E75" s="1" t="s">
        <v>30</v>
      </c>
      <c r="F75" s="1" t="s">
        <v>31</v>
      </c>
      <c r="G75" s="1">
        <v>964.49</v>
      </c>
      <c r="H75" s="1" t="s">
        <v>112</v>
      </c>
      <c r="I75" s="2">
        <v>38171</v>
      </c>
      <c r="J75" s="2">
        <v>44664</v>
      </c>
      <c r="K75" s="1">
        <v>32.28</v>
      </c>
      <c r="L75" s="4">
        <f>G75*K75%</f>
        <v>311.33737200000002</v>
      </c>
      <c r="M75" s="4">
        <f>G75-L75</f>
        <v>653.15262800000005</v>
      </c>
    </row>
    <row r="76" spans="2:13" x14ac:dyDescent="0.3">
      <c r="B76" s="1">
        <v>1132</v>
      </c>
      <c r="C76" s="2">
        <v>45011</v>
      </c>
      <c r="D76" s="1" t="s">
        <v>35</v>
      </c>
      <c r="E76" s="1" t="s">
        <v>65</v>
      </c>
      <c r="F76" s="1" t="s">
        <v>19</v>
      </c>
      <c r="G76" s="1">
        <v>141.16999999999999</v>
      </c>
      <c r="H76" s="1" t="s">
        <v>151</v>
      </c>
      <c r="I76" s="2">
        <v>34427</v>
      </c>
      <c r="J76" s="2">
        <v>45015</v>
      </c>
      <c r="K76" s="1">
        <v>22.75</v>
      </c>
      <c r="L76" s="4">
        <f>G76*K76%</f>
        <v>32.116174999999998</v>
      </c>
      <c r="M76" s="4">
        <f>G76-L76</f>
        <v>109.05382499999999</v>
      </c>
    </row>
    <row r="77" spans="2:13" x14ac:dyDescent="0.3">
      <c r="B77" s="1">
        <v>1542</v>
      </c>
      <c r="C77" s="2">
        <v>44107</v>
      </c>
      <c r="D77" s="1" t="s">
        <v>35</v>
      </c>
      <c r="E77" s="1" t="s">
        <v>55</v>
      </c>
      <c r="F77" s="1" t="s">
        <v>31</v>
      </c>
      <c r="G77" s="1">
        <v>3842.31</v>
      </c>
      <c r="H77" s="1" t="s">
        <v>275</v>
      </c>
      <c r="I77" s="2">
        <v>38510</v>
      </c>
      <c r="J77" s="2">
        <v>44115</v>
      </c>
      <c r="K77" s="1">
        <v>7.26</v>
      </c>
      <c r="L77" s="4">
        <f>G77*K77%</f>
        <v>278.951706</v>
      </c>
      <c r="M77" s="4">
        <f>G77-L77</f>
        <v>3563.3582940000001</v>
      </c>
    </row>
    <row r="78" spans="2:13" x14ac:dyDescent="0.3">
      <c r="B78" s="1">
        <v>1484</v>
      </c>
      <c r="C78" s="2">
        <v>45568</v>
      </c>
      <c r="D78" s="1" t="s">
        <v>35</v>
      </c>
      <c r="E78" s="1" t="s">
        <v>44</v>
      </c>
      <c r="F78" s="1" t="s">
        <v>16</v>
      </c>
      <c r="G78" s="1">
        <v>1868.61</v>
      </c>
      <c r="H78" s="1" t="s">
        <v>280</v>
      </c>
      <c r="I78" s="2">
        <v>29181</v>
      </c>
      <c r="J78" s="2">
        <v>45576</v>
      </c>
      <c r="K78" s="1">
        <v>41.34</v>
      </c>
      <c r="L78" s="4">
        <f>G78*K78%</f>
        <v>772.48337400000003</v>
      </c>
      <c r="M78" s="4">
        <f>G78-L78</f>
        <v>1096.1266259999998</v>
      </c>
    </row>
    <row r="79" spans="2:13" x14ac:dyDescent="0.3">
      <c r="B79" s="1">
        <v>1020</v>
      </c>
      <c r="C79" s="2">
        <v>44609</v>
      </c>
      <c r="D79" s="1" t="s">
        <v>35</v>
      </c>
      <c r="E79" s="1" t="s">
        <v>55</v>
      </c>
      <c r="F79" s="1" t="s">
        <v>31</v>
      </c>
      <c r="G79" s="1">
        <v>1160.4000000000001</v>
      </c>
      <c r="H79" s="1" t="s">
        <v>56</v>
      </c>
      <c r="I79" s="2">
        <v>25712</v>
      </c>
      <c r="J79" s="2">
        <v>44618</v>
      </c>
      <c r="K79" s="1">
        <v>40.840000000000003</v>
      </c>
      <c r="L79" s="4">
        <f>G79*K79%</f>
        <v>473.9073600000001</v>
      </c>
      <c r="M79" s="4">
        <f>G79-L79</f>
        <v>686.49263999999994</v>
      </c>
    </row>
    <row r="80" spans="2:13" x14ac:dyDescent="0.3">
      <c r="B80" s="1">
        <v>1879</v>
      </c>
      <c r="C80" s="2">
        <v>45408</v>
      </c>
      <c r="D80" s="1" t="s">
        <v>35</v>
      </c>
      <c r="E80" s="1" t="s">
        <v>61</v>
      </c>
      <c r="F80" s="1" t="s">
        <v>19</v>
      </c>
      <c r="G80" s="1">
        <v>4760.96</v>
      </c>
      <c r="H80" s="1" t="s">
        <v>302</v>
      </c>
      <c r="I80" s="2">
        <v>32940</v>
      </c>
      <c r="J80" s="2">
        <v>45419</v>
      </c>
      <c r="K80" s="1">
        <v>35.76</v>
      </c>
      <c r="L80" s="4">
        <f>G80*K80%</f>
        <v>1702.5192959999999</v>
      </c>
      <c r="M80" s="4">
        <f>G80-L80</f>
        <v>3058.4407040000001</v>
      </c>
    </row>
    <row r="81" spans="2:13" x14ac:dyDescent="0.3">
      <c r="B81" s="1">
        <v>1628</v>
      </c>
      <c r="C81" s="2">
        <v>45783</v>
      </c>
      <c r="D81" s="1" t="s">
        <v>35</v>
      </c>
      <c r="E81" s="1" t="s">
        <v>49</v>
      </c>
      <c r="F81" s="1" t="s">
        <v>12</v>
      </c>
      <c r="G81" s="1">
        <v>1286.6300000000001</v>
      </c>
      <c r="H81" s="1" t="s">
        <v>302</v>
      </c>
      <c r="I81" s="2">
        <v>32940</v>
      </c>
      <c r="J81" s="2">
        <v>45790</v>
      </c>
      <c r="K81" s="1">
        <v>25.57</v>
      </c>
      <c r="L81" s="4">
        <f>G81*K81%</f>
        <v>328.99129099999999</v>
      </c>
      <c r="M81" s="4">
        <f>G81-L81</f>
        <v>957.63870900000006</v>
      </c>
    </row>
    <row r="82" spans="2:13" x14ac:dyDescent="0.3">
      <c r="B82" s="1">
        <v>1472</v>
      </c>
      <c r="C82" s="2">
        <v>45397</v>
      </c>
      <c r="D82" s="1" t="s">
        <v>35</v>
      </c>
      <c r="E82" s="1" t="s">
        <v>11</v>
      </c>
      <c r="F82" s="1" t="s">
        <v>12</v>
      </c>
      <c r="G82" s="1">
        <v>4856.3100000000004</v>
      </c>
      <c r="H82" s="1" t="s">
        <v>279</v>
      </c>
      <c r="I82" s="2">
        <v>38934</v>
      </c>
      <c r="J82" s="2">
        <v>45405</v>
      </c>
      <c r="K82" s="1">
        <v>11.87</v>
      </c>
      <c r="L82" s="4">
        <f>G82*K82%</f>
        <v>576.44399699999997</v>
      </c>
      <c r="M82" s="4">
        <f>G82-L82</f>
        <v>4279.8660030000001</v>
      </c>
    </row>
    <row r="83" spans="2:13" x14ac:dyDescent="0.3">
      <c r="B83" s="1">
        <v>1260</v>
      </c>
      <c r="C83" s="2">
        <v>44890</v>
      </c>
      <c r="D83" s="1" t="s">
        <v>35</v>
      </c>
      <c r="E83" s="1" t="s">
        <v>73</v>
      </c>
      <c r="F83" s="1" t="s">
        <v>28</v>
      </c>
      <c r="G83" s="1">
        <v>4251.99</v>
      </c>
      <c r="H83" s="1" t="s">
        <v>186</v>
      </c>
      <c r="I83" s="2">
        <v>39193</v>
      </c>
      <c r="J83" s="2">
        <v>44903</v>
      </c>
      <c r="K83" s="1">
        <v>34.770000000000003</v>
      </c>
      <c r="L83" s="4">
        <f>G83*K83%</f>
        <v>1478.416923</v>
      </c>
      <c r="M83" s="4">
        <f>G83-L83</f>
        <v>2773.573077</v>
      </c>
    </row>
    <row r="84" spans="2:13" x14ac:dyDescent="0.3">
      <c r="B84" s="1">
        <v>1188</v>
      </c>
      <c r="C84" s="2">
        <v>45667</v>
      </c>
      <c r="D84" s="1" t="s">
        <v>35</v>
      </c>
      <c r="E84" s="1" t="s">
        <v>88</v>
      </c>
      <c r="F84" s="1" t="s">
        <v>16</v>
      </c>
      <c r="G84" s="1">
        <v>746.87</v>
      </c>
      <c r="H84" s="1" t="s">
        <v>186</v>
      </c>
      <c r="I84" s="2">
        <v>39193</v>
      </c>
      <c r="J84" s="2">
        <v>45670</v>
      </c>
      <c r="K84" s="1">
        <v>42.9</v>
      </c>
      <c r="L84" s="4">
        <f>G84*K84%</f>
        <v>320.40722999999997</v>
      </c>
      <c r="M84" s="4">
        <f>G84-L84</f>
        <v>426.46277000000003</v>
      </c>
    </row>
    <row r="85" spans="2:13" x14ac:dyDescent="0.3">
      <c r="B85" s="1">
        <v>1817</v>
      </c>
      <c r="C85" s="2">
        <v>44803</v>
      </c>
      <c r="D85" s="1" t="s">
        <v>35</v>
      </c>
      <c r="E85" s="1" t="s">
        <v>69</v>
      </c>
      <c r="F85" s="1" t="s">
        <v>31</v>
      </c>
      <c r="G85" s="1">
        <v>1944.47</v>
      </c>
      <c r="H85" s="1" t="s">
        <v>323</v>
      </c>
      <c r="I85" s="2">
        <v>33840</v>
      </c>
      <c r="J85" s="2">
        <v>44814</v>
      </c>
      <c r="K85" s="1">
        <v>41.62</v>
      </c>
      <c r="L85" s="4">
        <f>G85*K85%</f>
        <v>809.28841399999988</v>
      </c>
      <c r="M85" s="4">
        <f>G85-L85</f>
        <v>1135.1815860000002</v>
      </c>
    </row>
    <row r="86" spans="2:13" x14ac:dyDescent="0.3">
      <c r="B86" s="1">
        <v>1922</v>
      </c>
      <c r="C86" s="2">
        <v>45034</v>
      </c>
      <c r="D86" s="1" t="s">
        <v>35</v>
      </c>
      <c r="E86" s="1" t="s">
        <v>88</v>
      </c>
      <c r="F86" s="1" t="s">
        <v>16</v>
      </c>
      <c r="G86" s="1">
        <v>3524.42</v>
      </c>
      <c r="H86" s="1" t="s">
        <v>180</v>
      </c>
      <c r="I86" s="2">
        <v>25163</v>
      </c>
      <c r="J86" s="2">
        <v>45040</v>
      </c>
      <c r="K86" s="1">
        <v>47.61</v>
      </c>
      <c r="L86" s="4">
        <f>G86*K86%</f>
        <v>1677.9763619999999</v>
      </c>
      <c r="M86" s="4">
        <f>G86-L86</f>
        <v>1846.4436380000002</v>
      </c>
    </row>
    <row r="87" spans="2:13" x14ac:dyDescent="0.3">
      <c r="B87" s="1">
        <v>1279</v>
      </c>
      <c r="C87" s="2">
        <v>45807</v>
      </c>
      <c r="D87" s="1" t="s">
        <v>35</v>
      </c>
      <c r="E87" s="1" t="s">
        <v>24</v>
      </c>
      <c r="F87" s="1" t="s">
        <v>19</v>
      </c>
      <c r="G87" s="1">
        <v>281.86</v>
      </c>
      <c r="H87" s="1" t="s">
        <v>100</v>
      </c>
      <c r="I87" s="2">
        <v>22100</v>
      </c>
      <c r="J87" s="2">
        <v>45815</v>
      </c>
      <c r="K87" s="1">
        <v>40.89</v>
      </c>
      <c r="L87" s="4">
        <f>G87*K87%</f>
        <v>115.252554</v>
      </c>
      <c r="M87" s="4">
        <f>G87-L87</f>
        <v>166.60744600000001</v>
      </c>
    </row>
    <row r="88" spans="2:13" x14ac:dyDescent="0.3">
      <c r="B88" s="1">
        <v>1097</v>
      </c>
      <c r="C88" s="2">
        <v>45757</v>
      </c>
      <c r="D88" s="1" t="s">
        <v>35</v>
      </c>
      <c r="E88" s="1" t="s">
        <v>47</v>
      </c>
      <c r="F88" s="1" t="s">
        <v>12</v>
      </c>
      <c r="G88" s="1">
        <v>1679.27</v>
      </c>
      <c r="H88" s="1" t="s">
        <v>126</v>
      </c>
      <c r="I88" s="2">
        <v>28644</v>
      </c>
      <c r="J88" s="2">
        <v>45768</v>
      </c>
      <c r="K88" s="1">
        <v>14.47</v>
      </c>
      <c r="L88" s="4">
        <f>G88*K88%</f>
        <v>242.99036899999999</v>
      </c>
      <c r="M88" s="4">
        <f>G88-L88</f>
        <v>1436.2796309999999</v>
      </c>
    </row>
    <row r="89" spans="2:13" x14ac:dyDescent="0.3">
      <c r="B89" s="1">
        <v>1287</v>
      </c>
      <c r="C89" s="2">
        <v>44150</v>
      </c>
      <c r="D89" s="1" t="s">
        <v>35</v>
      </c>
      <c r="E89" s="1" t="s">
        <v>15</v>
      </c>
      <c r="F89" s="1" t="s">
        <v>16</v>
      </c>
      <c r="G89" s="1">
        <v>791.54</v>
      </c>
      <c r="H89" s="1" t="s">
        <v>232</v>
      </c>
      <c r="I89" s="2">
        <v>37913</v>
      </c>
      <c r="J89" s="2">
        <v>44160</v>
      </c>
      <c r="K89" s="1">
        <v>1.71</v>
      </c>
      <c r="L89" s="4">
        <f>G89*K89%</f>
        <v>13.535334000000001</v>
      </c>
      <c r="M89" s="4">
        <f>G89-L89</f>
        <v>778.00466599999993</v>
      </c>
    </row>
    <row r="90" spans="2:13" x14ac:dyDescent="0.3">
      <c r="B90" s="1">
        <v>1487</v>
      </c>
      <c r="C90" s="2">
        <v>45153</v>
      </c>
      <c r="D90" s="1" t="s">
        <v>35</v>
      </c>
      <c r="E90" s="1" t="s">
        <v>30</v>
      </c>
      <c r="F90" s="1" t="s">
        <v>31</v>
      </c>
      <c r="G90" s="1">
        <v>4033.32</v>
      </c>
      <c r="H90" s="1" t="s">
        <v>187</v>
      </c>
      <c r="I90" s="2">
        <v>30778</v>
      </c>
      <c r="J90" s="2">
        <v>45162</v>
      </c>
      <c r="K90" s="1">
        <v>36.51</v>
      </c>
      <c r="L90" s="4">
        <f>G90*K90%</f>
        <v>1472.5651319999999</v>
      </c>
      <c r="M90" s="4">
        <f>G90-L90</f>
        <v>2560.754868</v>
      </c>
    </row>
    <row r="91" spans="2:13" x14ac:dyDescent="0.3">
      <c r="B91" s="1">
        <v>1189</v>
      </c>
      <c r="C91" s="2">
        <v>45333</v>
      </c>
      <c r="D91" s="1" t="s">
        <v>35</v>
      </c>
      <c r="E91" s="1" t="s">
        <v>65</v>
      </c>
      <c r="F91" s="1" t="s">
        <v>19</v>
      </c>
      <c r="G91" s="1">
        <v>2712.97</v>
      </c>
      <c r="H91" s="1" t="s">
        <v>187</v>
      </c>
      <c r="I91" s="2">
        <v>30778</v>
      </c>
      <c r="J91" s="2">
        <v>45344</v>
      </c>
      <c r="K91" s="1">
        <v>6.89</v>
      </c>
      <c r="L91" s="4">
        <f>G91*K91%</f>
        <v>186.923633</v>
      </c>
      <c r="M91" s="4">
        <f>G91-L91</f>
        <v>2526.0463669999999</v>
      </c>
    </row>
    <row r="92" spans="2:13" x14ac:dyDescent="0.3">
      <c r="B92" s="1">
        <v>1884</v>
      </c>
      <c r="C92" s="2">
        <v>45504</v>
      </c>
      <c r="D92" s="1" t="s">
        <v>35</v>
      </c>
      <c r="E92" s="1" t="s">
        <v>47</v>
      </c>
      <c r="F92" s="1" t="s">
        <v>12</v>
      </c>
      <c r="G92" s="1">
        <v>2637.23</v>
      </c>
      <c r="H92" s="1" t="s">
        <v>183</v>
      </c>
      <c r="I92" s="2">
        <v>32359</v>
      </c>
      <c r="J92" s="2">
        <v>45507</v>
      </c>
      <c r="K92" s="1">
        <v>31.36</v>
      </c>
      <c r="L92" s="4">
        <f>G92*K92%</f>
        <v>827.03532799999994</v>
      </c>
      <c r="M92" s="4">
        <f>G92-L92</f>
        <v>1810.1946720000001</v>
      </c>
    </row>
    <row r="93" spans="2:13" x14ac:dyDescent="0.3">
      <c r="B93" s="1">
        <v>1497</v>
      </c>
      <c r="C93" s="2">
        <v>44840</v>
      </c>
      <c r="D93" s="1" t="s">
        <v>35</v>
      </c>
      <c r="E93" s="1" t="s">
        <v>73</v>
      </c>
      <c r="F93" s="1" t="s">
        <v>28</v>
      </c>
      <c r="G93" s="1">
        <v>4921.43</v>
      </c>
      <c r="H93" s="1" t="s">
        <v>67</v>
      </c>
      <c r="I93" s="2">
        <v>34016</v>
      </c>
      <c r="J93" s="2">
        <v>44843</v>
      </c>
      <c r="K93" s="1">
        <v>16.77</v>
      </c>
      <c r="L93" s="4">
        <f>G93*K93%</f>
        <v>825.32381099999998</v>
      </c>
      <c r="M93" s="4">
        <f>G93-L93</f>
        <v>4096.1061890000001</v>
      </c>
    </row>
    <row r="94" spans="2:13" x14ac:dyDescent="0.3">
      <c r="B94" s="1">
        <v>1933</v>
      </c>
      <c r="C94" s="2">
        <v>44864</v>
      </c>
      <c r="D94" s="1" t="s">
        <v>35</v>
      </c>
      <c r="E94" s="1" t="s">
        <v>71</v>
      </c>
      <c r="F94" s="1" t="s">
        <v>31</v>
      </c>
      <c r="G94" s="1">
        <v>2128.62</v>
      </c>
      <c r="H94" s="1" t="s">
        <v>248</v>
      </c>
      <c r="I94" s="2">
        <v>32685</v>
      </c>
      <c r="J94" s="2">
        <v>44878</v>
      </c>
      <c r="K94" s="1">
        <v>40.1</v>
      </c>
      <c r="L94" s="4">
        <f>G94*K94%</f>
        <v>853.57662000000005</v>
      </c>
      <c r="M94" s="4">
        <f>G94-L94</f>
        <v>1275.0433799999998</v>
      </c>
    </row>
    <row r="95" spans="2:13" x14ac:dyDescent="0.3">
      <c r="B95" s="1">
        <v>1580</v>
      </c>
      <c r="C95" s="2">
        <v>44976</v>
      </c>
      <c r="D95" s="1" t="s">
        <v>35</v>
      </c>
      <c r="E95" s="1" t="s">
        <v>88</v>
      </c>
      <c r="F95" s="1" t="s">
        <v>16</v>
      </c>
      <c r="G95" s="1">
        <v>3313.85</v>
      </c>
      <c r="H95" s="1" t="s">
        <v>299</v>
      </c>
      <c r="I95" s="2">
        <v>25863</v>
      </c>
      <c r="J95" s="2">
        <v>44990</v>
      </c>
      <c r="K95" s="1">
        <v>24.43</v>
      </c>
      <c r="L95" s="4">
        <f>G95*K95%</f>
        <v>809.57355499999994</v>
      </c>
      <c r="M95" s="4">
        <f>G95-L95</f>
        <v>2504.276445</v>
      </c>
    </row>
    <row r="96" spans="2:13" x14ac:dyDescent="0.3">
      <c r="B96" s="1">
        <v>1649</v>
      </c>
      <c r="C96" s="2">
        <v>44132</v>
      </c>
      <c r="D96" s="1" t="s">
        <v>35</v>
      </c>
      <c r="E96" s="1" t="s">
        <v>73</v>
      </c>
      <c r="F96" s="1" t="s">
        <v>28</v>
      </c>
      <c r="G96" s="1">
        <v>4753.34</v>
      </c>
      <c r="H96" s="1" t="s">
        <v>222</v>
      </c>
      <c r="I96" s="2">
        <v>28619</v>
      </c>
      <c r="J96" s="2">
        <v>44140</v>
      </c>
      <c r="K96" s="1">
        <v>6.29</v>
      </c>
      <c r="L96" s="4">
        <f>G96*K96%</f>
        <v>298.98508600000002</v>
      </c>
      <c r="M96" s="4">
        <f>G96-L96</f>
        <v>4454.3549140000005</v>
      </c>
    </row>
    <row r="97" spans="2:13" x14ac:dyDescent="0.3">
      <c r="B97" s="1">
        <v>1680</v>
      </c>
      <c r="C97" s="2">
        <v>45161</v>
      </c>
      <c r="D97" s="1" t="s">
        <v>35</v>
      </c>
      <c r="E97" s="1" t="s">
        <v>71</v>
      </c>
      <c r="F97" s="1" t="s">
        <v>31</v>
      </c>
      <c r="G97" s="1">
        <v>4991.41</v>
      </c>
      <c r="H97" s="1" t="s">
        <v>308</v>
      </c>
      <c r="I97" s="2">
        <v>35336</v>
      </c>
      <c r="J97" s="2">
        <v>45167</v>
      </c>
      <c r="K97" s="1">
        <v>41.94</v>
      </c>
      <c r="L97" s="4">
        <f>G97*K97%</f>
        <v>2093.3973539999997</v>
      </c>
      <c r="M97" s="4">
        <f>G97-L97</f>
        <v>2898.0126460000001</v>
      </c>
    </row>
    <row r="98" spans="2:13" x14ac:dyDescent="0.3">
      <c r="B98" s="1">
        <v>1777</v>
      </c>
      <c r="C98" s="2">
        <v>44671</v>
      </c>
      <c r="D98" s="1" t="s">
        <v>35</v>
      </c>
      <c r="E98" s="1" t="s">
        <v>22</v>
      </c>
      <c r="F98" s="1" t="s">
        <v>19</v>
      </c>
      <c r="G98" s="1">
        <v>1760.76</v>
      </c>
      <c r="H98" s="1" t="s">
        <v>308</v>
      </c>
      <c r="I98" s="2">
        <v>35336</v>
      </c>
      <c r="J98" s="2">
        <v>44681</v>
      </c>
      <c r="K98" s="1">
        <v>39.549999999999997</v>
      </c>
      <c r="L98" s="4">
        <f>G98*K98%</f>
        <v>696.3805799999999</v>
      </c>
      <c r="M98" s="4">
        <f>G98-L98</f>
        <v>1064.3794200000002</v>
      </c>
    </row>
    <row r="99" spans="2:13" x14ac:dyDescent="0.3">
      <c r="B99" s="1">
        <v>1050</v>
      </c>
      <c r="C99" s="2">
        <v>45450</v>
      </c>
      <c r="D99" s="1" t="s">
        <v>35</v>
      </c>
      <c r="E99" s="1" t="s">
        <v>61</v>
      </c>
      <c r="F99" s="1" t="s">
        <v>19</v>
      </c>
      <c r="G99" s="1">
        <v>4255.5600000000004</v>
      </c>
      <c r="H99" s="1" t="s">
        <v>91</v>
      </c>
      <c r="I99" s="2">
        <v>34220</v>
      </c>
      <c r="J99" s="2">
        <v>45452</v>
      </c>
      <c r="K99" s="1">
        <v>31.49</v>
      </c>
      <c r="L99" s="4">
        <f>G99*K99%</f>
        <v>1340.075844</v>
      </c>
      <c r="M99" s="4">
        <f>G99-L99</f>
        <v>2915.4841560000004</v>
      </c>
    </row>
    <row r="100" spans="2:13" x14ac:dyDescent="0.3">
      <c r="B100" s="1">
        <v>1240</v>
      </c>
      <c r="C100" s="2">
        <v>45013</v>
      </c>
      <c r="D100" s="1" t="s">
        <v>35</v>
      </c>
      <c r="E100" s="1" t="s">
        <v>88</v>
      </c>
      <c r="F100" s="1" t="s">
        <v>16</v>
      </c>
      <c r="G100" s="1">
        <v>4272.7299999999996</v>
      </c>
      <c r="H100" s="1" t="s">
        <v>91</v>
      </c>
      <c r="I100" s="2">
        <v>34220</v>
      </c>
      <c r="J100" s="2">
        <v>45020</v>
      </c>
      <c r="K100" s="1">
        <v>37.74</v>
      </c>
      <c r="L100" s="4">
        <f>G100*K100%</f>
        <v>1612.5283019999999</v>
      </c>
      <c r="M100" s="4">
        <f>G100-L100</f>
        <v>2660.2016979999999</v>
      </c>
    </row>
    <row r="101" spans="2:13" x14ac:dyDescent="0.3">
      <c r="B101" s="1">
        <v>1032</v>
      </c>
      <c r="C101" s="2">
        <v>44282</v>
      </c>
      <c r="D101" s="1" t="s">
        <v>35</v>
      </c>
      <c r="E101" s="1" t="s">
        <v>38</v>
      </c>
      <c r="F101" s="1" t="s">
        <v>28</v>
      </c>
      <c r="G101" s="1">
        <v>4770.8999999999996</v>
      </c>
      <c r="H101" s="1" t="s">
        <v>42</v>
      </c>
      <c r="I101" s="2">
        <v>26027</v>
      </c>
      <c r="J101" s="2">
        <v>44284</v>
      </c>
      <c r="K101" s="1">
        <v>37.08</v>
      </c>
      <c r="L101" s="4">
        <f>G101*K101%</f>
        <v>1769.0497199999998</v>
      </c>
      <c r="M101" s="4">
        <f>G101-L101</f>
        <v>3001.8502799999997</v>
      </c>
    </row>
    <row r="102" spans="2:13" x14ac:dyDescent="0.3">
      <c r="B102" s="1">
        <v>1730</v>
      </c>
      <c r="C102" s="2">
        <v>45873</v>
      </c>
      <c r="D102" s="1" t="s">
        <v>35</v>
      </c>
      <c r="E102" s="1" t="s">
        <v>36</v>
      </c>
      <c r="F102" s="1" t="s">
        <v>28</v>
      </c>
      <c r="G102" s="1">
        <v>4539.5600000000004</v>
      </c>
      <c r="H102" s="1" t="s">
        <v>42</v>
      </c>
      <c r="I102" s="2">
        <v>26027</v>
      </c>
      <c r="J102" s="2">
        <v>45879</v>
      </c>
      <c r="K102" s="1">
        <v>44.93</v>
      </c>
      <c r="L102" s="4">
        <f>G102*K102%</f>
        <v>2039.6243080000002</v>
      </c>
      <c r="M102" s="4">
        <f>G102-L102</f>
        <v>2499.935692</v>
      </c>
    </row>
    <row r="103" spans="2:13" x14ac:dyDescent="0.3">
      <c r="B103" s="1">
        <v>1105</v>
      </c>
      <c r="C103" s="2">
        <v>45179</v>
      </c>
      <c r="D103" s="1" t="s">
        <v>35</v>
      </c>
      <c r="E103" s="1" t="s">
        <v>58</v>
      </c>
      <c r="F103" s="1" t="s">
        <v>31</v>
      </c>
      <c r="G103" s="1">
        <v>3680.76</v>
      </c>
      <c r="H103" s="1" t="s">
        <v>42</v>
      </c>
      <c r="I103" s="2">
        <v>26027</v>
      </c>
      <c r="J103" s="2">
        <v>45181</v>
      </c>
      <c r="K103" s="1">
        <v>44.36</v>
      </c>
      <c r="L103" s="4">
        <f>G103*K103%</f>
        <v>1632.785136</v>
      </c>
      <c r="M103" s="4">
        <f>G103-L103</f>
        <v>2047.9748640000003</v>
      </c>
    </row>
    <row r="104" spans="2:13" x14ac:dyDescent="0.3">
      <c r="B104" s="1">
        <v>1229</v>
      </c>
      <c r="C104" s="2">
        <v>44494</v>
      </c>
      <c r="D104" s="1" t="s">
        <v>35</v>
      </c>
      <c r="E104" s="1" t="s">
        <v>88</v>
      </c>
      <c r="F104" s="1" t="s">
        <v>16</v>
      </c>
      <c r="G104" s="1">
        <v>4761.95</v>
      </c>
      <c r="H104" s="1" t="s">
        <v>210</v>
      </c>
      <c r="I104" s="2">
        <v>27550</v>
      </c>
      <c r="J104" s="2">
        <v>44501</v>
      </c>
      <c r="K104" s="1">
        <v>43.51</v>
      </c>
      <c r="L104" s="4">
        <f>G104*K104%</f>
        <v>2071.9244449999997</v>
      </c>
      <c r="M104" s="4">
        <f>G104-L104</f>
        <v>2690.0255550000002</v>
      </c>
    </row>
    <row r="105" spans="2:13" x14ac:dyDescent="0.3">
      <c r="B105" s="1">
        <v>1315</v>
      </c>
      <c r="C105" s="2">
        <v>44342</v>
      </c>
      <c r="D105" s="1" t="s">
        <v>35</v>
      </c>
      <c r="E105" s="1" t="s">
        <v>49</v>
      </c>
      <c r="F105" s="1" t="s">
        <v>12</v>
      </c>
      <c r="G105" s="1">
        <v>3736.44</v>
      </c>
      <c r="H105" s="1" t="s">
        <v>210</v>
      </c>
      <c r="I105" s="2">
        <v>27550</v>
      </c>
      <c r="J105" s="2">
        <v>44356</v>
      </c>
      <c r="K105" s="1">
        <v>46.46</v>
      </c>
      <c r="L105" s="4">
        <f>G105*K105%</f>
        <v>1735.950024</v>
      </c>
      <c r="M105" s="4">
        <f>G105-L105</f>
        <v>2000.4899760000001</v>
      </c>
    </row>
    <row r="106" spans="2:13" x14ac:dyDescent="0.3">
      <c r="B106" s="1">
        <v>1673</v>
      </c>
      <c r="C106" s="2">
        <v>44190</v>
      </c>
      <c r="D106" s="1" t="s">
        <v>35</v>
      </c>
      <c r="E106" s="1" t="s">
        <v>44</v>
      </c>
      <c r="F106" s="1" t="s">
        <v>16</v>
      </c>
      <c r="G106" s="1">
        <v>1502.05</v>
      </c>
      <c r="H106" s="1" t="s">
        <v>95</v>
      </c>
      <c r="I106" s="2">
        <v>25821</v>
      </c>
      <c r="J106" s="2">
        <v>44201</v>
      </c>
      <c r="K106" s="1">
        <v>10.3</v>
      </c>
      <c r="L106" s="4">
        <f>G106*K106%</f>
        <v>154.71115</v>
      </c>
      <c r="M106" s="4">
        <f>G106-L106</f>
        <v>1347.3388499999999</v>
      </c>
    </row>
    <row r="107" spans="2:13" x14ac:dyDescent="0.3">
      <c r="B107" s="1">
        <v>1342</v>
      </c>
      <c r="C107" s="2">
        <v>45804</v>
      </c>
      <c r="D107" s="1" t="s">
        <v>35</v>
      </c>
      <c r="E107" s="1" t="s">
        <v>58</v>
      </c>
      <c r="F107" s="1" t="s">
        <v>31</v>
      </c>
      <c r="G107" s="1">
        <v>1543.72</v>
      </c>
      <c r="H107" s="1" t="s">
        <v>246</v>
      </c>
      <c r="I107" s="2">
        <v>25815</v>
      </c>
      <c r="J107" s="2">
        <v>45812</v>
      </c>
      <c r="K107" s="1">
        <v>38.58</v>
      </c>
      <c r="L107" s="4">
        <f>G107*K107%</f>
        <v>595.56717600000002</v>
      </c>
      <c r="M107" s="4">
        <f>G107-L107</f>
        <v>948.15282400000001</v>
      </c>
    </row>
    <row r="108" spans="2:13" x14ac:dyDescent="0.3">
      <c r="B108" s="1">
        <v>1544</v>
      </c>
      <c r="C108" s="2">
        <v>45705</v>
      </c>
      <c r="D108" s="1" t="s">
        <v>35</v>
      </c>
      <c r="E108" s="1" t="s">
        <v>24</v>
      </c>
      <c r="F108" s="1" t="s">
        <v>19</v>
      </c>
      <c r="G108" s="1">
        <v>741.45</v>
      </c>
      <c r="H108" s="1" t="s">
        <v>246</v>
      </c>
      <c r="I108" s="2">
        <v>25815</v>
      </c>
      <c r="J108" s="2">
        <v>45711</v>
      </c>
      <c r="K108" s="1">
        <v>42.1</v>
      </c>
      <c r="L108" s="4">
        <f>G108*K108%</f>
        <v>312.15045000000003</v>
      </c>
      <c r="M108" s="4">
        <f>G108-L108</f>
        <v>429.29955000000001</v>
      </c>
    </row>
    <row r="109" spans="2:13" x14ac:dyDescent="0.3">
      <c r="B109" s="1">
        <v>1773</v>
      </c>
      <c r="C109" s="2">
        <v>45104</v>
      </c>
      <c r="D109" s="1" t="s">
        <v>35</v>
      </c>
      <c r="E109" s="1" t="s">
        <v>27</v>
      </c>
      <c r="F109" s="1" t="s">
        <v>28</v>
      </c>
      <c r="G109" s="1">
        <v>3826.79</v>
      </c>
      <c r="H109" s="1" t="s">
        <v>309</v>
      </c>
      <c r="I109" s="2">
        <v>23838</v>
      </c>
      <c r="J109" s="2">
        <v>45113</v>
      </c>
      <c r="K109" s="1">
        <v>29.62</v>
      </c>
      <c r="L109" s="4">
        <f>G109*K109%</f>
        <v>1133.4951980000001</v>
      </c>
      <c r="M109" s="4">
        <f>G109-L109</f>
        <v>2693.2948019999999</v>
      </c>
    </row>
    <row r="110" spans="2:13" x14ac:dyDescent="0.3">
      <c r="B110" s="1">
        <v>1518</v>
      </c>
      <c r="C110" s="2">
        <v>44854</v>
      </c>
      <c r="D110" s="1" t="s">
        <v>35</v>
      </c>
      <c r="E110" s="1" t="s">
        <v>73</v>
      </c>
      <c r="F110" s="1" t="s">
        <v>28</v>
      </c>
      <c r="G110" s="1">
        <v>1656.3</v>
      </c>
      <c r="H110" s="1" t="s">
        <v>287</v>
      </c>
      <c r="I110" s="2">
        <v>36329</v>
      </c>
      <c r="J110" s="2">
        <v>44867</v>
      </c>
      <c r="K110" s="1">
        <v>34.54</v>
      </c>
      <c r="L110" s="4">
        <f>G110*K110%</f>
        <v>572.08601999999996</v>
      </c>
      <c r="M110" s="4">
        <f>G110-L110</f>
        <v>1084.21398</v>
      </c>
    </row>
    <row r="111" spans="2:13" x14ac:dyDescent="0.3">
      <c r="B111" s="1">
        <v>1146</v>
      </c>
      <c r="C111" s="2">
        <v>44893</v>
      </c>
      <c r="D111" s="1" t="s">
        <v>35</v>
      </c>
      <c r="E111" s="1" t="s">
        <v>30</v>
      </c>
      <c r="F111" s="1" t="s">
        <v>31</v>
      </c>
      <c r="G111" s="1">
        <v>3221.4</v>
      </c>
      <c r="H111" s="1" t="s">
        <v>160</v>
      </c>
      <c r="I111" s="2">
        <v>35321</v>
      </c>
      <c r="J111" s="2">
        <v>44900</v>
      </c>
      <c r="K111" s="1">
        <v>14.32</v>
      </c>
      <c r="L111" s="4">
        <f>G111*K111%</f>
        <v>461.30448000000001</v>
      </c>
      <c r="M111" s="4">
        <f>G111-L111</f>
        <v>2760.0955199999999</v>
      </c>
    </row>
    <row r="112" spans="2:13" x14ac:dyDescent="0.3">
      <c r="B112" s="1">
        <v>1588</v>
      </c>
      <c r="C112" s="2">
        <v>44612</v>
      </c>
      <c r="D112" s="1" t="s">
        <v>35</v>
      </c>
      <c r="E112" s="1" t="s">
        <v>88</v>
      </c>
      <c r="F112" s="1" t="s">
        <v>16</v>
      </c>
      <c r="G112" s="1">
        <v>2770.97</v>
      </c>
      <c r="H112" s="1" t="s">
        <v>160</v>
      </c>
      <c r="I112" s="2">
        <v>35321</v>
      </c>
      <c r="J112" s="2">
        <v>44621</v>
      </c>
      <c r="K112" s="1">
        <v>13.64</v>
      </c>
      <c r="L112" s="4">
        <f>G112*K112%</f>
        <v>377.96030799999994</v>
      </c>
      <c r="M112" s="4">
        <f>G112-L112</f>
        <v>2393.0096919999996</v>
      </c>
    </row>
    <row r="113" spans="2:13" x14ac:dyDescent="0.3">
      <c r="B113" s="1">
        <v>1701</v>
      </c>
      <c r="C113" s="2">
        <v>44103</v>
      </c>
      <c r="D113" s="1" t="s">
        <v>35</v>
      </c>
      <c r="E113" s="1" t="s">
        <v>24</v>
      </c>
      <c r="F113" s="1" t="s">
        <v>19</v>
      </c>
      <c r="G113" s="1">
        <v>970.42</v>
      </c>
      <c r="H113" s="1" t="s">
        <v>249</v>
      </c>
      <c r="I113" s="2">
        <v>28555</v>
      </c>
      <c r="J113" s="2">
        <v>44106</v>
      </c>
      <c r="K113" s="1">
        <v>23.45</v>
      </c>
      <c r="L113" s="4">
        <f>G113*K113%</f>
        <v>227.56348999999997</v>
      </c>
      <c r="M113" s="4">
        <f>G113-L113</f>
        <v>742.85650999999996</v>
      </c>
    </row>
    <row r="114" spans="2:13" x14ac:dyDescent="0.3">
      <c r="B114" s="1">
        <v>1800</v>
      </c>
      <c r="C114" s="2">
        <v>44679</v>
      </c>
      <c r="D114" s="1" t="s">
        <v>35</v>
      </c>
      <c r="E114" s="1" t="s">
        <v>27</v>
      </c>
      <c r="F114" s="1" t="s">
        <v>28</v>
      </c>
      <c r="G114" s="1">
        <v>2611.02</v>
      </c>
      <c r="H114" s="1" t="s">
        <v>263</v>
      </c>
      <c r="I114" s="2">
        <v>35629</v>
      </c>
      <c r="J114" s="2">
        <v>44693</v>
      </c>
      <c r="K114" s="1">
        <v>25.45</v>
      </c>
      <c r="L114" s="4">
        <f>G114*K114%</f>
        <v>664.50459000000001</v>
      </c>
      <c r="M114" s="4">
        <f>G114-L114</f>
        <v>1946.51541</v>
      </c>
    </row>
    <row r="115" spans="2:13" x14ac:dyDescent="0.3">
      <c r="B115" s="1">
        <v>1445</v>
      </c>
      <c r="C115" s="2">
        <v>45577</v>
      </c>
      <c r="D115" s="1" t="s">
        <v>35</v>
      </c>
      <c r="E115" s="1" t="s">
        <v>44</v>
      </c>
      <c r="F115" s="1" t="s">
        <v>16</v>
      </c>
      <c r="G115" s="1">
        <v>1813.32</v>
      </c>
      <c r="H115" s="1" t="s">
        <v>269</v>
      </c>
      <c r="I115" s="2">
        <v>30976</v>
      </c>
      <c r="J115" s="2">
        <v>45585</v>
      </c>
      <c r="K115" s="1">
        <v>22.45</v>
      </c>
      <c r="L115" s="4">
        <f>G115*K115%</f>
        <v>407.09033999999997</v>
      </c>
      <c r="M115" s="4">
        <f>G115-L115</f>
        <v>1406.22966</v>
      </c>
    </row>
    <row r="116" spans="2:13" x14ac:dyDescent="0.3">
      <c r="B116" s="1">
        <v>1359</v>
      </c>
      <c r="C116" s="2">
        <v>45276</v>
      </c>
      <c r="D116" s="1" t="s">
        <v>35</v>
      </c>
      <c r="E116" s="1" t="s">
        <v>58</v>
      </c>
      <c r="F116" s="1" t="s">
        <v>31</v>
      </c>
      <c r="G116" s="1">
        <v>3637.29</v>
      </c>
      <c r="H116" s="1" t="s">
        <v>250</v>
      </c>
      <c r="I116" s="2">
        <v>33892</v>
      </c>
      <c r="J116" s="2">
        <v>45282</v>
      </c>
      <c r="K116" s="1">
        <v>41.8</v>
      </c>
      <c r="L116" s="4">
        <f>G116*K116%</f>
        <v>1520.3872199999998</v>
      </c>
      <c r="M116" s="4">
        <f>G116-L116</f>
        <v>2116.9027800000003</v>
      </c>
    </row>
    <row r="117" spans="2:13" x14ac:dyDescent="0.3">
      <c r="B117" s="1">
        <v>1422</v>
      </c>
      <c r="C117" s="2">
        <v>45535</v>
      </c>
      <c r="D117" s="1" t="s">
        <v>35</v>
      </c>
      <c r="E117" s="1" t="s">
        <v>73</v>
      </c>
      <c r="F117" s="1" t="s">
        <v>28</v>
      </c>
      <c r="G117" s="1">
        <v>3938.25</v>
      </c>
      <c r="H117" s="1" t="s">
        <v>101</v>
      </c>
      <c r="I117" s="2">
        <v>31331</v>
      </c>
      <c r="J117" s="2">
        <v>45542</v>
      </c>
      <c r="K117" s="1">
        <v>13.5</v>
      </c>
      <c r="L117" s="4">
        <f>G117*K117%</f>
        <v>531.66375000000005</v>
      </c>
      <c r="M117" s="4">
        <f>G117-L117</f>
        <v>3406.5862499999998</v>
      </c>
    </row>
    <row r="118" spans="2:13" x14ac:dyDescent="0.3">
      <c r="B118" s="1">
        <v>1300</v>
      </c>
      <c r="C118" s="2">
        <v>45780</v>
      </c>
      <c r="D118" s="1" t="s">
        <v>35</v>
      </c>
      <c r="E118" s="1" t="s">
        <v>36</v>
      </c>
      <c r="F118" s="1" t="s">
        <v>28</v>
      </c>
      <c r="G118" s="1">
        <v>4519.3100000000004</v>
      </c>
      <c r="H118" s="1" t="s">
        <v>154</v>
      </c>
      <c r="I118" s="2">
        <v>32146</v>
      </c>
      <c r="J118" s="2">
        <v>45791</v>
      </c>
      <c r="K118" s="1">
        <v>34.9</v>
      </c>
      <c r="L118" s="4">
        <f>G118*K118%</f>
        <v>1577.23919</v>
      </c>
      <c r="M118" s="4">
        <f>G118-L118</f>
        <v>2942.0708100000002</v>
      </c>
    </row>
    <row r="119" spans="2:13" x14ac:dyDescent="0.3">
      <c r="B119" s="1">
        <v>1362</v>
      </c>
      <c r="C119" s="2">
        <v>44105</v>
      </c>
      <c r="D119" s="1" t="s">
        <v>35</v>
      </c>
      <c r="E119" s="1" t="s">
        <v>65</v>
      </c>
      <c r="F119" s="1" t="s">
        <v>19</v>
      </c>
      <c r="G119" s="1">
        <v>3442.22</v>
      </c>
      <c r="H119" s="1" t="s">
        <v>206</v>
      </c>
      <c r="I119" s="2">
        <v>34011</v>
      </c>
      <c r="J119" s="2">
        <v>44107</v>
      </c>
      <c r="K119" s="1">
        <v>18.84</v>
      </c>
      <c r="L119" s="4">
        <f>G119*K119%</f>
        <v>648.51424799999995</v>
      </c>
      <c r="M119" s="4">
        <f>G119-L119</f>
        <v>2793.7057519999998</v>
      </c>
    </row>
    <row r="120" spans="2:13" x14ac:dyDescent="0.3">
      <c r="B120" s="1">
        <v>1677</v>
      </c>
      <c r="C120" s="2">
        <v>44508</v>
      </c>
      <c r="D120" s="1" t="s">
        <v>35</v>
      </c>
      <c r="E120" s="1" t="s">
        <v>58</v>
      </c>
      <c r="F120" s="1" t="s">
        <v>31</v>
      </c>
      <c r="G120" s="1">
        <v>4727.7700000000004</v>
      </c>
      <c r="H120" s="1" t="s">
        <v>307</v>
      </c>
      <c r="I120" s="2">
        <v>30321</v>
      </c>
      <c r="J120" s="2">
        <v>44513</v>
      </c>
      <c r="K120" s="1">
        <v>7.46</v>
      </c>
      <c r="L120" s="4">
        <f>G120*K120%</f>
        <v>352.69164200000006</v>
      </c>
      <c r="M120" s="4">
        <f>G120-L120</f>
        <v>4375.0783580000007</v>
      </c>
    </row>
    <row r="121" spans="2:13" x14ac:dyDescent="0.3">
      <c r="B121" s="1">
        <v>1824</v>
      </c>
      <c r="C121" s="2">
        <v>44296</v>
      </c>
      <c r="D121" s="1" t="s">
        <v>35</v>
      </c>
      <c r="E121" s="1" t="s">
        <v>69</v>
      </c>
      <c r="F121" s="1" t="s">
        <v>31</v>
      </c>
      <c r="G121" s="1">
        <v>613.32000000000005</v>
      </c>
      <c r="H121" s="1" t="s">
        <v>87</v>
      </c>
      <c r="I121" s="2">
        <v>36012</v>
      </c>
      <c r="J121" s="2">
        <v>44298</v>
      </c>
      <c r="K121" s="1">
        <v>15.05</v>
      </c>
      <c r="L121" s="4">
        <f>G121*K121%</f>
        <v>92.304659999999998</v>
      </c>
      <c r="M121" s="4">
        <f>G121-L121</f>
        <v>521.01534000000004</v>
      </c>
    </row>
    <row r="122" spans="2:13" x14ac:dyDescent="0.3">
      <c r="B122" s="1">
        <v>1606</v>
      </c>
      <c r="C122" s="2">
        <v>45887</v>
      </c>
      <c r="D122" s="1" t="s">
        <v>35</v>
      </c>
      <c r="E122" s="1" t="s">
        <v>73</v>
      </c>
      <c r="F122" s="1" t="s">
        <v>28</v>
      </c>
      <c r="G122" s="1">
        <v>2043.99</v>
      </c>
      <c r="H122" s="1" t="s">
        <v>146</v>
      </c>
      <c r="I122" s="2">
        <v>24961</v>
      </c>
      <c r="J122" s="2">
        <v>45891</v>
      </c>
      <c r="K122" s="1">
        <v>4.74</v>
      </c>
      <c r="L122" s="4">
        <f>G122*K122%</f>
        <v>96.885126000000014</v>
      </c>
      <c r="M122" s="4">
        <f>G122-L122</f>
        <v>1947.1048740000001</v>
      </c>
    </row>
    <row r="123" spans="2:13" x14ac:dyDescent="0.3">
      <c r="B123" s="1">
        <v>1265</v>
      </c>
      <c r="C123" s="2">
        <v>45103</v>
      </c>
      <c r="D123" s="1" t="s">
        <v>35</v>
      </c>
      <c r="E123" s="1" t="s">
        <v>61</v>
      </c>
      <c r="F123" s="1" t="s">
        <v>19</v>
      </c>
      <c r="G123" s="1">
        <v>3658.32</v>
      </c>
      <c r="H123" s="1" t="s">
        <v>63</v>
      </c>
      <c r="I123" s="2">
        <v>25430</v>
      </c>
      <c r="J123" s="2">
        <v>45116</v>
      </c>
      <c r="K123" s="1">
        <v>27.9</v>
      </c>
      <c r="L123" s="4">
        <f>G123*K123%</f>
        <v>1020.6712799999999</v>
      </c>
      <c r="M123" s="4">
        <f>G123-L123</f>
        <v>2637.6487200000001</v>
      </c>
    </row>
    <row r="124" spans="2:13" x14ac:dyDescent="0.3">
      <c r="B124" s="1">
        <v>1525</v>
      </c>
      <c r="C124" s="2">
        <v>44123</v>
      </c>
      <c r="D124" s="1" t="s">
        <v>35</v>
      </c>
      <c r="E124" s="1" t="s">
        <v>11</v>
      </c>
      <c r="F124" s="1" t="s">
        <v>12</v>
      </c>
      <c r="G124" s="1">
        <v>2623.35</v>
      </c>
      <c r="H124" s="1" t="s">
        <v>63</v>
      </c>
      <c r="I124" s="2">
        <v>25430</v>
      </c>
      <c r="J124" s="2">
        <v>44133</v>
      </c>
      <c r="K124" s="1">
        <v>33.46</v>
      </c>
      <c r="L124" s="4">
        <f>G124*K124%</f>
        <v>877.77291000000002</v>
      </c>
      <c r="M124" s="4">
        <f>G124-L124</f>
        <v>1745.5770899999998</v>
      </c>
    </row>
    <row r="125" spans="2:13" x14ac:dyDescent="0.3">
      <c r="B125" s="1">
        <v>1776</v>
      </c>
      <c r="C125" s="2">
        <v>45169</v>
      </c>
      <c r="D125" s="1" t="s">
        <v>35</v>
      </c>
      <c r="E125" s="1" t="s">
        <v>65</v>
      </c>
      <c r="F125" s="1" t="s">
        <v>19</v>
      </c>
      <c r="G125" s="1">
        <v>1299.29</v>
      </c>
      <c r="H125" s="1" t="s">
        <v>104</v>
      </c>
      <c r="I125" s="2">
        <v>24852</v>
      </c>
      <c r="J125" s="2">
        <v>45176</v>
      </c>
      <c r="K125" s="1">
        <v>6.68</v>
      </c>
      <c r="L125" s="4">
        <f>G125*K125%</f>
        <v>86.792571999999993</v>
      </c>
      <c r="M125" s="4">
        <f>G125-L125</f>
        <v>1212.4974279999999</v>
      </c>
    </row>
    <row r="126" spans="2:13" x14ac:dyDescent="0.3">
      <c r="B126" s="1">
        <v>1469</v>
      </c>
      <c r="C126" s="2">
        <v>45516</v>
      </c>
      <c r="D126" s="1" t="s">
        <v>35</v>
      </c>
      <c r="E126" s="1" t="s">
        <v>44</v>
      </c>
      <c r="F126" s="1" t="s">
        <v>16</v>
      </c>
      <c r="G126" s="1">
        <v>542.1</v>
      </c>
      <c r="H126" s="1" t="s">
        <v>104</v>
      </c>
      <c r="I126" s="2">
        <v>24852</v>
      </c>
      <c r="J126" s="2">
        <v>45527</v>
      </c>
      <c r="K126" s="1">
        <v>0.99</v>
      </c>
      <c r="L126" s="4">
        <f>G126*K126%</f>
        <v>5.3667899999999999</v>
      </c>
      <c r="M126" s="4">
        <f>G126-L126</f>
        <v>536.73320999999999</v>
      </c>
    </row>
    <row r="127" spans="2:13" x14ac:dyDescent="0.3">
      <c r="B127" s="1">
        <v>1978</v>
      </c>
      <c r="C127" s="2">
        <v>44677</v>
      </c>
      <c r="D127" s="1" t="s">
        <v>35</v>
      </c>
      <c r="E127" s="1" t="s">
        <v>22</v>
      </c>
      <c r="F127" s="1" t="s">
        <v>19</v>
      </c>
      <c r="G127" s="1">
        <v>1140.3699999999999</v>
      </c>
      <c r="H127" s="1" t="s">
        <v>327</v>
      </c>
      <c r="I127" s="2">
        <v>35343</v>
      </c>
      <c r="J127" s="2">
        <v>44680</v>
      </c>
      <c r="K127" s="1">
        <v>23.17</v>
      </c>
      <c r="L127" s="4">
        <f>G127*K127%</f>
        <v>264.22372899999999</v>
      </c>
      <c r="M127" s="4">
        <f>G127-L127</f>
        <v>876.14627099999984</v>
      </c>
    </row>
    <row r="128" spans="2:13" x14ac:dyDescent="0.3">
      <c r="B128" s="1">
        <v>1119</v>
      </c>
      <c r="C128" s="2">
        <v>45818</v>
      </c>
      <c r="D128" s="1" t="s">
        <v>35</v>
      </c>
      <c r="E128" s="1" t="s">
        <v>11</v>
      </c>
      <c r="F128" s="1" t="s">
        <v>12</v>
      </c>
      <c r="G128" s="1">
        <v>3346.64</v>
      </c>
      <c r="H128" s="1" t="s">
        <v>142</v>
      </c>
      <c r="I128" s="2">
        <v>29541</v>
      </c>
      <c r="J128" s="2">
        <v>45821</v>
      </c>
      <c r="K128" s="1">
        <v>33.65</v>
      </c>
      <c r="L128" s="4">
        <f>G128*K128%</f>
        <v>1126.1443599999998</v>
      </c>
      <c r="M128" s="4">
        <f>G128-L128</f>
        <v>2220.4956400000001</v>
      </c>
    </row>
    <row r="129" spans="2:13" x14ac:dyDescent="0.3">
      <c r="B129" s="1">
        <v>1305</v>
      </c>
      <c r="C129" s="2">
        <v>45432</v>
      </c>
      <c r="D129" s="1" t="s">
        <v>35</v>
      </c>
      <c r="E129" s="1" t="s">
        <v>58</v>
      </c>
      <c r="F129" s="1" t="s">
        <v>31</v>
      </c>
      <c r="G129" s="1">
        <v>4720.71</v>
      </c>
      <c r="H129" s="1" t="s">
        <v>216</v>
      </c>
      <c r="I129" s="2">
        <v>31419</v>
      </c>
      <c r="J129" s="2">
        <v>45440</v>
      </c>
      <c r="K129" s="1">
        <v>45.5</v>
      </c>
      <c r="L129" s="4">
        <f>G129*K129%</f>
        <v>2147.9230499999999</v>
      </c>
      <c r="M129" s="4">
        <f>G129-L129</f>
        <v>2572.7869500000002</v>
      </c>
    </row>
    <row r="130" spans="2:13" x14ac:dyDescent="0.3">
      <c r="B130" s="1">
        <v>1334</v>
      </c>
      <c r="C130" s="2">
        <v>45592</v>
      </c>
      <c r="D130" s="1" t="s">
        <v>35</v>
      </c>
      <c r="E130" s="1" t="s">
        <v>47</v>
      </c>
      <c r="F130" s="1" t="s">
        <v>12</v>
      </c>
      <c r="G130" s="1">
        <v>3700.28</v>
      </c>
      <c r="H130" s="1" t="s">
        <v>34</v>
      </c>
      <c r="I130" s="2">
        <v>25232</v>
      </c>
      <c r="J130" s="2">
        <v>45595</v>
      </c>
      <c r="K130" s="1">
        <v>26.68</v>
      </c>
      <c r="L130" s="4">
        <f>G130*K130%</f>
        <v>987.23470399999997</v>
      </c>
      <c r="M130" s="4">
        <f>G130-L130</f>
        <v>2713.0452960000002</v>
      </c>
    </row>
    <row r="131" spans="2:13" x14ac:dyDescent="0.3">
      <c r="B131" s="1">
        <v>1110</v>
      </c>
      <c r="C131" s="2">
        <v>45174</v>
      </c>
      <c r="D131" s="1" t="s">
        <v>35</v>
      </c>
      <c r="E131" s="1" t="s">
        <v>53</v>
      </c>
      <c r="F131" s="1" t="s">
        <v>28</v>
      </c>
      <c r="G131" s="1">
        <v>3945.68</v>
      </c>
      <c r="H131" s="1" t="s">
        <v>134</v>
      </c>
      <c r="I131" s="2">
        <v>30299</v>
      </c>
      <c r="J131" s="2">
        <v>45178</v>
      </c>
      <c r="K131" s="1">
        <v>19.010000000000002</v>
      </c>
      <c r="L131" s="4">
        <f>G131*K131%</f>
        <v>750.07376800000009</v>
      </c>
      <c r="M131" s="4">
        <f>G131-L131</f>
        <v>3195.6062319999996</v>
      </c>
    </row>
    <row r="132" spans="2:13" x14ac:dyDescent="0.3">
      <c r="B132" s="1">
        <v>1496</v>
      </c>
      <c r="C132" s="2">
        <v>45316</v>
      </c>
      <c r="D132" s="1" t="s">
        <v>35</v>
      </c>
      <c r="E132" s="1" t="s">
        <v>102</v>
      </c>
      <c r="F132" s="1" t="s">
        <v>12</v>
      </c>
      <c r="G132" s="1">
        <v>897.52</v>
      </c>
      <c r="H132" s="1" t="s">
        <v>108</v>
      </c>
      <c r="I132" s="2">
        <v>33413</v>
      </c>
      <c r="J132" s="2">
        <v>45326</v>
      </c>
      <c r="K132" s="1">
        <v>8.91</v>
      </c>
      <c r="L132" s="4">
        <f>G132*K132%</f>
        <v>79.969031999999999</v>
      </c>
      <c r="M132" s="4">
        <f>G132-L132</f>
        <v>817.55096800000001</v>
      </c>
    </row>
    <row r="133" spans="2:13" x14ac:dyDescent="0.3">
      <c r="B133" s="1">
        <v>1454</v>
      </c>
      <c r="C133" s="2">
        <v>45380</v>
      </c>
      <c r="D133" s="1" t="s">
        <v>35</v>
      </c>
      <c r="E133" s="1" t="s">
        <v>18</v>
      </c>
      <c r="F133" s="1" t="s">
        <v>19</v>
      </c>
      <c r="G133" s="1">
        <v>4543.08</v>
      </c>
      <c r="H133" s="1" t="s">
        <v>166</v>
      </c>
      <c r="I133" s="2">
        <v>27879</v>
      </c>
      <c r="J133" s="2">
        <v>45381</v>
      </c>
      <c r="K133" s="1">
        <v>41.7</v>
      </c>
      <c r="L133" s="4">
        <f>G133*K133%</f>
        <v>1894.4643600000002</v>
      </c>
      <c r="M133" s="4">
        <f>G133-L133</f>
        <v>2648.61564</v>
      </c>
    </row>
    <row r="134" spans="2:13" x14ac:dyDescent="0.3">
      <c r="B134" s="1">
        <v>1039</v>
      </c>
      <c r="C134" s="2">
        <v>44521</v>
      </c>
      <c r="D134" s="1" t="s">
        <v>35</v>
      </c>
      <c r="E134" s="1" t="s">
        <v>58</v>
      </c>
      <c r="F134" s="1" t="s">
        <v>31</v>
      </c>
      <c r="G134" s="1">
        <v>2471.8000000000002</v>
      </c>
      <c r="H134" s="1" t="s">
        <v>80</v>
      </c>
      <c r="I134" s="2">
        <v>31578</v>
      </c>
      <c r="J134" s="2">
        <v>44522</v>
      </c>
      <c r="K134" s="1">
        <v>29.86</v>
      </c>
      <c r="L134" s="4">
        <f>G134*K134%</f>
        <v>738.07947999999999</v>
      </c>
      <c r="M134" s="4">
        <f>G134-L134</f>
        <v>1733.7205200000003</v>
      </c>
    </row>
    <row r="135" spans="2:13" x14ac:dyDescent="0.3">
      <c r="B135" s="1">
        <v>1210</v>
      </c>
      <c r="C135" s="2">
        <v>44387</v>
      </c>
      <c r="D135" s="1" t="s">
        <v>35</v>
      </c>
      <c r="E135" s="1" t="s">
        <v>61</v>
      </c>
      <c r="F135" s="1" t="s">
        <v>19</v>
      </c>
      <c r="G135" s="1">
        <v>3390.55</v>
      </c>
      <c r="H135" s="1" t="s">
        <v>201</v>
      </c>
      <c r="I135" s="2">
        <v>23469</v>
      </c>
      <c r="J135" s="2">
        <v>44389</v>
      </c>
      <c r="K135" s="1">
        <v>16.8</v>
      </c>
      <c r="L135" s="4">
        <f>G135*K135%</f>
        <v>569.61240000000009</v>
      </c>
      <c r="M135" s="4">
        <f>G135-L135</f>
        <v>2820.9376000000002</v>
      </c>
    </row>
    <row r="136" spans="2:13" x14ac:dyDescent="0.3">
      <c r="B136" s="1">
        <v>1192</v>
      </c>
      <c r="C136" s="2">
        <v>44285</v>
      </c>
      <c r="D136" s="1" t="s">
        <v>35</v>
      </c>
      <c r="E136" s="1" t="s">
        <v>27</v>
      </c>
      <c r="F136" s="1" t="s">
        <v>28</v>
      </c>
      <c r="G136" s="1">
        <v>4013.62</v>
      </c>
      <c r="H136" s="1" t="s">
        <v>189</v>
      </c>
      <c r="I136" s="2">
        <v>34164</v>
      </c>
      <c r="J136" s="2">
        <v>44292</v>
      </c>
      <c r="K136" s="1">
        <v>45.04</v>
      </c>
      <c r="L136" s="4">
        <f>G136*K136%</f>
        <v>1807.7344479999999</v>
      </c>
      <c r="M136" s="4">
        <f>G136-L136</f>
        <v>2205.8855519999997</v>
      </c>
    </row>
    <row r="137" spans="2:13" x14ac:dyDescent="0.3">
      <c r="B137" s="1">
        <v>1675</v>
      </c>
      <c r="C137" s="2">
        <v>45015</v>
      </c>
      <c r="D137" s="1" t="s">
        <v>35</v>
      </c>
      <c r="E137" s="1" t="s">
        <v>33</v>
      </c>
      <c r="F137" s="1" t="s">
        <v>16</v>
      </c>
      <c r="G137" s="1">
        <v>1210.26</v>
      </c>
      <c r="H137" s="1" t="s">
        <v>306</v>
      </c>
      <c r="I137" s="2">
        <v>23652</v>
      </c>
      <c r="J137" s="2">
        <v>45027</v>
      </c>
      <c r="K137" s="1">
        <v>45.32</v>
      </c>
      <c r="L137" s="4">
        <f>G137*K137%</f>
        <v>548.48983199999998</v>
      </c>
      <c r="M137" s="4">
        <f>G137-L137</f>
        <v>661.77016800000001</v>
      </c>
    </row>
    <row r="138" spans="2:13" x14ac:dyDescent="0.3">
      <c r="B138" s="1">
        <v>1255</v>
      </c>
      <c r="C138" s="2">
        <v>44791</v>
      </c>
      <c r="D138" s="1" t="s">
        <v>35</v>
      </c>
      <c r="E138" s="1" t="s">
        <v>69</v>
      </c>
      <c r="F138" s="1" t="s">
        <v>31</v>
      </c>
      <c r="G138" s="1">
        <v>1032.53</v>
      </c>
      <c r="H138" s="1" t="s">
        <v>157</v>
      </c>
      <c r="I138" s="2">
        <v>37189</v>
      </c>
      <c r="J138" s="2">
        <v>44793</v>
      </c>
      <c r="K138" s="1">
        <v>47.26</v>
      </c>
      <c r="L138" s="4">
        <f>G138*K138%</f>
        <v>487.97367799999995</v>
      </c>
      <c r="M138" s="4">
        <f>G138-L138</f>
        <v>544.55632200000002</v>
      </c>
    </row>
    <row r="139" spans="2:13" x14ac:dyDescent="0.3">
      <c r="B139" s="1">
        <v>1815</v>
      </c>
      <c r="C139" s="2">
        <v>44162</v>
      </c>
      <c r="D139" s="1" t="s">
        <v>35</v>
      </c>
      <c r="E139" s="1" t="s">
        <v>69</v>
      </c>
      <c r="F139" s="1" t="s">
        <v>31</v>
      </c>
      <c r="G139" s="1">
        <v>864.39</v>
      </c>
      <c r="H139" s="1" t="s">
        <v>256</v>
      </c>
      <c r="I139" s="2">
        <v>34537</v>
      </c>
      <c r="J139" s="2">
        <v>44176</v>
      </c>
      <c r="K139" s="1">
        <v>5.48</v>
      </c>
      <c r="L139" s="4">
        <f>G139*K139%</f>
        <v>47.368572</v>
      </c>
      <c r="M139" s="4">
        <f>G139-L139</f>
        <v>817.02142800000001</v>
      </c>
    </row>
    <row r="140" spans="2:13" x14ac:dyDescent="0.3">
      <c r="B140" s="1">
        <v>1668</v>
      </c>
      <c r="C140" s="2">
        <v>44744</v>
      </c>
      <c r="D140" s="1" t="s">
        <v>35</v>
      </c>
      <c r="E140" s="1" t="s">
        <v>69</v>
      </c>
      <c r="F140" s="1" t="s">
        <v>12</v>
      </c>
      <c r="G140" s="1">
        <v>789.74</v>
      </c>
      <c r="H140" s="1" t="s">
        <v>89</v>
      </c>
      <c r="I140" s="2">
        <v>37141</v>
      </c>
      <c r="J140" s="2">
        <v>44749</v>
      </c>
      <c r="K140" s="1">
        <v>5.84</v>
      </c>
      <c r="L140" s="4">
        <f>G140*K140%</f>
        <v>46.120815999999998</v>
      </c>
      <c r="M140" s="4">
        <f>G140-L140</f>
        <v>743.61918400000002</v>
      </c>
    </row>
    <row r="141" spans="2:13" x14ac:dyDescent="0.3">
      <c r="B141" s="1">
        <v>1789</v>
      </c>
      <c r="C141" s="2">
        <v>44335</v>
      </c>
      <c r="D141" s="1" t="s">
        <v>35</v>
      </c>
      <c r="E141" s="1" t="s">
        <v>36</v>
      </c>
      <c r="F141" s="1" t="s">
        <v>28</v>
      </c>
      <c r="G141" s="1">
        <v>3352.72</v>
      </c>
      <c r="H141" s="1" t="s">
        <v>320</v>
      </c>
      <c r="I141" s="2">
        <v>26300</v>
      </c>
      <c r="J141" s="2">
        <v>44340</v>
      </c>
      <c r="K141" s="1">
        <v>45.35</v>
      </c>
      <c r="L141" s="4">
        <f>G141*K141%</f>
        <v>1520.4585199999999</v>
      </c>
      <c r="M141" s="4">
        <f>G141-L141</f>
        <v>1832.2614799999999</v>
      </c>
    </row>
    <row r="142" spans="2:13" x14ac:dyDescent="0.3">
      <c r="B142" s="1">
        <v>1084</v>
      </c>
      <c r="C142" s="2">
        <v>44453</v>
      </c>
      <c r="D142" s="1" t="s">
        <v>35</v>
      </c>
      <c r="E142" s="1" t="s">
        <v>71</v>
      </c>
      <c r="F142" s="1" t="s">
        <v>31</v>
      </c>
      <c r="G142" s="1">
        <v>3499.14</v>
      </c>
      <c r="H142" s="1" t="s">
        <v>116</v>
      </c>
      <c r="I142" s="2">
        <v>39294</v>
      </c>
      <c r="J142" s="2">
        <v>44463</v>
      </c>
      <c r="K142" s="1">
        <v>13.33</v>
      </c>
      <c r="L142" s="4">
        <f>G142*K142%</f>
        <v>466.435362</v>
      </c>
      <c r="M142" s="4">
        <f>G142-L142</f>
        <v>3032.7046379999997</v>
      </c>
    </row>
    <row r="143" spans="2:13" x14ac:dyDescent="0.3">
      <c r="B143" s="1">
        <v>1257</v>
      </c>
      <c r="C143" s="2">
        <v>45205</v>
      </c>
      <c r="D143" s="1" t="s">
        <v>35</v>
      </c>
      <c r="E143" s="1" t="s">
        <v>24</v>
      </c>
      <c r="F143" s="1" t="s">
        <v>19</v>
      </c>
      <c r="G143" s="1">
        <v>544.44000000000005</v>
      </c>
      <c r="H143" s="1" t="s">
        <v>221</v>
      </c>
      <c r="I143" s="2">
        <v>35658</v>
      </c>
      <c r="J143" s="2">
        <v>45214</v>
      </c>
      <c r="K143" s="1">
        <v>38.49</v>
      </c>
      <c r="L143" s="4">
        <f>G143*K143%</f>
        <v>209.55495600000003</v>
      </c>
      <c r="M143" s="4">
        <f>G143-L143</f>
        <v>334.88504399999999</v>
      </c>
    </row>
    <row r="144" spans="2:13" x14ac:dyDescent="0.3">
      <c r="B144" s="1">
        <v>1963</v>
      </c>
      <c r="C144" s="2">
        <v>44608</v>
      </c>
      <c r="D144" s="1" t="s">
        <v>35</v>
      </c>
      <c r="E144" s="1" t="s">
        <v>55</v>
      </c>
      <c r="F144" s="1" t="s">
        <v>31</v>
      </c>
      <c r="G144" s="1">
        <v>4888.68</v>
      </c>
      <c r="H144" s="1" t="s">
        <v>158</v>
      </c>
      <c r="I144" s="2">
        <v>34871</v>
      </c>
      <c r="J144" s="2">
        <v>44619</v>
      </c>
      <c r="K144" s="1">
        <v>38.729999999999997</v>
      </c>
      <c r="L144" s="4">
        <f>G144*K144%</f>
        <v>1893.3857640000001</v>
      </c>
      <c r="M144" s="4">
        <f>G144-L144</f>
        <v>2995.2942360000002</v>
      </c>
    </row>
    <row r="145" spans="2:13" x14ac:dyDescent="0.3">
      <c r="B145" s="1">
        <v>1658</v>
      </c>
      <c r="C145" s="2">
        <v>44430</v>
      </c>
      <c r="D145" s="1" t="s">
        <v>35</v>
      </c>
      <c r="E145" s="1" t="s">
        <v>49</v>
      </c>
      <c r="F145" s="1" t="s">
        <v>12</v>
      </c>
      <c r="G145" s="1">
        <v>2670.17</v>
      </c>
      <c r="H145" s="1" t="s">
        <v>288</v>
      </c>
      <c r="I145" s="2">
        <v>29810</v>
      </c>
      <c r="J145" s="2">
        <v>44441</v>
      </c>
      <c r="K145" s="1">
        <v>15.3</v>
      </c>
      <c r="L145" s="4">
        <f>G145*K145%</f>
        <v>408.53600999999998</v>
      </c>
      <c r="M145" s="4">
        <f>G145-L145</f>
        <v>2261.6339900000003</v>
      </c>
    </row>
    <row r="146" spans="2:13" x14ac:dyDescent="0.3">
      <c r="B146" s="1">
        <v>1782</v>
      </c>
      <c r="C146" s="2">
        <v>44700</v>
      </c>
      <c r="D146" s="1" t="s">
        <v>35</v>
      </c>
      <c r="E146" s="1" t="s">
        <v>36</v>
      </c>
      <c r="F146" s="1" t="s">
        <v>28</v>
      </c>
      <c r="G146" s="1">
        <v>1889.33</v>
      </c>
      <c r="H146" s="1" t="s">
        <v>86</v>
      </c>
      <c r="I146" s="2">
        <v>37858</v>
      </c>
      <c r="J146" s="2">
        <v>44707</v>
      </c>
      <c r="K146" s="1">
        <v>49.28</v>
      </c>
      <c r="L146" s="4">
        <f>G146*K146%</f>
        <v>931.061824</v>
      </c>
      <c r="M146" s="4">
        <f>G146-L146</f>
        <v>958.26817599999993</v>
      </c>
    </row>
    <row r="147" spans="2:13" x14ac:dyDescent="0.3">
      <c r="B147" s="1">
        <v>1620</v>
      </c>
      <c r="C147" s="2">
        <v>44638</v>
      </c>
      <c r="D147" s="1" t="s">
        <v>35</v>
      </c>
      <c r="E147" s="1" t="s">
        <v>44</v>
      </c>
      <c r="F147" s="1" t="s">
        <v>16</v>
      </c>
      <c r="G147" s="1">
        <v>4939.3</v>
      </c>
      <c r="H147" s="1" t="s">
        <v>25</v>
      </c>
      <c r="I147" s="2">
        <v>33386</v>
      </c>
      <c r="J147" s="2">
        <v>44650</v>
      </c>
      <c r="K147" s="1">
        <v>46.46</v>
      </c>
      <c r="L147" s="4">
        <f>G147*K147%</f>
        <v>2294.7987800000001</v>
      </c>
      <c r="M147" s="4">
        <f>G147-L147</f>
        <v>2644.5012200000001</v>
      </c>
    </row>
    <row r="148" spans="2:13" x14ac:dyDescent="0.3">
      <c r="B148" s="1">
        <v>1679</v>
      </c>
      <c r="C148" s="2">
        <v>44505</v>
      </c>
      <c r="D148" s="1" t="s">
        <v>35</v>
      </c>
      <c r="E148" s="1" t="s">
        <v>55</v>
      </c>
      <c r="F148" s="1" t="s">
        <v>31</v>
      </c>
      <c r="G148" s="1">
        <v>4303.21</v>
      </c>
      <c r="H148" s="1" t="s">
        <v>139</v>
      </c>
      <c r="I148" s="2">
        <v>29381</v>
      </c>
      <c r="J148" s="2">
        <v>44512</v>
      </c>
      <c r="K148" s="1">
        <v>33.68</v>
      </c>
      <c r="L148" s="4">
        <f>G148*K148%</f>
        <v>1449.321128</v>
      </c>
      <c r="M148" s="4">
        <f>G148-L148</f>
        <v>2853.888872</v>
      </c>
    </row>
    <row r="149" spans="2:13" x14ac:dyDescent="0.3">
      <c r="B149" s="1">
        <v>1987</v>
      </c>
      <c r="C149" s="2">
        <v>45619</v>
      </c>
      <c r="D149" s="1" t="s">
        <v>35</v>
      </c>
      <c r="E149" s="1" t="s">
        <v>71</v>
      </c>
      <c r="F149" s="1" t="s">
        <v>31</v>
      </c>
      <c r="G149" s="1">
        <v>677.56</v>
      </c>
      <c r="H149" s="1" t="s">
        <v>139</v>
      </c>
      <c r="I149" s="2">
        <v>29381</v>
      </c>
      <c r="J149" s="2">
        <v>45621</v>
      </c>
      <c r="K149" s="1">
        <v>37.049999999999997</v>
      </c>
      <c r="L149" s="4">
        <f>G149*K149%</f>
        <v>251.03597999999997</v>
      </c>
      <c r="M149" s="4">
        <f>G149-L149</f>
        <v>426.52401999999995</v>
      </c>
    </row>
    <row r="150" spans="2:13" x14ac:dyDescent="0.3">
      <c r="B150" s="1">
        <v>1464</v>
      </c>
      <c r="C150" s="2">
        <v>44365</v>
      </c>
      <c r="D150" s="1" t="s">
        <v>35</v>
      </c>
      <c r="E150" s="1" t="s">
        <v>102</v>
      </c>
      <c r="F150" s="1" t="s">
        <v>12</v>
      </c>
      <c r="G150" s="1">
        <v>189.34</v>
      </c>
      <c r="H150" s="1" t="s">
        <v>139</v>
      </c>
      <c r="I150" s="2">
        <v>29381</v>
      </c>
      <c r="J150" s="2">
        <v>44367</v>
      </c>
      <c r="K150" s="1">
        <v>36.89</v>
      </c>
      <c r="L150" s="4">
        <f>G150*K150%</f>
        <v>69.847526000000002</v>
      </c>
      <c r="M150" s="4">
        <f>G150-L150</f>
        <v>119.492474</v>
      </c>
    </row>
    <row r="151" spans="2:13" x14ac:dyDescent="0.3">
      <c r="B151" s="1">
        <v>1910</v>
      </c>
      <c r="C151" s="2">
        <v>44597</v>
      </c>
      <c r="D151" s="1" t="s">
        <v>35</v>
      </c>
      <c r="E151" s="1" t="s">
        <v>15</v>
      </c>
      <c r="F151" s="1" t="s">
        <v>16</v>
      </c>
      <c r="G151" s="1">
        <v>387.6</v>
      </c>
      <c r="H151" s="1" t="s">
        <v>200</v>
      </c>
      <c r="I151" s="2">
        <v>30222</v>
      </c>
      <c r="J151" s="2">
        <v>44604</v>
      </c>
      <c r="K151" s="1">
        <v>26.01</v>
      </c>
      <c r="L151" s="4">
        <f>G151*K151%</f>
        <v>100.81476000000001</v>
      </c>
      <c r="M151" s="4">
        <f>G151-L151</f>
        <v>286.78524000000004</v>
      </c>
    </row>
    <row r="152" spans="2:13" x14ac:dyDescent="0.3">
      <c r="B152" s="1">
        <v>1891</v>
      </c>
      <c r="C152" s="2">
        <v>44188</v>
      </c>
      <c r="D152" s="1" t="s">
        <v>35</v>
      </c>
      <c r="E152" s="1" t="s">
        <v>15</v>
      </c>
      <c r="F152" s="1" t="s">
        <v>16</v>
      </c>
      <c r="G152" s="1">
        <v>2591.71</v>
      </c>
      <c r="H152" s="1" t="s">
        <v>43</v>
      </c>
      <c r="I152" s="2">
        <v>33702</v>
      </c>
      <c r="J152" s="2">
        <v>44192</v>
      </c>
      <c r="K152" s="1">
        <v>19.28</v>
      </c>
      <c r="L152" s="4">
        <f>G152*K152%</f>
        <v>499.68168800000001</v>
      </c>
      <c r="M152" s="4">
        <f>G152-L152</f>
        <v>2092.0283119999999</v>
      </c>
    </row>
    <row r="153" spans="2:13" x14ac:dyDescent="0.3">
      <c r="B153" s="1">
        <v>1595</v>
      </c>
      <c r="C153" s="2">
        <v>45142</v>
      </c>
      <c r="D153" s="1" t="s">
        <v>35</v>
      </c>
      <c r="E153" s="1" t="s">
        <v>18</v>
      </c>
      <c r="F153" s="1" t="s">
        <v>19</v>
      </c>
      <c r="G153" s="1">
        <v>153.46</v>
      </c>
      <c r="H153" s="1" t="s">
        <v>120</v>
      </c>
      <c r="I153" s="2">
        <v>30820</v>
      </c>
      <c r="J153" s="2">
        <v>45145</v>
      </c>
      <c r="K153" s="1">
        <v>37.5</v>
      </c>
      <c r="L153" s="4">
        <f>G153*K153%</f>
        <v>57.547499999999999</v>
      </c>
      <c r="M153" s="4">
        <f>G153-L153</f>
        <v>95.912500000000009</v>
      </c>
    </row>
    <row r="154" spans="2:13" x14ac:dyDescent="0.3">
      <c r="B154" s="1">
        <v>1222</v>
      </c>
      <c r="C154" s="2">
        <v>44808</v>
      </c>
      <c r="D154" s="1" t="s">
        <v>35</v>
      </c>
      <c r="E154" s="1" t="s">
        <v>53</v>
      </c>
      <c r="F154" s="1" t="s">
        <v>28</v>
      </c>
      <c r="G154" s="1">
        <v>3446.37</v>
      </c>
      <c r="H154" s="1" t="s">
        <v>207</v>
      </c>
      <c r="I154" s="2">
        <v>23988</v>
      </c>
      <c r="J154" s="2">
        <v>44814</v>
      </c>
      <c r="K154" s="1">
        <v>5.56</v>
      </c>
      <c r="L154" s="4">
        <f>G154*K154%</f>
        <v>191.61817199999999</v>
      </c>
      <c r="M154" s="4">
        <f>G154-L154</f>
        <v>3254.7518279999999</v>
      </c>
    </row>
    <row r="155" spans="2:13" x14ac:dyDescent="0.3">
      <c r="B155" s="1">
        <v>1591</v>
      </c>
      <c r="C155" s="2">
        <v>44923</v>
      </c>
      <c r="D155" s="1" t="s">
        <v>35</v>
      </c>
      <c r="E155" s="1" t="s">
        <v>22</v>
      </c>
      <c r="F155" s="1" t="s">
        <v>19</v>
      </c>
      <c r="G155" s="1">
        <v>1301.82</v>
      </c>
      <c r="H155" s="1" t="s">
        <v>207</v>
      </c>
      <c r="I155" s="2">
        <v>23988</v>
      </c>
      <c r="J155" s="2">
        <v>44928</v>
      </c>
      <c r="K155" s="1">
        <v>30.44</v>
      </c>
      <c r="L155" s="4">
        <f>G155*K155%</f>
        <v>396.27400799999998</v>
      </c>
      <c r="M155" s="4">
        <f>G155-L155</f>
        <v>905.54599199999996</v>
      </c>
    </row>
    <row r="156" spans="2:13" x14ac:dyDescent="0.3">
      <c r="B156" s="1">
        <v>1739</v>
      </c>
      <c r="C156" s="2">
        <v>45610</v>
      </c>
      <c r="D156" s="1" t="s">
        <v>35</v>
      </c>
      <c r="E156" s="1" t="s">
        <v>71</v>
      </c>
      <c r="F156" s="1" t="s">
        <v>31</v>
      </c>
      <c r="G156" s="1">
        <v>4516.29</v>
      </c>
      <c r="H156" s="1" t="s">
        <v>54</v>
      </c>
      <c r="I156" s="2">
        <v>31082</v>
      </c>
      <c r="J156" s="2">
        <v>45613</v>
      </c>
      <c r="K156" s="1">
        <v>25.53</v>
      </c>
      <c r="L156" s="4">
        <f>G156*K156%</f>
        <v>1153.0088370000001</v>
      </c>
      <c r="M156" s="4">
        <f>G156-L156</f>
        <v>3363.2811629999997</v>
      </c>
    </row>
    <row r="157" spans="2:13" x14ac:dyDescent="0.3">
      <c r="B157" s="1">
        <v>1915</v>
      </c>
      <c r="C157" s="2">
        <v>44264</v>
      </c>
      <c r="D157" s="1" t="s">
        <v>35</v>
      </c>
      <c r="E157" s="1" t="s">
        <v>11</v>
      </c>
      <c r="F157" s="1" t="s">
        <v>12</v>
      </c>
      <c r="G157" s="1">
        <v>1651.51</v>
      </c>
      <c r="H157" s="1" t="s">
        <v>54</v>
      </c>
      <c r="I157" s="2">
        <v>31082</v>
      </c>
      <c r="J157" s="2">
        <v>44266</v>
      </c>
      <c r="K157" s="1">
        <v>16.899999999999999</v>
      </c>
      <c r="L157" s="4">
        <f>G157*K157%</f>
        <v>279.10518999999999</v>
      </c>
      <c r="M157" s="4">
        <f>G157-L157</f>
        <v>1372.40481</v>
      </c>
    </row>
    <row r="158" spans="2:13" x14ac:dyDescent="0.3">
      <c r="B158" s="1">
        <v>1453</v>
      </c>
      <c r="C158" s="2">
        <v>45834</v>
      </c>
      <c r="D158" s="1" t="s">
        <v>35</v>
      </c>
      <c r="E158" s="1" t="s">
        <v>33</v>
      </c>
      <c r="F158" s="1" t="s">
        <v>16</v>
      </c>
      <c r="G158" s="1">
        <v>2430.6999999999998</v>
      </c>
      <c r="H158" s="1" t="s">
        <v>273</v>
      </c>
      <c r="I158" s="2">
        <v>30822</v>
      </c>
      <c r="J158" s="2">
        <v>45840</v>
      </c>
      <c r="K158" s="1">
        <v>45.83</v>
      </c>
      <c r="L158" s="4">
        <f>G158*K158%</f>
        <v>1113.9898099999998</v>
      </c>
      <c r="M158" s="4">
        <f>G158-L158</f>
        <v>1316.71019</v>
      </c>
    </row>
    <row r="159" spans="2:13" x14ac:dyDescent="0.3">
      <c r="B159" s="1">
        <v>1178</v>
      </c>
      <c r="C159" s="2">
        <v>44255</v>
      </c>
      <c r="D159" s="1" t="s">
        <v>35</v>
      </c>
      <c r="E159" s="1" t="s">
        <v>61</v>
      </c>
      <c r="F159" s="1" t="s">
        <v>19</v>
      </c>
      <c r="G159" s="1">
        <v>3846</v>
      </c>
      <c r="H159" s="1" t="s">
        <v>179</v>
      </c>
      <c r="I159" s="2">
        <v>30356</v>
      </c>
      <c r="J159" s="2">
        <v>44256</v>
      </c>
      <c r="K159" s="1">
        <v>1.22</v>
      </c>
      <c r="L159" s="4">
        <f>G159*K159%</f>
        <v>46.921199999999999</v>
      </c>
      <c r="M159" s="4">
        <f>G159-L159</f>
        <v>3799.0788000000002</v>
      </c>
    </row>
    <row r="160" spans="2:13" x14ac:dyDescent="0.3">
      <c r="B160" s="1">
        <v>1375</v>
      </c>
      <c r="C160" s="2">
        <v>44394</v>
      </c>
      <c r="D160" s="1" t="s">
        <v>35</v>
      </c>
      <c r="E160" s="1" t="s">
        <v>44</v>
      </c>
      <c r="F160" s="1" t="s">
        <v>16</v>
      </c>
      <c r="G160" s="1">
        <v>4990.92</v>
      </c>
      <c r="H160" s="1" t="s">
        <v>179</v>
      </c>
      <c r="I160" s="2">
        <v>30356</v>
      </c>
      <c r="J160" s="2">
        <v>44395</v>
      </c>
      <c r="K160" s="1">
        <v>38.31</v>
      </c>
      <c r="L160" s="4">
        <f>G160*K160%</f>
        <v>1912.021452</v>
      </c>
      <c r="M160" s="4">
        <f>G160-L160</f>
        <v>3078.8985480000001</v>
      </c>
    </row>
    <row r="161" spans="2:13" x14ac:dyDescent="0.3">
      <c r="B161" s="1">
        <v>1042</v>
      </c>
      <c r="C161" s="2">
        <v>44218</v>
      </c>
      <c r="D161" s="1" t="s">
        <v>35</v>
      </c>
      <c r="E161" s="1" t="s">
        <v>65</v>
      </c>
      <c r="F161" s="1" t="s">
        <v>19</v>
      </c>
      <c r="G161" s="1">
        <v>2810.19</v>
      </c>
      <c r="H161" s="1" t="s">
        <v>83</v>
      </c>
      <c r="I161" s="2">
        <v>24673</v>
      </c>
      <c r="J161" s="2">
        <v>44225</v>
      </c>
      <c r="K161" s="1">
        <v>22.77</v>
      </c>
      <c r="L161" s="4">
        <f>G161*K161%</f>
        <v>639.88026300000001</v>
      </c>
      <c r="M161" s="4">
        <f>G161-L161</f>
        <v>2170.309737</v>
      </c>
    </row>
    <row r="162" spans="2:13" x14ac:dyDescent="0.3">
      <c r="B162" s="1">
        <v>1883</v>
      </c>
      <c r="C162" s="2">
        <v>45054</v>
      </c>
      <c r="D162" s="1" t="s">
        <v>35</v>
      </c>
      <c r="E162" s="1" t="s">
        <v>49</v>
      </c>
      <c r="F162" s="1" t="s">
        <v>12</v>
      </c>
      <c r="G162" s="1">
        <v>317.56</v>
      </c>
      <c r="H162" s="1" t="s">
        <v>156</v>
      </c>
      <c r="I162" s="2">
        <v>38693</v>
      </c>
      <c r="J162" s="2">
        <v>45061</v>
      </c>
      <c r="K162" s="1">
        <v>1.25</v>
      </c>
      <c r="L162" s="4">
        <f>G162*K162%</f>
        <v>3.9695</v>
      </c>
      <c r="M162" s="4">
        <f>G162-L162</f>
        <v>313.59050000000002</v>
      </c>
    </row>
    <row r="163" spans="2:13" x14ac:dyDescent="0.3">
      <c r="B163" s="1">
        <v>1642</v>
      </c>
      <c r="C163" s="2">
        <v>45094</v>
      </c>
      <c r="D163" s="1" t="s">
        <v>35</v>
      </c>
      <c r="E163" s="1" t="s">
        <v>44</v>
      </c>
      <c r="F163" s="1" t="s">
        <v>16</v>
      </c>
      <c r="G163" s="1">
        <v>2282.48</v>
      </c>
      <c r="H163" s="1" t="s">
        <v>144</v>
      </c>
      <c r="I163" s="2">
        <v>34571</v>
      </c>
      <c r="J163" s="2">
        <v>45095</v>
      </c>
      <c r="K163" s="1">
        <v>1.72</v>
      </c>
      <c r="L163" s="4">
        <f>G163*K163%</f>
        <v>39.258656000000002</v>
      </c>
      <c r="M163" s="4">
        <f>G163-L163</f>
        <v>2243.221344</v>
      </c>
    </row>
    <row r="164" spans="2:13" x14ac:dyDescent="0.3">
      <c r="B164" s="1">
        <v>1051</v>
      </c>
      <c r="C164" s="2">
        <v>44296</v>
      </c>
      <c r="D164" s="1" t="s">
        <v>35</v>
      </c>
      <c r="E164" s="1" t="s">
        <v>69</v>
      </c>
      <c r="F164" s="1" t="s">
        <v>12</v>
      </c>
      <c r="G164" s="1">
        <v>3921.4</v>
      </c>
      <c r="H164" s="1" t="s">
        <v>92</v>
      </c>
      <c r="I164" s="2">
        <v>24544</v>
      </c>
      <c r="J164" s="2">
        <v>44304</v>
      </c>
      <c r="K164" s="1">
        <v>23.42</v>
      </c>
      <c r="L164" s="4">
        <f>G164*K164%</f>
        <v>918.39188000000013</v>
      </c>
      <c r="M164" s="4">
        <f>G164-L164</f>
        <v>3003.00812</v>
      </c>
    </row>
    <row r="165" spans="2:13" x14ac:dyDescent="0.3">
      <c r="B165" s="1">
        <v>1382</v>
      </c>
      <c r="C165" s="2">
        <v>45737</v>
      </c>
      <c r="D165" s="1" t="s">
        <v>35</v>
      </c>
      <c r="E165" s="1" t="s">
        <v>58</v>
      </c>
      <c r="F165" s="1" t="s">
        <v>31</v>
      </c>
      <c r="G165" s="1">
        <v>889.97</v>
      </c>
      <c r="H165" s="1" t="s">
        <v>245</v>
      </c>
      <c r="I165" s="2">
        <v>32205</v>
      </c>
      <c r="J165" s="2">
        <v>45749</v>
      </c>
      <c r="K165" s="1">
        <v>3.54</v>
      </c>
      <c r="L165" s="4">
        <f>G165*K165%</f>
        <v>31.504938000000003</v>
      </c>
      <c r="M165" s="4">
        <f>G165-L165</f>
        <v>858.46506199999999</v>
      </c>
    </row>
    <row r="166" spans="2:13" x14ac:dyDescent="0.3">
      <c r="B166" s="1">
        <v>1286</v>
      </c>
      <c r="C166" s="2">
        <v>45456</v>
      </c>
      <c r="D166" s="1" t="s">
        <v>35</v>
      </c>
      <c r="E166" s="1" t="s">
        <v>69</v>
      </c>
      <c r="F166" s="1" t="s">
        <v>31</v>
      </c>
      <c r="G166" s="1">
        <v>2518.66</v>
      </c>
      <c r="H166" s="1" t="s">
        <v>231</v>
      </c>
      <c r="I166" s="2">
        <v>32047</v>
      </c>
      <c r="J166" s="2">
        <v>45468</v>
      </c>
      <c r="K166" s="1">
        <v>37.5</v>
      </c>
      <c r="L166" s="4">
        <f>G166*K166%</f>
        <v>944.49749999999995</v>
      </c>
      <c r="M166" s="4">
        <f>G166-L166</f>
        <v>1574.1624999999999</v>
      </c>
    </row>
    <row r="167" spans="2:13" x14ac:dyDescent="0.3">
      <c r="B167" s="1">
        <v>1332</v>
      </c>
      <c r="C167" s="2">
        <v>44895</v>
      </c>
      <c r="D167" s="1" t="s">
        <v>35</v>
      </c>
      <c r="E167" s="1" t="s">
        <v>44</v>
      </c>
      <c r="F167" s="1" t="s">
        <v>16</v>
      </c>
      <c r="G167" s="1">
        <v>424.02</v>
      </c>
      <c r="H167" s="1" t="s">
        <v>231</v>
      </c>
      <c r="I167" s="2">
        <v>32047</v>
      </c>
      <c r="J167" s="2">
        <v>44899</v>
      </c>
      <c r="K167" s="1">
        <v>9.5</v>
      </c>
      <c r="L167" s="4">
        <f>G167*K167%</f>
        <v>40.2819</v>
      </c>
      <c r="M167" s="4">
        <f>G167-L167</f>
        <v>383.73809999999997</v>
      </c>
    </row>
    <row r="168" spans="2:13" x14ac:dyDescent="0.3">
      <c r="B168" s="1">
        <v>1700</v>
      </c>
      <c r="C168" s="2">
        <v>44706</v>
      </c>
      <c r="D168" s="1" t="s">
        <v>35</v>
      </c>
      <c r="E168" s="1" t="s">
        <v>69</v>
      </c>
      <c r="F168" s="1" t="s">
        <v>12</v>
      </c>
      <c r="G168" s="1">
        <v>842.12</v>
      </c>
      <c r="H168" s="1" t="s">
        <v>196</v>
      </c>
      <c r="I168" s="2">
        <v>26300</v>
      </c>
      <c r="J168" s="2">
        <v>44714</v>
      </c>
      <c r="K168" s="1">
        <v>1.36</v>
      </c>
      <c r="L168" s="4">
        <f>G168*K168%</f>
        <v>11.452832000000001</v>
      </c>
      <c r="M168" s="4">
        <f>G168-L168</f>
        <v>830.66716799999995</v>
      </c>
    </row>
    <row r="169" spans="2:13" x14ac:dyDescent="0.3">
      <c r="B169" s="1">
        <v>1158</v>
      </c>
      <c r="C169" s="2">
        <v>44956</v>
      </c>
      <c r="D169" s="1" t="s">
        <v>35</v>
      </c>
      <c r="E169" s="1" t="s">
        <v>88</v>
      </c>
      <c r="F169" s="1" t="s">
        <v>16</v>
      </c>
      <c r="G169" s="1">
        <v>355.11</v>
      </c>
      <c r="H169" s="1" t="s">
        <v>79</v>
      </c>
      <c r="I169" s="2">
        <v>28675</v>
      </c>
      <c r="J169" s="2">
        <v>44969</v>
      </c>
      <c r="K169" s="1">
        <v>40.58</v>
      </c>
      <c r="L169" s="4">
        <f>G169*K169%</f>
        <v>144.10363799999999</v>
      </c>
      <c r="M169" s="4">
        <f>G169-L169</f>
        <v>211.00636200000002</v>
      </c>
    </row>
    <row r="170" spans="2:13" x14ac:dyDescent="0.3">
      <c r="B170" s="1">
        <v>1282</v>
      </c>
      <c r="C170" s="2">
        <v>45045</v>
      </c>
      <c r="D170" s="1" t="s">
        <v>35</v>
      </c>
      <c r="E170" s="1" t="s">
        <v>65</v>
      </c>
      <c r="F170" s="1" t="s">
        <v>19</v>
      </c>
      <c r="G170" s="1">
        <v>1567.53</v>
      </c>
      <c r="H170" s="1" t="s">
        <v>148</v>
      </c>
      <c r="I170" s="2">
        <v>22007</v>
      </c>
      <c r="J170" s="2">
        <v>45049</v>
      </c>
      <c r="K170" s="1">
        <v>49</v>
      </c>
      <c r="L170" s="4">
        <f>G170*K170%</f>
        <v>768.08969999999999</v>
      </c>
      <c r="M170" s="4">
        <f>G170-L170</f>
        <v>799.44029999999998</v>
      </c>
    </row>
    <row r="171" spans="2:13" x14ac:dyDescent="0.3">
      <c r="B171" s="1">
        <v>1946</v>
      </c>
      <c r="C171" s="2">
        <v>45032</v>
      </c>
      <c r="D171" s="1" t="s">
        <v>35</v>
      </c>
      <c r="E171" s="1" t="s">
        <v>11</v>
      </c>
      <c r="F171" s="1" t="s">
        <v>12</v>
      </c>
      <c r="G171" s="1">
        <v>3412.98</v>
      </c>
      <c r="H171" s="1" t="s">
        <v>70</v>
      </c>
      <c r="I171" s="2">
        <v>30887</v>
      </c>
      <c r="J171" s="2">
        <v>45041</v>
      </c>
      <c r="K171" s="1">
        <v>43.36</v>
      </c>
      <c r="L171" s="4">
        <f>G171*K171%</f>
        <v>1479.8681280000001</v>
      </c>
      <c r="M171" s="4">
        <f>G171-L171</f>
        <v>1933.1118719999999</v>
      </c>
    </row>
    <row r="172" spans="2:13" x14ac:dyDescent="0.3">
      <c r="B172" s="1">
        <v>1387</v>
      </c>
      <c r="C172" s="2">
        <v>45862</v>
      </c>
      <c r="D172" s="1" t="s">
        <v>35</v>
      </c>
      <c r="E172" s="1" t="s">
        <v>22</v>
      </c>
      <c r="F172" s="1" t="s">
        <v>19</v>
      </c>
      <c r="G172" s="1">
        <v>3501.39</v>
      </c>
      <c r="H172" s="1" t="s">
        <v>70</v>
      </c>
      <c r="I172" s="2">
        <v>30887</v>
      </c>
      <c r="J172" s="2">
        <v>45867</v>
      </c>
      <c r="K172" s="1">
        <v>45.42</v>
      </c>
      <c r="L172" s="4">
        <f>G172*K172%</f>
        <v>1590.331338</v>
      </c>
      <c r="M172" s="4">
        <f>G172-L172</f>
        <v>1911.0586619999999</v>
      </c>
    </row>
    <row r="173" spans="2:13" x14ac:dyDescent="0.3">
      <c r="B173" s="1">
        <v>1219</v>
      </c>
      <c r="C173" s="2">
        <v>45412</v>
      </c>
      <c r="D173" s="1" t="s">
        <v>35</v>
      </c>
      <c r="E173" s="1" t="s">
        <v>53</v>
      </c>
      <c r="F173" s="1" t="s">
        <v>28</v>
      </c>
      <c r="G173" s="1">
        <v>808.73</v>
      </c>
      <c r="H173" s="1" t="s">
        <v>205</v>
      </c>
      <c r="I173" s="2">
        <v>27526</v>
      </c>
      <c r="J173" s="2">
        <v>45419</v>
      </c>
      <c r="K173" s="1">
        <v>8.61</v>
      </c>
      <c r="L173" s="4">
        <f>G173*K173%</f>
        <v>69.631653</v>
      </c>
      <c r="M173" s="4">
        <f>G173-L173</f>
        <v>739.09834699999999</v>
      </c>
    </row>
    <row r="174" spans="2:13" x14ac:dyDescent="0.3">
      <c r="B174" s="1">
        <v>1514</v>
      </c>
      <c r="C174" s="2">
        <v>44426</v>
      </c>
      <c r="D174" s="1" t="s">
        <v>35</v>
      </c>
      <c r="E174" s="1" t="s">
        <v>53</v>
      </c>
      <c r="F174" s="1" t="s">
        <v>28</v>
      </c>
      <c r="G174" s="1">
        <v>4324.25</v>
      </c>
      <c r="H174" s="1" t="s">
        <v>267</v>
      </c>
      <c r="I174" s="2">
        <v>38039</v>
      </c>
      <c r="J174" s="2">
        <v>44439</v>
      </c>
      <c r="K174" s="1">
        <v>17.28</v>
      </c>
      <c r="L174" s="4">
        <f>G174*K174%</f>
        <v>747.23040000000003</v>
      </c>
      <c r="M174" s="4">
        <f>G174-L174</f>
        <v>3577.0196000000001</v>
      </c>
    </row>
    <row r="175" spans="2:13" x14ac:dyDescent="0.3">
      <c r="B175" s="1">
        <v>1442</v>
      </c>
      <c r="C175" s="2">
        <v>45467</v>
      </c>
      <c r="D175" s="1" t="s">
        <v>35</v>
      </c>
      <c r="E175" s="1" t="s">
        <v>18</v>
      </c>
      <c r="F175" s="1" t="s">
        <v>19</v>
      </c>
      <c r="G175" s="1">
        <v>3350.42</v>
      </c>
      <c r="H175" s="1" t="s">
        <v>267</v>
      </c>
      <c r="I175" s="2">
        <v>38039</v>
      </c>
      <c r="J175" s="2">
        <v>45478</v>
      </c>
      <c r="K175" s="1">
        <v>31.35</v>
      </c>
      <c r="L175" s="4">
        <f>G175*K175%</f>
        <v>1050.3566700000001</v>
      </c>
      <c r="M175" s="4">
        <f>G175-L175</f>
        <v>2300.06333</v>
      </c>
    </row>
    <row r="176" spans="2:13" x14ac:dyDescent="0.3">
      <c r="B176" s="1">
        <v>1141</v>
      </c>
      <c r="C176" s="2">
        <v>45878</v>
      </c>
      <c r="D176" s="1" t="s">
        <v>35</v>
      </c>
      <c r="E176" s="1" t="s">
        <v>61</v>
      </c>
      <c r="F176" s="1" t="s">
        <v>19</v>
      </c>
      <c r="G176" s="1">
        <v>808</v>
      </c>
      <c r="H176" s="1" t="s">
        <v>78</v>
      </c>
      <c r="I176" s="2">
        <v>25099</v>
      </c>
      <c r="J176" s="2">
        <v>45883</v>
      </c>
      <c r="K176" s="1">
        <v>23.32</v>
      </c>
      <c r="L176" s="4">
        <f>G176*K176%</f>
        <v>188.4256</v>
      </c>
      <c r="M176" s="4">
        <f>G176-L176</f>
        <v>619.57439999999997</v>
      </c>
    </row>
    <row r="177" spans="2:13" x14ac:dyDescent="0.3">
      <c r="B177" s="1">
        <v>1707</v>
      </c>
      <c r="C177" s="2">
        <v>45213</v>
      </c>
      <c r="D177" s="1" t="s">
        <v>35</v>
      </c>
      <c r="E177" s="1" t="s">
        <v>73</v>
      </c>
      <c r="F177" s="1" t="s">
        <v>28</v>
      </c>
      <c r="G177" s="1">
        <v>963.24</v>
      </c>
      <c r="H177" s="1" t="s">
        <v>78</v>
      </c>
      <c r="I177" s="2">
        <v>25099</v>
      </c>
      <c r="J177" s="2">
        <v>45218</v>
      </c>
      <c r="K177" s="1">
        <v>46.92</v>
      </c>
      <c r="L177" s="4">
        <f>G177*K177%</f>
        <v>451.95220799999998</v>
      </c>
      <c r="M177" s="4">
        <f>G177-L177</f>
        <v>511.28779200000002</v>
      </c>
    </row>
    <row r="178" spans="2:13" x14ac:dyDescent="0.3">
      <c r="B178" s="1">
        <v>1500</v>
      </c>
      <c r="C178" s="2">
        <v>45298</v>
      </c>
      <c r="D178" s="1" t="s">
        <v>35</v>
      </c>
      <c r="E178" s="1" t="s">
        <v>88</v>
      </c>
      <c r="F178" s="1" t="s">
        <v>16</v>
      </c>
      <c r="G178" s="1">
        <v>3767.29</v>
      </c>
      <c r="H178" s="1" t="s">
        <v>215</v>
      </c>
      <c r="I178" s="2">
        <v>31386</v>
      </c>
      <c r="J178" s="2">
        <v>45310</v>
      </c>
      <c r="K178" s="1">
        <v>15.91</v>
      </c>
      <c r="L178" s="4">
        <f>G178*K178%</f>
        <v>599.37583899999993</v>
      </c>
      <c r="M178" s="4">
        <f>G178-L178</f>
        <v>3167.9141610000001</v>
      </c>
    </row>
    <row r="179" spans="2:13" x14ac:dyDescent="0.3">
      <c r="B179" s="1">
        <v>1596</v>
      </c>
      <c r="C179" s="2">
        <v>45749</v>
      </c>
      <c r="D179" s="1" t="s">
        <v>35</v>
      </c>
      <c r="E179" s="1" t="s">
        <v>58</v>
      </c>
      <c r="F179" s="1" t="s">
        <v>31</v>
      </c>
      <c r="G179" s="1">
        <v>3280.76</v>
      </c>
      <c r="H179" s="1" t="s">
        <v>215</v>
      </c>
      <c r="I179" s="2">
        <v>31386</v>
      </c>
      <c r="J179" s="2">
        <v>45763</v>
      </c>
      <c r="K179" s="1">
        <v>44.88</v>
      </c>
      <c r="L179" s="4">
        <f>G179*K179%</f>
        <v>1472.4050880000002</v>
      </c>
      <c r="M179" s="4">
        <f>G179-L179</f>
        <v>1808.354912</v>
      </c>
    </row>
    <row r="180" spans="2:13" x14ac:dyDescent="0.3">
      <c r="B180" s="1">
        <v>1239</v>
      </c>
      <c r="C180" s="2">
        <v>45792</v>
      </c>
      <c r="D180" s="1" t="s">
        <v>35</v>
      </c>
      <c r="E180" s="1" t="s">
        <v>27</v>
      </c>
      <c r="F180" s="1" t="s">
        <v>28</v>
      </c>
      <c r="G180" s="1">
        <v>2305.0300000000002</v>
      </c>
      <c r="H180" s="1" t="s">
        <v>215</v>
      </c>
      <c r="I180" s="2">
        <v>31386</v>
      </c>
      <c r="J180" s="2">
        <v>45803</v>
      </c>
      <c r="K180" s="1">
        <v>39.799999999999997</v>
      </c>
      <c r="L180" s="4">
        <f>G180*K180%</f>
        <v>917.40193999999997</v>
      </c>
      <c r="M180" s="4">
        <f>G180-L180</f>
        <v>1387.6280600000002</v>
      </c>
    </row>
    <row r="181" spans="2:13" x14ac:dyDescent="0.3">
      <c r="B181" s="1">
        <v>1036</v>
      </c>
      <c r="C181" s="2">
        <v>45035</v>
      </c>
      <c r="D181" s="1" t="s">
        <v>35</v>
      </c>
      <c r="E181" s="1" t="s">
        <v>58</v>
      </c>
      <c r="F181" s="1" t="s">
        <v>31</v>
      </c>
      <c r="G181" s="1">
        <v>3781.84</v>
      </c>
      <c r="H181" s="1" t="s">
        <v>77</v>
      </c>
      <c r="I181" s="2">
        <v>38696</v>
      </c>
      <c r="J181" s="2">
        <v>45038</v>
      </c>
      <c r="K181" s="1">
        <v>35.909999999999997</v>
      </c>
      <c r="L181" s="4">
        <f>G181*K181%</f>
        <v>1358.0587439999999</v>
      </c>
      <c r="M181" s="4">
        <f>G181-L181</f>
        <v>2423.7812560000002</v>
      </c>
    </row>
    <row r="182" spans="2:13" x14ac:dyDescent="0.3">
      <c r="B182" s="1">
        <v>1203</v>
      </c>
      <c r="C182" s="2">
        <v>45345</v>
      </c>
      <c r="D182" s="1" t="s">
        <v>35</v>
      </c>
      <c r="E182" s="1" t="s">
        <v>44</v>
      </c>
      <c r="F182" s="1" t="s">
        <v>16</v>
      </c>
      <c r="G182" s="1">
        <v>2358</v>
      </c>
      <c r="H182" s="1" t="s">
        <v>122</v>
      </c>
      <c r="I182" s="2">
        <v>29720</v>
      </c>
      <c r="J182" s="2">
        <v>45346</v>
      </c>
      <c r="K182" s="1">
        <v>47.61</v>
      </c>
      <c r="L182" s="4">
        <f>G182*K182%</f>
        <v>1122.6437999999998</v>
      </c>
      <c r="M182" s="4">
        <f>G182-L182</f>
        <v>1235.3562000000002</v>
      </c>
    </row>
    <row r="183" spans="2:13" x14ac:dyDescent="0.3">
      <c r="B183" s="1">
        <v>1187</v>
      </c>
      <c r="C183" s="2">
        <v>45444</v>
      </c>
      <c r="D183" s="1" t="s">
        <v>35</v>
      </c>
      <c r="E183" s="1" t="s">
        <v>71</v>
      </c>
      <c r="F183" s="1" t="s">
        <v>31</v>
      </c>
      <c r="G183" s="1">
        <v>1596.91</v>
      </c>
      <c r="H183" s="1" t="s">
        <v>122</v>
      </c>
      <c r="I183" s="2">
        <v>29720</v>
      </c>
      <c r="J183" s="2">
        <v>45453</v>
      </c>
      <c r="K183" s="1">
        <v>23.65</v>
      </c>
      <c r="L183" s="4">
        <f>G183*K183%</f>
        <v>377.66921500000001</v>
      </c>
      <c r="M183" s="4">
        <f>G183-L183</f>
        <v>1219.240785</v>
      </c>
    </row>
    <row r="184" spans="2:13" x14ac:dyDescent="0.3">
      <c r="B184" s="1">
        <v>1137</v>
      </c>
      <c r="C184" s="2">
        <v>44556</v>
      </c>
      <c r="D184" s="1" t="s">
        <v>35</v>
      </c>
      <c r="E184" s="1" t="s">
        <v>69</v>
      </c>
      <c r="F184" s="1" t="s">
        <v>31</v>
      </c>
      <c r="G184" s="1">
        <v>472.14</v>
      </c>
      <c r="H184" s="1" t="s">
        <v>155</v>
      </c>
      <c r="I184" s="2">
        <v>27688</v>
      </c>
      <c r="J184" s="2">
        <v>44558</v>
      </c>
      <c r="K184" s="1">
        <v>6.01</v>
      </c>
      <c r="L184" s="4">
        <f>G184*K184%</f>
        <v>28.375613999999999</v>
      </c>
      <c r="M184" s="4">
        <f>G184-L184</f>
        <v>443.764386</v>
      </c>
    </row>
    <row r="185" spans="2:13" x14ac:dyDescent="0.3">
      <c r="B185" s="1">
        <v>1490</v>
      </c>
      <c r="C185" s="2">
        <v>45262</v>
      </c>
      <c r="D185" s="1" t="s">
        <v>35</v>
      </c>
      <c r="E185" s="1" t="s">
        <v>55</v>
      </c>
      <c r="F185" s="1" t="s">
        <v>31</v>
      </c>
      <c r="G185" s="1">
        <v>3779.96</v>
      </c>
      <c r="H185" s="1" t="s">
        <v>281</v>
      </c>
      <c r="I185" s="2">
        <v>37927</v>
      </c>
      <c r="J185" s="2">
        <v>45266</v>
      </c>
      <c r="K185" s="1">
        <v>32.18</v>
      </c>
      <c r="L185" s="4">
        <f>G185*K185%</f>
        <v>1216.391128</v>
      </c>
      <c r="M185" s="4">
        <f>G185-L185</f>
        <v>2563.5688719999998</v>
      </c>
    </row>
    <row r="186" spans="2:13" x14ac:dyDescent="0.3">
      <c r="B186" s="1">
        <v>1331</v>
      </c>
      <c r="C186" s="2">
        <v>44685</v>
      </c>
      <c r="D186" s="1" t="s">
        <v>35</v>
      </c>
      <c r="E186" s="1" t="s">
        <v>73</v>
      </c>
      <c r="F186" s="1" t="s">
        <v>28</v>
      </c>
      <c r="G186" s="1">
        <v>942.65</v>
      </c>
      <c r="H186" s="1" t="s">
        <v>217</v>
      </c>
      <c r="I186" s="2">
        <v>36951</v>
      </c>
      <c r="J186" s="2">
        <v>44699</v>
      </c>
      <c r="K186" s="1">
        <v>6.77</v>
      </c>
      <c r="L186" s="4">
        <f>G186*K186%</f>
        <v>63.817404999999994</v>
      </c>
      <c r="M186" s="4">
        <f>G186-L186</f>
        <v>878.83259499999997</v>
      </c>
    </row>
    <row r="187" spans="2:13" x14ac:dyDescent="0.3">
      <c r="B187" s="1">
        <v>1633</v>
      </c>
      <c r="C187" s="2">
        <v>45644</v>
      </c>
      <c r="D187" s="1" t="s">
        <v>35</v>
      </c>
      <c r="E187" s="1" t="s">
        <v>73</v>
      </c>
      <c r="F187" s="1" t="s">
        <v>28</v>
      </c>
      <c r="G187" s="1">
        <v>4920.09</v>
      </c>
      <c r="H187" s="1" t="s">
        <v>230</v>
      </c>
      <c r="I187" s="2">
        <v>35642</v>
      </c>
      <c r="J187" s="2">
        <v>45645</v>
      </c>
      <c r="K187" s="1">
        <v>33.64</v>
      </c>
      <c r="L187" s="4">
        <f>G187*K187%</f>
        <v>1655.1182760000002</v>
      </c>
      <c r="M187" s="4">
        <f>G187-L187</f>
        <v>3264.971724</v>
      </c>
    </row>
    <row r="188" spans="2:13" x14ac:dyDescent="0.3">
      <c r="B188" s="1">
        <v>1600</v>
      </c>
      <c r="C188" s="2">
        <v>45120</v>
      </c>
      <c r="D188" s="1" t="s">
        <v>35</v>
      </c>
      <c r="E188" s="1" t="s">
        <v>61</v>
      </c>
      <c r="F188" s="1" t="s">
        <v>19</v>
      </c>
      <c r="G188" s="1">
        <v>4869.33</v>
      </c>
      <c r="H188" s="1" t="s">
        <v>230</v>
      </c>
      <c r="I188" s="2">
        <v>35642</v>
      </c>
      <c r="J188" s="2">
        <v>45125</v>
      </c>
      <c r="K188" s="1">
        <v>43.72</v>
      </c>
      <c r="L188" s="4">
        <f>G188*K188%</f>
        <v>2128.8710759999999</v>
      </c>
      <c r="M188" s="4">
        <f>G188-L188</f>
        <v>2740.458924</v>
      </c>
    </row>
    <row r="189" spans="2:13" x14ac:dyDescent="0.3">
      <c r="B189" s="1">
        <v>1944</v>
      </c>
      <c r="C189" s="2">
        <v>44115</v>
      </c>
      <c r="D189" s="1" t="s">
        <v>35</v>
      </c>
      <c r="E189" s="1" t="s">
        <v>38</v>
      </c>
      <c r="F189" s="1" t="s">
        <v>28</v>
      </c>
      <c r="G189" s="1">
        <v>2815.86</v>
      </c>
      <c r="H189" s="1" t="s">
        <v>230</v>
      </c>
      <c r="I189" s="2">
        <v>35642</v>
      </c>
      <c r="J189" s="2">
        <v>44119</v>
      </c>
      <c r="K189" s="1">
        <v>7.31</v>
      </c>
      <c r="L189" s="4">
        <f>G189*K189%</f>
        <v>205.83936600000001</v>
      </c>
      <c r="M189" s="4">
        <f>G189-L189</f>
        <v>2610.020634</v>
      </c>
    </row>
    <row r="190" spans="2:13" x14ac:dyDescent="0.3">
      <c r="B190" s="1">
        <v>1227</v>
      </c>
      <c r="C190" s="2">
        <v>45737</v>
      </c>
      <c r="D190" s="1" t="s">
        <v>35</v>
      </c>
      <c r="E190" s="1" t="s">
        <v>47</v>
      </c>
      <c r="F190" s="1" t="s">
        <v>12</v>
      </c>
      <c r="G190" s="1">
        <v>4335.8</v>
      </c>
      <c r="H190" s="1" t="s">
        <v>208</v>
      </c>
      <c r="I190" s="2">
        <v>32188</v>
      </c>
      <c r="J190" s="2">
        <v>45750</v>
      </c>
      <c r="K190" s="1">
        <v>9.0299999999999994</v>
      </c>
      <c r="L190" s="4">
        <f>G190*K190%</f>
        <v>391.52274</v>
      </c>
      <c r="M190" s="4">
        <f>G190-L190</f>
        <v>3944.2772600000003</v>
      </c>
    </row>
    <row r="191" spans="2:13" x14ac:dyDescent="0.3">
      <c r="B191" s="1">
        <v>1212</v>
      </c>
      <c r="C191" s="2">
        <v>45875</v>
      </c>
      <c r="D191" s="1" t="s">
        <v>35</v>
      </c>
      <c r="E191" s="1" t="s">
        <v>58</v>
      </c>
      <c r="F191" s="1" t="s">
        <v>31</v>
      </c>
      <c r="G191" s="1">
        <v>4735.45</v>
      </c>
      <c r="H191" s="1" t="s">
        <v>165</v>
      </c>
      <c r="I191" s="2">
        <v>29887</v>
      </c>
      <c r="J191" s="2">
        <v>45888</v>
      </c>
      <c r="K191" s="1">
        <v>31.17</v>
      </c>
      <c r="L191" s="4">
        <f>G191*K191%</f>
        <v>1476.039765</v>
      </c>
      <c r="M191" s="4">
        <f>G191-L191</f>
        <v>3259.4102349999998</v>
      </c>
    </row>
    <row r="192" spans="2:13" x14ac:dyDescent="0.3">
      <c r="B192" s="1">
        <v>1567</v>
      </c>
      <c r="C192" s="2">
        <v>44130</v>
      </c>
      <c r="D192" s="1" t="s">
        <v>35</v>
      </c>
      <c r="E192" s="1" t="s">
        <v>71</v>
      </c>
      <c r="F192" s="1" t="s">
        <v>31</v>
      </c>
      <c r="G192" s="1">
        <v>4057.09</v>
      </c>
      <c r="H192" s="1" t="s">
        <v>238</v>
      </c>
      <c r="I192" s="2">
        <v>31880</v>
      </c>
      <c r="J192" s="2">
        <v>44137</v>
      </c>
      <c r="K192" s="1">
        <v>10.09</v>
      </c>
      <c r="L192" s="4">
        <f>G192*K192%</f>
        <v>409.36038100000002</v>
      </c>
      <c r="M192" s="4">
        <f>G192-L192</f>
        <v>3647.7296190000002</v>
      </c>
    </row>
    <row r="193" spans="2:13" x14ac:dyDescent="0.3">
      <c r="B193" s="1">
        <v>1443</v>
      </c>
      <c r="C193" s="2">
        <v>44400</v>
      </c>
      <c r="D193" s="1" t="s">
        <v>35</v>
      </c>
      <c r="E193" s="1" t="s">
        <v>11</v>
      </c>
      <c r="F193" s="1" t="s">
        <v>12</v>
      </c>
      <c r="G193" s="1">
        <v>3643.84</v>
      </c>
      <c r="H193" s="1" t="s">
        <v>238</v>
      </c>
      <c r="I193" s="2">
        <v>31880</v>
      </c>
      <c r="J193" s="2">
        <v>44401</v>
      </c>
      <c r="K193" s="1">
        <v>18.11</v>
      </c>
      <c r="L193" s="4">
        <f>G193*K193%</f>
        <v>659.89942399999995</v>
      </c>
      <c r="M193" s="4">
        <f>G193-L193</f>
        <v>2983.940576</v>
      </c>
    </row>
    <row r="194" spans="2:13" x14ac:dyDescent="0.3">
      <c r="B194" s="1">
        <v>1528</v>
      </c>
      <c r="C194" s="2">
        <v>44800</v>
      </c>
      <c r="D194" s="1" t="s">
        <v>35</v>
      </c>
      <c r="E194" s="1" t="s">
        <v>15</v>
      </c>
      <c r="F194" s="1" t="s">
        <v>16</v>
      </c>
      <c r="G194" s="1">
        <v>4140.24</v>
      </c>
      <c r="H194" s="1" t="s">
        <v>290</v>
      </c>
      <c r="I194" s="2">
        <v>31764</v>
      </c>
      <c r="J194" s="2">
        <v>44810</v>
      </c>
      <c r="K194" s="1">
        <v>30.47</v>
      </c>
      <c r="L194" s="4">
        <f>G194*K194%</f>
        <v>1261.5311279999999</v>
      </c>
      <c r="M194" s="4">
        <f>G194-L194</f>
        <v>2878.7088720000002</v>
      </c>
    </row>
    <row r="195" spans="2:13" x14ac:dyDescent="0.3">
      <c r="B195" s="1">
        <v>1604</v>
      </c>
      <c r="C195" s="2">
        <v>44827</v>
      </c>
      <c r="D195" s="1" t="s">
        <v>35</v>
      </c>
      <c r="E195" s="1" t="s">
        <v>18</v>
      </c>
      <c r="F195" s="1" t="s">
        <v>19</v>
      </c>
      <c r="G195" s="1">
        <v>3004.02</v>
      </c>
      <c r="H195" s="1" t="s">
        <v>290</v>
      </c>
      <c r="I195" s="2">
        <v>31764</v>
      </c>
      <c r="J195" s="2">
        <v>44835</v>
      </c>
      <c r="K195" s="1">
        <v>44.09</v>
      </c>
      <c r="L195" s="4">
        <f>G195*K195%</f>
        <v>1324.4724180000001</v>
      </c>
      <c r="M195" s="4">
        <f>G195-L195</f>
        <v>1679.5475819999999</v>
      </c>
    </row>
    <row r="196" spans="2:13" x14ac:dyDescent="0.3">
      <c r="B196" s="1">
        <v>1841</v>
      </c>
      <c r="C196" s="2">
        <v>44368</v>
      </c>
      <c r="D196" s="1" t="s">
        <v>35</v>
      </c>
      <c r="E196" s="1" t="s">
        <v>73</v>
      </c>
      <c r="F196" s="1" t="s">
        <v>28</v>
      </c>
      <c r="G196" s="1">
        <v>3523.01</v>
      </c>
      <c r="H196" s="1" t="s">
        <v>270</v>
      </c>
      <c r="I196" s="2">
        <v>23245</v>
      </c>
      <c r="J196" s="2">
        <v>44379</v>
      </c>
      <c r="K196" s="1">
        <v>22.07</v>
      </c>
      <c r="L196" s="4">
        <f>G196*K196%</f>
        <v>777.52830700000004</v>
      </c>
      <c r="M196" s="4">
        <f>G196-L196</f>
        <v>2745.4816930000002</v>
      </c>
    </row>
    <row r="197" spans="2:13" x14ac:dyDescent="0.3">
      <c r="B197" s="1">
        <v>1447</v>
      </c>
      <c r="C197" s="2">
        <v>45287</v>
      </c>
      <c r="D197" s="1" t="s">
        <v>35</v>
      </c>
      <c r="E197" s="1" t="s">
        <v>88</v>
      </c>
      <c r="F197" s="1" t="s">
        <v>16</v>
      </c>
      <c r="G197" s="1">
        <v>432.26</v>
      </c>
      <c r="H197" s="1" t="s">
        <v>270</v>
      </c>
      <c r="I197" s="2">
        <v>23245</v>
      </c>
      <c r="J197" s="2">
        <v>45288</v>
      </c>
      <c r="K197" s="1">
        <v>8.39</v>
      </c>
      <c r="L197" s="4">
        <f>G197*K197%</f>
        <v>36.266613999999997</v>
      </c>
      <c r="M197" s="4">
        <f>G197-L197</f>
        <v>395.99338599999999</v>
      </c>
    </row>
    <row r="198" spans="2:13" x14ac:dyDescent="0.3">
      <c r="B198" s="1">
        <v>1290</v>
      </c>
      <c r="C198" s="2">
        <v>44419</v>
      </c>
      <c r="D198" s="1" t="s">
        <v>35</v>
      </c>
      <c r="E198" s="1" t="s">
        <v>58</v>
      </c>
      <c r="F198" s="1" t="s">
        <v>31</v>
      </c>
      <c r="G198" s="1">
        <v>3547.69</v>
      </c>
      <c r="H198" s="1" t="s">
        <v>90</v>
      </c>
      <c r="I198" s="2">
        <v>29348</v>
      </c>
      <c r="J198" s="2">
        <v>44423</v>
      </c>
      <c r="K198" s="1">
        <v>29.29</v>
      </c>
      <c r="L198" s="4">
        <f>G198*K198%</f>
        <v>1039.1184009999999</v>
      </c>
      <c r="M198" s="4">
        <f>G198-L198</f>
        <v>2508.5715989999999</v>
      </c>
    </row>
    <row r="199" spans="2:13" x14ac:dyDescent="0.3">
      <c r="B199" s="1">
        <v>1247</v>
      </c>
      <c r="C199" s="2">
        <v>44653</v>
      </c>
      <c r="D199" s="1" t="s">
        <v>35</v>
      </c>
      <c r="E199" s="1" t="s">
        <v>38</v>
      </c>
      <c r="F199" s="1" t="s">
        <v>28</v>
      </c>
      <c r="G199" s="1">
        <v>4464.93</v>
      </c>
      <c r="H199" s="1" t="s">
        <v>194</v>
      </c>
      <c r="I199" s="2">
        <v>22210</v>
      </c>
      <c r="J199" s="2">
        <v>44658</v>
      </c>
      <c r="K199" s="1">
        <v>42.78</v>
      </c>
      <c r="L199" s="4">
        <f>G199*K199%</f>
        <v>1910.0970540000003</v>
      </c>
      <c r="M199" s="4">
        <f>G199-L199</f>
        <v>2554.832946</v>
      </c>
    </row>
    <row r="200" spans="2:13" x14ac:dyDescent="0.3">
      <c r="B200" s="1">
        <v>1476</v>
      </c>
      <c r="C200" s="2">
        <v>44568</v>
      </c>
      <c r="D200" s="1" t="s">
        <v>35</v>
      </c>
      <c r="E200" s="1" t="s">
        <v>69</v>
      </c>
      <c r="F200" s="1" t="s">
        <v>12</v>
      </c>
      <c r="G200" s="1">
        <v>644.57000000000005</v>
      </c>
      <c r="H200" s="1" t="s">
        <v>194</v>
      </c>
      <c r="I200" s="2">
        <v>22210</v>
      </c>
      <c r="J200" s="2">
        <v>44576</v>
      </c>
      <c r="K200" s="1">
        <v>26.36</v>
      </c>
      <c r="L200" s="4">
        <f>G200*K200%</f>
        <v>169.90865200000002</v>
      </c>
      <c r="M200" s="4">
        <f>G200-L200</f>
        <v>474.66134800000003</v>
      </c>
    </row>
    <row r="201" spans="2:13" x14ac:dyDescent="0.3">
      <c r="B201" s="1">
        <v>1714</v>
      </c>
      <c r="C201" s="2">
        <v>44594</v>
      </c>
      <c r="D201" s="1" t="s">
        <v>35</v>
      </c>
      <c r="E201" s="1" t="s">
        <v>65</v>
      </c>
      <c r="F201" s="1" t="s">
        <v>19</v>
      </c>
      <c r="G201" s="1">
        <v>3533.67</v>
      </c>
      <c r="H201" s="1" t="s">
        <v>289</v>
      </c>
      <c r="I201" s="2">
        <v>21923</v>
      </c>
      <c r="J201" s="2">
        <v>44607</v>
      </c>
      <c r="K201" s="1">
        <v>1.1299999999999999</v>
      </c>
      <c r="L201" s="4">
        <f>G201*K201%</f>
        <v>39.930470999999997</v>
      </c>
      <c r="M201" s="4">
        <f>G201-L201</f>
        <v>3493.7395289999999</v>
      </c>
    </row>
    <row r="202" spans="2:13" x14ac:dyDescent="0.3">
      <c r="B202" s="1">
        <v>1592</v>
      </c>
      <c r="C202" s="2">
        <v>45242</v>
      </c>
      <c r="D202" s="1" t="s">
        <v>35</v>
      </c>
      <c r="E202" s="1" t="s">
        <v>40</v>
      </c>
      <c r="F202" s="1" t="s">
        <v>16</v>
      </c>
      <c r="G202" s="1">
        <v>1354.64</v>
      </c>
      <c r="H202" s="1" t="s">
        <v>289</v>
      </c>
      <c r="I202" s="2">
        <v>21923</v>
      </c>
      <c r="J202" s="2">
        <v>45248</v>
      </c>
      <c r="K202" s="1">
        <v>49.02</v>
      </c>
      <c r="L202" s="4">
        <f>G202*K202%</f>
        <v>664.04452800000013</v>
      </c>
      <c r="M202" s="4">
        <f>G202-L202</f>
        <v>690.59547199999997</v>
      </c>
    </row>
    <row r="203" spans="2:13" x14ac:dyDescent="0.3">
      <c r="B203" s="1">
        <v>1522</v>
      </c>
      <c r="C203" s="2">
        <v>44205</v>
      </c>
      <c r="D203" s="1" t="s">
        <v>35</v>
      </c>
      <c r="E203" s="1" t="s">
        <v>49</v>
      </c>
      <c r="F203" s="1" t="s">
        <v>12</v>
      </c>
      <c r="G203" s="1">
        <v>512.12</v>
      </c>
      <c r="H203" s="1" t="s">
        <v>289</v>
      </c>
      <c r="I203" s="2">
        <v>21923</v>
      </c>
      <c r="J203" s="2">
        <v>44219</v>
      </c>
      <c r="K203" s="1">
        <v>11.52</v>
      </c>
      <c r="L203" s="4">
        <f>G203*K203%</f>
        <v>58.996223999999998</v>
      </c>
      <c r="M203" s="4">
        <f>G203-L203</f>
        <v>453.12377600000002</v>
      </c>
    </row>
    <row r="204" spans="2:13" x14ac:dyDescent="0.3">
      <c r="B204" s="1">
        <v>1394</v>
      </c>
      <c r="C204" s="2">
        <v>45042</v>
      </c>
      <c r="D204" s="1" t="s">
        <v>35</v>
      </c>
      <c r="E204" s="1" t="s">
        <v>49</v>
      </c>
      <c r="F204" s="1" t="s">
        <v>12</v>
      </c>
      <c r="G204" s="1">
        <v>356.79</v>
      </c>
      <c r="H204" s="1" t="s">
        <v>107</v>
      </c>
      <c r="I204" s="2">
        <v>26671</v>
      </c>
      <c r="J204" s="2">
        <v>45055</v>
      </c>
      <c r="K204" s="1">
        <v>14.06</v>
      </c>
      <c r="L204" s="4">
        <f>G204*K204%</f>
        <v>50.164674000000005</v>
      </c>
      <c r="M204" s="4">
        <f>G204-L204</f>
        <v>306.62532600000003</v>
      </c>
    </row>
    <row r="205" spans="2:13" x14ac:dyDescent="0.3">
      <c r="B205" s="1">
        <v>1057</v>
      </c>
      <c r="C205" s="2">
        <v>44784</v>
      </c>
      <c r="D205" s="1" t="s">
        <v>35</v>
      </c>
      <c r="E205" s="1" t="s">
        <v>53</v>
      </c>
      <c r="F205" s="1" t="s">
        <v>28</v>
      </c>
      <c r="G205" s="1">
        <v>2471.33</v>
      </c>
      <c r="H205" s="1" t="s">
        <v>32</v>
      </c>
      <c r="I205" s="2">
        <v>27166</v>
      </c>
      <c r="J205" s="2">
        <v>44788</v>
      </c>
      <c r="K205" s="1">
        <v>19.45</v>
      </c>
      <c r="L205" s="4">
        <f>G205*K205%</f>
        <v>480.67368499999998</v>
      </c>
      <c r="M205" s="4">
        <f>G205-L205</f>
        <v>1990.6563149999999</v>
      </c>
    </row>
    <row r="206" spans="2:13" x14ac:dyDescent="0.3">
      <c r="B206" s="1">
        <v>1150</v>
      </c>
      <c r="C206" s="2">
        <v>45252</v>
      </c>
      <c r="D206" s="1" t="s">
        <v>35</v>
      </c>
      <c r="E206" s="1" t="s">
        <v>69</v>
      </c>
      <c r="F206" s="1" t="s">
        <v>12</v>
      </c>
      <c r="G206" s="1">
        <v>3821.32</v>
      </c>
      <c r="H206" s="1" t="s">
        <v>164</v>
      </c>
      <c r="I206" s="2">
        <v>28046</v>
      </c>
      <c r="J206" s="2">
        <v>45263</v>
      </c>
      <c r="K206" s="1">
        <v>26.4</v>
      </c>
      <c r="L206" s="4">
        <f>G206*K206%</f>
        <v>1008.8284800000001</v>
      </c>
      <c r="M206" s="4">
        <f>G206-L206</f>
        <v>2812.49152</v>
      </c>
    </row>
    <row r="207" spans="2:13" x14ac:dyDescent="0.3">
      <c r="B207" s="1">
        <v>1862</v>
      </c>
      <c r="C207" s="2">
        <v>45341</v>
      </c>
      <c r="D207" s="1" t="s">
        <v>35</v>
      </c>
      <c r="E207" s="1" t="s">
        <v>30</v>
      </c>
      <c r="F207" s="1" t="s">
        <v>31</v>
      </c>
      <c r="G207" s="1">
        <v>4132.25</v>
      </c>
      <c r="H207" s="1" t="s">
        <v>259</v>
      </c>
      <c r="I207" s="2">
        <v>29938</v>
      </c>
      <c r="J207" s="2">
        <v>45351</v>
      </c>
      <c r="K207" s="1">
        <v>5.89</v>
      </c>
      <c r="L207" s="4">
        <f>G207*K207%</f>
        <v>243.38952499999996</v>
      </c>
      <c r="M207" s="4">
        <f>G207-L207</f>
        <v>3888.860475</v>
      </c>
    </row>
    <row r="208" spans="2:13" x14ac:dyDescent="0.3">
      <c r="B208" s="1">
        <v>1926</v>
      </c>
      <c r="C208" s="2">
        <v>44778</v>
      </c>
      <c r="D208" s="1" t="s">
        <v>35</v>
      </c>
      <c r="E208" s="1" t="s">
        <v>73</v>
      </c>
      <c r="F208" s="1" t="s">
        <v>28</v>
      </c>
      <c r="G208" s="1">
        <v>4978.8</v>
      </c>
      <c r="H208" s="1" t="s">
        <v>252</v>
      </c>
      <c r="I208" s="2">
        <v>34209</v>
      </c>
      <c r="J208" s="2">
        <v>44790</v>
      </c>
      <c r="K208" s="1">
        <v>19.88</v>
      </c>
      <c r="L208" s="4">
        <f>G208*K208%</f>
        <v>989.78543999999988</v>
      </c>
      <c r="M208" s="4">
        <f>G208-L208</f>
        <v>3989.0145600000005</v>
      </c>
    </row>
    <row r="209" spans="2:13" x14ac:dyDescent="0.3">
      <c r="B209" s="1">
        <v>1626</v>
      </c>
      <c r="C209" s="2">
        <v>44331</v>
      </c>
      <c r="D209" s="1" t="s">
        <v>35</v>
      </c>
      <c r="E209" s="1" t="s">
        <v>24</v>
      </c>
      <c r="F209" s="1" t="s">
        <v>19</v>
      </c>
      <c r="G209" s="1">
        <v>3711.17</v>
      </c>
      <c r="H209" s="1" t="s">
        <v>124</v>
      </c>
      <c r="I209" s="2">
        <v>30786</v>
      </c>
      <c r="J209" s="2">
        <v>44333</v>
      </c>
      <c r="K209" s="1">
        <v>2.41</v>
      </c>
      <c r="L209" s="4">
        <f>G209*K209%</f>
        <v>89.439197000000007</v>
      </c>
      <c r="M209" s="4">
        <f>G209-L209</f>
        <v>3621.7308029999999</v>
      </c>
    </row>
    <row r="210" spans="2:13" x14ac:dyDescent="0.3">
      <c r="B210" s="1">
        <v>1478</v>
      </c>
      <c r="C210" s="2">
        <v>44951</v>
      </c>
      <c r="D210" s="1" t="s">
        <v>35</v>
      </c>
      <c r="E210" s="1" t="s">
        <v>33</v>
      </c>
      <c r="F210" s="1" t="s">
        <v>16</v>
      </c>
      <c r="G210" s="1">
        <v>3161.42</v>
      </c>
      <c r="H210" s="1" t="s">
        <v>124</v>
      </c>
      <c r="I210" s="2">
        <v>30786</v>
      </c>
      <c r="J210" s="2">
        <v>44952</v>
      </c>
      <c r="K210" s="1">
        <v>47.23</v>
      </c>
      <c r="L210" s="4">
        <f>G210*K210%</f>
        <v>1493.1386659999998</v>
      </c>
      <c r="M210" s="4">
        <f>G210-L210</f>
        <v>1668.2813340000002</v>
      </c>
    </row>
    <row r="211" spans="2:13" x14ac:dyDescent="0.3">
      <c r="B211" s="1">
        <v>1516</v>
      </c>
      <c r="C211" s="2">
        <v>45407</v>
      </c>
      <c r="D211" s="1" t="s">
        <v>35</v>
      </c>
      <c r="E211" s="1" t="s">
        <v>53</v>
      </c>
      <c r="F211" s="1" t="s">
        <v>28</v>
      </c>
      <c r="G211" s="1">
        <v>4842.41</v>
      </c>
      <c r="H211" s="1" t="s">
        <v>111</v>
      </c>
      <c r="I211" s="2">
        <v>34704</v>
      </c>
      <c r="J211" s="2">
        <v>45416</v>
      </c>
      <c r="K211" s="1">
        <v>30.21</v>
      </c>
      <c r="L211" s="4">
        <f>G211*K211%</f>
        <v>1462.8920610000002</v>
      </c>
      <c r="M211" s="4">
        <f>G211-L211</f>
        <v>3379.5179389999994</v>
      </c>
    </row>
    <row r="212" spans="2:13" x14ac:dyDescent="0.3">
      <c r="B212" s="1">
        <v>1317</v>
      </c>
      <c r="C212" s="2">
        <v>44407</v>
      </c>
      <c r="D212" s="1" t="s">
        <v>26</v>
      </c>
      <c r="E212" s="1" t="s">
        <v>15</v>
      </c>
      <c r="F212" s="1" t="s">
        <v>16</v>
      </c>
      <c r="G212" s="1">
        <v>4105.88</v>
      </c>
      <c r="H212" s="1" t="s">
        <v>118</v>
      </c>
      <c r="I212" s="2">
        <v>22599</v>
      </c>
      <c r="J212" s="2">
        <v>44414</v>
      </c>
      <c r="K212" s="1">
        <v>36.520000000000003</v>
      </c>
      <c r="L212" s="4">
        <f>G212*K212%</f>
        <v>1499.4673760000001</v>
      </c>
      <c r="M212" s="4">
        <f>G212-L212</f>
        <v>2606.4126240000001</v>
      </c>
    </row>
    <row r="213" spans="2:13" x14ac:dyDescent="0.3">
      <c r="B213" s="1">
        <v>1314</v>
      </c>
      <c r="C213" s="2">
        <v>44171</v>
      </c>
      <c r="D213" s="1" t="s">
        <v>26</v>
      </c>
      <c r="E213" s="1" t="s">
        <v>30</v>
      </c>
      <c r="F213" s="1" t="s">
        <v>31</v>
      </c>
      <c r="G213" s="1">
        <v>333.41</v>
      </c>
      <c r="H213" s="1" t="s">
        <v>241</v>
      </c>
      <c r="I213" s="2">
        <v>31880</v>
      </c>
      <c r="J213" s="2">
        <v>44182</v>
      </c>
      <c r="K213" s="1">
        <v>46.12</v>
      </c>
      <c r="L213" s="4">
        <f>G213*K213%</f>
        <v>153.76869200000002</v>
      </c>
      <c r="M213" s="4">
        <f>G213-L213</f>
        <v>179.64130800000001</v>
      </c>
    </row>
    <row r="214" spans="2:13" x14ac:dyDescent="0.3">
      <c r="B214" s="1">
        <v>1966</v>
      </c>
      <c r="C214" s="2">
        <v>44086</v>
      </c>
      <c r="D214" s="1" t="s">
        <v>26</v>
      </c>
      <c r="E214" s="1" t="s">
        <v>65</v>
      </c>
      <c r="F214" s="1" t="s">
        <v>19</v>
      </c>
      <c r="G214" s="1">
        <v>2299.33</v>
      </c>
      <c r="H214" s="1" t="s">
        <v>84</v>
      </c>
      <c r="I214" s="2">
        <v>26472</v>
      </c>
      <c r="J214" s="2">
        <v>44095</v>
      </c>
      <c r="K214" s="1">
        <v>27.15</v>
      </c>
      <c r="L214" s="4">
        <f>G214*K214%</f>
        <v>624.2680949999999</v>
      </c>
      <c r="M214" s="4">
        <f>G214-L214</f>
        <v>1675.061905</v>
      </c>
    </row>
    <row r="215" spans="2:13" x14ac:dyDescent="0.3">
      <c r="B215" s="1">
        <v>1559</v>
      </c>
      <c r="C215" s="2">
        <v>44310</v>
      </c>
      <c r="D215" s="1" t="s">
        <v>26</v>
      </c>
      <c r="E215" s="1" t="s">
        <v>73</v>
      </c>
      <c r="F215" s="1" t="s">
        <v>28</v>
      </c>
      <c r="G215" s="1">
        <v>2973.2</v>
      </c>
      <c r="H215" s="1" t="s">
        <v>93</v>
      </c>
      <c r="I215" s="2">
        <v>33984</v>
      </c>
      <c r="J215" s="2">
        <v>44312</v>
      </c>
      <c r="K215" s="1">
        <v>43.08</v>
      </c>
      <c r="L215" s="4">
        <f>G215*K215%</f>
        <v>1280.8545599999998</v>
      </c>
      <c r="M215" s="4">
        <f>G215-L215</f>
        <v>1692.3454400000001</v>
      </c>
    </row>
    <row r="216" spans="2:13" x14ac:dyDescent="0.3">
      <c r="B216" s="1">
        <v>1614</v>
      </c>
      <c r="C216" s="2">
        <v>45413</v>
      </c>
      <c r="D216" s="1" t="s">
        <v>26</v>
      </c>
      <c r="E216" s="1" t="s">
        <v>71</v>
      </c>
      <c r="F216" s="1" t="s">
        <v>31</v>
      </c>
      <c r="G216" s="1">
        <v>747.04</v>
      </c>
      <c r="H216" s="1" t="s">
        <v>274</v>
      </c>
      <c r="I216" s="2">
        <v>34557</v>
      </c>
      <c r="J216" s="2">
        <v>45415</v>
      </c>
      <c r="K216" s="1">
        <v>8.34</v>
      </c>
      <c r="L216" s="4">
        <f>G216*K216%</f>
        <v>62.303135999999995</v>
      </c>
      <c r="M216" s="4">
        <f>G216-L216</f>
        <v>684.73686399999997</v>
      </c>
    </row>
    <row r="217" spans="2:13" x14ac:dyDescent="0.3">
      <c r="B217" s="1">
        <v>1380</v>
      </c>
      <c r="C217" s="2">
        <v>44767</v>
      </c>
      <c r="D217" s="1" t="s">
        <v>26</v>
      </c>
      <c r="E217" s="1" t="s">
        <v>65</v>
      </c>
      <c r="F217" s="1" t="s">
        <v>19</v>
      </c>
      <c r="G217" s="1">
        <v>2690.03</v>
      </c>
      <c r="H217" s="1" t="s">
        <v>199</v>
      </c>
      <c r="I217" s="2">
        <v>25341</v>
      </c>
      <c r="J217" s="2">
        <v>44776</v>
      </c>
      <c r="K217" s="1">
        <v>33.44</v>
      </c>
      <c r="L217" s="4">
        <f>G217*K217%</f>
        <v>899.54603199999997</v>
      </c>
      <c r="M217" s="4">
        <f>G217-L217</f>
        <v>1790.4839680000002</v>
      </c>
    </row>
    <row r="218" spans="2:13" x14ac:dyDescent="0.3">
      <c r="B218" s="1">
        <v>1853</v>
      </c>
      <c r="C218" s="2">
        <v>45761</v>
      </c>
      <c r="D218" s="1" t="s">
        <v>26</v>
      </c>
      <c r="E218" s="1" t="s">
        <v>44</v>
      </c>
      <c r="F218" s="1" t="s">
        <v>16</v>
      </c>
      <c r="G218" s="1">
        <v>4847.57</v>
      </c>
      <c r="H218" s="1" t="s">
        <v>129</v>
      </c>
      <c r="I218" s="2">
        <v>26668</v>
      </c>
      <c r="J218" s="2">
        <v>45774</v>
      </c>
      <c r="K218" s="1">
        <v>20.95</v>
      </c>
      <c r="L218" s="4">
        <f>G218*K218%</f>
        <v>1015.5659149999999</v>
      </c>
      <c r="M218" s="4">
        <f>G218-L218</f>
        <v>3832.0040849999996</v>
      </c>
    </row>
    <row r="219" spans="2:13" x14ac:dyDescent="0.3">
      <c r="B219" s="1">
        <v>1101</v>
      </c>
      <c r="C219" s="2">
        <v>44098</v>
      </c>
      <c r="D219" s="1" t="s">
        <v>26</v>
      </c>
      <c r="E219" s="1" t="s">
        <v>73</v>
      </c>
      <c r="F219" s="1" t="s">
        <v>28</v>
      </c>
      <c r="G219" s="1">
        <v>4356.8599999999997</v>
      </c>
      <c r="H219" s="1" t="s">
        <v>129</v>
      </c>
      <c r="I219" s="2">
        <v>26668</v>
      </c>
      <c r="J219" s="2">
        <v>44104</v>
      </c>
      <c r="K219" s="1">
        <v>15.96</v>
      </c>
      <c r="L219" s="4">
        <f>G219*K219%</f>
        <v>695.35485600000004</v>
      </c>
      <c r="M219" s="4">
        <f>G219-L219</f>
        <v>3661.5051439999997</v>
      </c>
    </row>
    <row r="220" spans="2:13" x14ac:dyDescent="0.3">
      <c r="B220" s="1">
        <v>1269</v>
      </c>
      <c r="C220" s="2">
        <v>44135</v>
      </c>
      <c r="D220" s="1" t="s">
        <v>26</v>
      </c>
      <c r="E220" s="1" t="s">
        <v>65</v>
      </c>
      <c r="F220" s="1" t="s">
        <v>19</v>
      </c>
      <c r="G220" s="1">
        <v>800.68</v>
      </c>
      <c r="H220" s="1" t="s">
        <v>129</v>
      </c>
      <c r="I220" s="2">
        <v>26668</v>
      </c>
      <c r="J220" s="2">
        <v>44142</v>
      </c>
      <c r="K220" s="1">
        <v>13.26</v>
      </c>
      <c r="L220" s="4">
        <f>G220*K220%</f>
        <v>106.17016799999999</v>
      </c>
      <c r="M220" s="4">
        <f>G220-L220</f>
        <v>694.50983199999996</v>
      </c>
    </row>
    <row r="221" spans="2:13" x14ac:dyDescent="0.3">
      <c r="B221" s="1">
        <v>1452</v>
      </c>
      <c r="C221" s="2">
        <v>45342</v>
      </c>
      <c r="D221" s="1" t="s">
        <v>26</v>
      </c>
      <c r="E221" s="1" t="s">
        <v>61</v>
      </c>
      <c r="F221" s="1" t="s">
        <v>19</v>
      </c>
      <c r="G221" s="1">
        <v>2271.75</v>
      </c>
      <c r="H221" s="1" t="s">
        <v>96</v>
      </c>
      <c r="I221" s="2">
        <v>36236</v>
      </c>
      <c r="J221" s="2">
        <v>45348</v>
      </c>
      <c r="K221" s="1">
        <v>15.35</v>
      </c>
      <c r="L221" s="4">
        <f>G221*K221%</f>
        <v>348.71362499999998</v>
      </c>
      <c r="M221" s="4">
        <f>G221-L221</f>
        <v>1923.0363750000001</v>
      </c>
    </row>
    <row r="222" spans="2:13" x14ac:dyDescent="0.3">
      <c r="B222" s="1">
        <v>1385</v>
      </c>
      <c r="C222" s="2">
        <v>44680</v>
      </c>
      <c r="D222" s="1" t="s">
        <v>26</v>
      </c>
      <c r="E222" s="1" t="s">
        <v>22</v>
      </c>
      <c r="F222" s="1" t="s">
        <v>19</v>
      </c>
      <c r="G222" s="1">
        <v>720.99</v>
      </c>
      <c r="H222" s="1" t="s">
        <v>96</v>
      </c>
      <c r="I222" s="2">
        <v>36236</v>
      </c>
      <c r="J222" s="2">
        <v>44694</v>
      </c>
      <c r="K222" s="1">
        <v>24</v>
      </c>
      <c r="L222" s="4">
        <f>G222*K222%</f>
        <v>173.0376</v>
      </c>
      <c r="M222" s="4">
        <f>G222-L222</f>
        <v>547.95240000000001</v>
      </c>
    </row>
    <row r="223" spans="2:13" x14ac:dyDescent="0.3">
      <c r="B223" s="1">
        <v>1681</v>
      </c>
      <c r="C223" s="2">
        <v>44233</v>
      </c>
      <c r="D223" s="1" t="s">
        <v>26</v>
      </c>
      <c r="E223" s="1" t="s">
        <v>69</v>
      </c>
      <c r="F223" s="1" t="s">
        <v>12</v>
      </c>
      <c r="G223" s="1">
        <v>3113.17</v>
      </c>
      <c r="H223" s="1" t="s">
        <v>276</v>
      </c>
      <c r="I223" s="2">
        <v>33394</v>
      </c>
      <c r="J223" s="2">
        <v>44244</v>
      </c>
      <c r="K223" s="1">
        <v>1.17</v>
      </c>
      <c r="L223" s="4">
        <f>G223*K223%</f>
        <v>36.424088999999995</v>
      </c>
      <c r="M223" s="4">
        <f>G223-L223</f>
        <v>3076.745911</v>
      </c>
    </row>
    <row r="224" spans="2:13" x14ac:dyDescent="0.3">
      <c r="B224" s="1">
        <v>1749</v>
      </c>
      <c r="C224" s="2">
        <v>45202</v>
      </c>
      <c r="D224" s="1" t="s">
        <v>26</v>
      </c>
      <c r="E224" s="1" t="s">
        <v>58</v>
      </c>
      <c r="F224" s="1" t="s">
        <v>31</v>
      </c>
      <c r="G224" s="1">
        <v>3999.39</v>
      </c>
      <c r="H224" s="1" t="s">
        <v>276</v>
      </c>
      <c r="I224" s="2">
        <v>33394</v>
      </c>
      <c r="J224" s="2">
        <v>45207</v>
      </c>
      <c r="K224" s="1">
        <v>48.78</v>
      </c>
      <c r="L224" s="4">
        <f>G224*K224%</f>
        <v>1950.9024420000001</v>
      </c>
      <c r="M224" s="4">
        <f>G224-L224</f>
        <v>2048.4875579999998</v>
      </c>
    </row>
    <row r="225" spans="2:13" x14ac:dyDescent="0.3">
      <c r="B225" s="1">
        <v>1346</v>
      </c>
      <c r="C225" s="2">
        <v>44107</v>
      </c>
      <c r="D225" s="1" t="s">
        <v>26</v>
      </c>
      <c r="E225" s="1" t="s">
        <v>47</v>
      </c>
      <c r="F225" s="1" t="s">
        <v>12</v>
      </c>
      <c r="G225" s="1">
        <v>2617.19</v>
      </c>
      <c r="H225" s="1" t="s">
        <v>94</v>
      </c>
      <c r="I225" s="2">
        <v>25516</v>
      </c>
      <c r="J225" s="2">
        <v>44110</v>
      </c>
      <c r="K225" s="1">
        <v>16.489999999999998</v>
      </c>
      <c r="L225" s="4">
        <f>G225*K225%</f>
        <v>431.57463100000001</v>
      </c>
      <c r="M225" s="4">
        <f>G225-L225</f>
        <v>2185.6153690000001</v>
      </c>
    </row>
    <row r="226" spans="2:13" x14ac:dyDescent="0.3">
      <c r="B226" s="1">
        <v>1267</v>
      </c>
      <c r="C226" s="2">
        <v>44454</v>
      </c>
      <c r="D226" s="1" t="s">
        <v>26</v>
      </c>
      <c r="E226" s="1" t="s">
        <v>36</v>
      </c>
      <c r="F226" s="1" t="s">
        <v>28</v>
      </c>
      <c r="G226" s="1">
        <v>175.11</v>
      </c>
      <c r="H226" s="1" t="s">
        <v>224</v>
      </c>
      <c r="I226" s="2">
        <v>35405</v>
      </c>
      <c r="J226" s="2">
        <v>44461</v>
      </c>
      <c r="K226" s="1">
        <v>23.84</v>
      </c>
      <c r="L226" s="4">
        <f>G226*K226%</f>
        <v>41.746224000000005</v>
      </c>
      <c r="M226" s="4">
        <f>G226-L226</f>
        <v>133.363776</v>
      </c>
    </row>
    <row r="227" spans="2:13" x14ac:dyDescent="0.3">
      <c r="B227" s="1">
        <v>1157</v>
      </c>
      <c r="C227" s="2">
        <v>44954</v>
      </c>
      <c r="D227" s="1" t="s">
        <v>26</v>
      </c>
      <c r="E227" s="1" t="s">
        <v>24</v>
      </c>
      <c r="F227" s="1" t="s">
        <v>19</v>
      </c>
      <c r="G227" s="1">
        <v>1279.19</v>
      </c>
      <c r="H227" s="1" t="s">
        <v>170</v>
      </c>
      <c r="I227" s="2">
        <v>34205</v>
      </c>
      <c r="J227" s="2">
        <v>44960</v>
      </c>
      <c r="K227" s="1">
        <v>43.33</v>
      </c>
      <c r="L227" s="4">
        <f>G227*K227%</f>
        <v>554.27302699999996</v>
      </c>
      <c r="M227" s="4">
        <f>G227-L227</f>
        <v>724.9169730000001</v>
      </c>
    </row>
    <row r="228" spans="2:13" x14ac:dyDescent="0.3">
      <c r="B228" s="1">
        <v>1041</v>
      </c>
      <c r="C228" s="2">
        <v>44876</v>
      </c>
      <c r="D228" s="1" t="s">
        <v>26</v>
      </c>
      <c r="E228" s="1" t="s">
        <v>18</v>
      </c>
      <c r="F228" s="1" t="s">
        <v>19</v>
      </c>
      <c r="G228" s="1">
        <v>2755.69</v>
      </c>
      <c r="H228" s="1" t="s">
        <v>82</v>
      </c>
      <c r="I228" s="2">
        <v>38879</v>
      </c>
      <c r="J228" s="2">
        <v>44881</v>
      </c>
      <c r="K228" s="1">
        <v>8.0500000000000007</v>
      </c>
      <c r="L228" s="4">
        <f>G228*K228%</f>
        <v>221.833045</v>
      </c>
      <c r="M228" s="4">
        <f>G228-L228</f>
        <v>2533.8569550000002</v>
      </c>
    </row>
    <row r="229" spans="2:13" x14ac:dyDescent="0.3">
      <c r="B229" s="1">
        <v>1089</v>
      </c>
      <c r="C229" s="2">
        <v>45319</v>
      </c>
      <c r="D229" s="1" t="s">
        <v>26</v>
      </c>
      <c r="E229" s="1" t="s">
        <v>38</v>
      </c>
      <c r="F229" s="1" t="s">
        <v>28</v>
      </c>
      <c r="G229" s="1">
        <v>2648.98</v>
      </c>
      <c r="H229" s="1" t="s">
        <v>121</v>
      </c>
      <c r="I229" s="2">
        <v>24580</v>
      </c>
      <c r="J229" s="2">
        <v>45332</v>
      </c>
      <c r="K229" s="1">
        <v>32.72</v>
      </c>
      <c r="L229" s="4">
        <f>G229*K229%</f>
        <v>866.74625600000002</v>
      </c>
      <c r="M229" s="4">
        <f>G229-L229</f>
        <v>1782.2337440000001</v>
      </c>
    </row>
    <row r="230" spans="2:13" x14ac:dyDescent="0.3">
      <c r="B230" s="1">
        <v>1733</v>
      </c>
      <c r="C230" s="2">
        <v>44153</v>
      </c>
      <c r="D230" s="1" t="s">
        <v>26</v>
      </c>
      <c r="E230" s="1" t="s">
        <v>44</v>
      </c>
      <c r="F230" s="1" t="s">
        <v>16</v>
      </c>
      <c r="G230" s="1">
        <v>2900.73</v>
      </c>
      <c r="H230" s="1" t="s">
        <v>313</v>
      </c>
      <c r="I230" s="2">
        <v>23039</v>
      </c>
      <c r="J230" s="2">
        <v>44165</v>
      </c>
      <c r="K230" s="1">
        <v>29.58</v>
      </c>
      <c r="L230" s="4">
        <f>G230*K230%</f>
        <v>858.035934</v>
      </c>
      <c r="M230" s="4">
        <f>G230-L230</f>
        <v>2042.694066</v>
      </c>
    </row>
    <row r="231" spans="2:13" x14ac:dyDescent="0.3">
      <c r="B231" s="1">
        <v>1786</v>
      </c>
      <c r="C231" s="2">
        <v>44748</v>
      </c>
      <c r="D231" s="1" t="s">
        <v>26</v>
      </c>
      <c r="E231" s="1" t="s">
        <v>40</v>
      </c>
      <c r="F231" s="1" t="s">
        <v>16</v>
      </c>
      <c r="G231" s="1">
        <v>3051.55</v>
      </c>
      <c r="H231" s="1" t="s">
        <v>313</v>
      </c>
      <c r="I231" s="2">
        <v>23039</v>
      </c>
      <c r="J231" s="2">
        <v>44761</v>
      </c>
      <c r="K231" s="1">
        <v>47.53</v>
      </c>
      <c r="L231" s="4">
        <f>G231*K231%</f>
        <v>1450.4017150000002</v>
      </c>
      <c r="M231" s="4">
        <f>G231-L231</f>
        <v>1601.148285</v>
      </c>
    </row>
    <row r="232" spans="2:13" x14ac:dyDescent="0.3">
      <c r="B232" s="1">
        <v>1526</v>
      </c>
      <c r="C232" s="2">
        <v>44476</v>
      </c>
      <c r="D232" s="1" t="s">
        <v>26</v>
      </c>
      <c r="E232" s="1" t="s">
        <v>27</v>
      </c>
      <c r="F232" s="1" t="s">
        <v>28</v>
      </c>
      <c r="G232" s="1">
        <v>651.98</v>
      </c>
      <c r="H232" s="1" t="s">
        <v>190</v>
      </c>
      <c r="I232" s="2">
        <v>33354</v>
      </c>
      <c r="J232" s="2">
        <v>44487</v>
      </c>
      <c r="K232" s="1">
        <v>41.88</v>
      </c>
      <c r="L232" s="4">
        <f>G232*K232%</f>
        <v>273.04922400000004</v>
      </c>
      <c r="M232" s="4">
        <f>G232-L232</f>
        <v>378.93077599999998</v>
      </c>
    </row>
    <row r="233" spans="2:13" x14ac:dyDescent="0.3">
      <c r="B233" s="1">
        <v>1326</v>
      </c>
      <c r="C233" s="2">
        <v>45277</v>
      </c>
      <c r="D233" s="1" t="s">
        <v>26</v>
      </c>
      <c r="E233" s="1" t="s">
        <v>65</v>
      </c>
      <c r="F233" s="1" t="s">
        <v>19</v>
      </c>
      <c r="G233" s="1">
        <v>3914.34</v>
      </c>
      <c r="H233" s="1" t="s">
        <v>119</v>
      </c>
      <c r="I233" s="2">
        <v>34954</v>
      </c>
      <c r="J233" s="2">
        <v>45289</v>
      </c>
      <c r="K233" s="1">
        <v>8.6999999999999993</v>
      </c>
      <c r="L233" s="4">
        <f>G233*K233%</f>
        <v>340.54757999999998</v>
      </c>
      <c r="M233" s="4">
        <f>G233-L233</f>
        <v>3573.7924200000002</v>
      </c>
    </row>
    <row r="234" spans="2:13" x14ac:dyDescent="0.3">
      <c r="B234" s="1">
        <v>1170</v>
      </c>
      <c r="C234" s="2">
        <v>44998</v>
      </c>
      <c r="D234" s="1" t="s">
        <v>26</v>
      </c>
      <c r="E234" s="1" t="s">
        <v>69</v>
      </c>
      <c r="F234" s="1" t="s">
        <v>31</v>
      </c>
      <c r="G234" s="1">
        <v>1253.77</v>
      </c>
      <c r="H234" s="1" t="s">
        <v>132</v>
      </c>
      <c r="I234" s="2">
        <v>34364</v>
      </c>
      <c r="J234" s="2">
        <v>45011</v>
      </c>
      <c r="K234" s="1">
        <v>10.24</v>
      </c>
      <c r="L234" s="4">
        <f>G234*K234%</f>
        <v>128.38604800000002</v>
      </c>
      <c r="M234" s="4">
        <f>G234-L234</f>
        <v>1125.3839519999999</v>
      </c>
    </row>
    <row r="235" spans="2:13" x14ac:dyDescent="0.3">
      <c r="B235" s="1">
        <v>1535</v>
      </c>
      <c r="C235" s="2">
        <v>45849</v>
      </c>
      <c r="D235" s="1" t="s">
        <v>26</v>
      </c>
      <c r="E235" s="1" t="s">
        <v>15</v>
      </c>
      <c r="F235" s="1" t="s">
        <v>16</v>
      </c>
      <c r="G235" s="1">
        <v>2039.1</v>
      </c>
      <c r="H235" s="1" t="s">
        <v>264</v>
      </c>
      <c r="I235" s="2">
        <v>30232</v>
      </c>
      <c r="J235" s="2">
        <v>45851</v>
      </c>
      <c r="K235" s="1">
        <v>27.95</v>
      </c>
      <c r="L235" s="4">
        <f>G235*K235%</f>
        <v>569.92844999999988</v>
      </c>
      <c r="M235" s="4">
        <f>G235-L235</f>
        <v>1469.17155</v>
      </c>
    </row>
    <row r="236" spans="2:13" x14ac:dyDescent="0.3">
      <c r="B236" s="1">
        <v>1014</v>
      </c>
      <c r="C236" s="2">
        <v>45352</v>
      </c>
      <c r="D236" s="1" t="s">
        <v>26</v>
      </c>
      <c r="E236" s="1" t="s">
        <v>40</v>
      </c>
      <c r="F236" s="1" t="s">
        <v>16</v>
      </c>
      <c r="G236" s="1">
        <v>4448.16</v>
      </c>
      <c r="H236" s="1" t="s">
        <v>46</v>
      </c>
      <c r="I236" s="2">
        <v>24670</v>
      </c>
      <c r="J236" s="2">
        <v>45366</v>
      </c>
      <c r="K236" s="1">
        <v>27.78</v>
      </c>
      <c r="L236" s="4">
        <f>G236*K236%</f>
        <v>1235.698848</v>
      </c>
      <c r="M236" s="4">
        <f>G236-L236</f>
        <v>3212.4611519999999</v>
      </c>
    </row>
    <row r="237" spans="2:13" x14ac:dyDescent="0.3">
      <c r="B237" s="1">
        <v>1561</v>
      </c>
      <c r="C237" s="2">
        <v>44315</v>
      </c>
      <c r="D237" s="1" t="s">
        <v>26</v>
      </c>
      <c r="E237" s="1" t="s">
        <v>27</v>
      </c>
      <c r="F237" s="1" t="s">
        <v>28</v>
      </c>
      <c r="G237" s="1">
        <v>4446.5200000000004</v>
      </c>
      <c r="H237" s="1" t="s">
        <v>226</v>
      </c>
      <c r="I237" s="2">
        <v>33332</v>
      </c>
      <c r="J237" s="2">
        <v>44318</v>
      </c>
      <c r="K237" s="1">
        <v>11.97</v>
      </c>
      <c r="L237" s="4">
        <f>G237*K237%</f>
        <v>532.24844400000006</v>
      </c>
      <c r="M237" s="4">
        <f>G237-L237</f>
        <v>3914.2715560000006</v>
      </c>
    </row>
    <row r="238" spans="2:13" x14ac:dyDescent="0.3">
      <c r="B238" s="1">
        <v>1273</v>
      </c>
      <c r="C238" s="2">
        <v>45857</v>
      </c>
      <c r="D238" s="1" t="s">
        <v>26</v>
      </c>
      <c r="E238" s="1" t="s">
        <v>53</v>
      </c>
      <c r="F238" s="1" t="s">
        <v>28</v>
      </c>
      <c r="G238" s="1">
        <v>2890.65</v>
      </c>
      <c r="H238" s="1" t="s">
        <v>226</v>
      </c>
      <c r="I238" s="2">
        <v>33332</v>
      </c>
      <c r="J238" s="2">
        <v>45868</v>
      </c>
      <c r="K238" s="1">
        <v>27.79</v>
      </c>
      <c r="L238" s="4">
        <f>G238*K238%</f>
        <v>803.31163500000002</v>
      </c>
      <c r="M238" s="4">
        <f>G238-L238</f>
        <v>2087.3383650000001</v>
      </c>
    </row>
    <row r="239" spans="2:13" x14ac:dyDescent="0.3">
      <c r="B239" s="1">
        <v>1035</v>
      </c>
      <c r="C239" s="2">
        <v>45070</v>
      </c>
      <c r="D239" s="1" t="s">
        <v>26</v>
      </c>
      <c r="E239" s="1" t="s">
        <v>69</v>
      </c>
      <c r="F239" s="1" t="s">
        <v>31</v>
      </c>
      <c r="G239" s="1">
        <v>2445.59</v>
      </c>
      <c r="H239" s="1" t="s">
        <v>76</v>
      </c>
      <c r="I239" s="2">
        <v>37049</v>
      </c>
      <c r="J239" s="2">
        <v>45081</v>
      </c>
      <c r="K239" s="1">
        <v>9.6</v>
      </c>
      <c r="L239" s="4">
        <f>G239*K239%</f>
        <v>234.77664000000001</v>
      </c>
      <c r="M239" s="4">
        <f>G239-L239</f>
        <v>2210.8133600000001</v>
      </c>
    </row>
    <row r="240" spans="2:13" x14ac:dyDescent="0.3">
      <c r="B240" s="1">
        <v>1767</v>
      </c>
      <c r="C240" s="2">
        <v>44746</v>
      </c>
      <c r="D240" s="1" t="s">
        <v>26</v>
      </c>
      <c r="E240" s="1" t="s">
        <v>18</v>
      </c>
      <c r="F240" s="1" t="s">
        <v>19</v>
      </c>
      <c r="G240" s="1">
        <v>843.92</v>
      </c>
      <c r="H240" s="1" t="s">
        <v>76</v>
      </c>
      <c r="I240" s="2">
        <v>37049</v>
      </c>
      <c r="J240" s="2">
        <v>44753</v>
      </c>
      <c r="K240" s="1">
        <v>45.25</v>
      </c>
      <c r="L240" s="4">
        <f>G240*K240%</f>
        <v>381.87380000000002</v>
      </c>
      <c r="M240" s="4">
        <f>G240-L240</f>
        <v>462.04619999999994</v>
      </c>
    </row>
    <row r="241" spans="2:13" x14ac:dyDescent="0.3">
      <c r="B241" s="1">
        <v>1601</v>
      </c>
      <c r="C241" s="2">
        <v>45387</v>
      </c>
      <c r="D241" s="1" t="s">
        <v>26</v>
      </c>
      <c r="E241" s="1" t="s">
        <v>33</v>
      </c>
      <c r="F241" s="1" t="s">
        <v>16</v>
      </c>
      <c r="G241" s="1">
        <v>4672.42</v>
      </c>
      <c r="H241" s="1" t="s">
        <v>255</v>
      </c>
      <c r="I241" s="2">
        <v>22646</v>
      </c>
      <c r="J241" s="2">
        <v>45391</v>
      </c>
      <c r="K241" s="1">
        <v>31.77</v>
      </c>
      <c r="L241" s="4">
        <f>G241*K241%</f>
        <v>1484.4278339999998</v>
      </c>
      <c r="M241" s="4">
        <f>G241-L241</f>
        <v>3187.992166</v>
      </c>
    </row>
    <row r="242" spans="2:13" x14ac:dyDescent="0.3">
      <c r="B242" s="1">
        <v>1379</v>
      </c>
      <c r="C242" s="2">
        <v>44358</v>
      </c>
      <c r="D242" s="1" t="s">
        <v>26</v>
      </c>
      <c r="E242" s="1" t="s">
        <v>69</v>
      </c>
      <c r="F242" s="1" t="s">
        <v>31</v>
      </c>
      <c r="G242" s="1">
        <v>3215.09</v>
      </c>
      <c r="H242" s="1" t="s">
        <v>255</v>
      </c>
      <c r="I242" s="2">
        <v>22646</v>
      </c>
      <c r="J242" s="2">
        <v>44368</v>
      </c>
      <c r="K242" s="1">
        <v>1.58</v>
      </c>
      <c r="L242" s="4">
        <f>G242*K242%</f>
        <v>50.798422000000009</v>
      </c>
      <c r="M242" s="4">
        <f>G242-L242</f>
        <v>3164.2915780000003</v>
      </c>
    </row>
    <row r="243" spans="2:13" x14ac:dyDescent="0.3">
      <c r="B243" s="1">
        <v>1924</v>
      </c>
      <c r="C243" s="2">
        <v>44516</v>
      </c>
      <c r="D243" s="1" t="s">
        <v>26</v>
      </c>
      <c r="E243" s="1" t="s">
        <v>38</v>
      </c>
      <c r="F243" s="1" t="s">
        <v>28</v>
      </c>
      <c r="G243" s="1">
        <v>391.23</v>
      </c>
      <c r="H243" s="1" t="s">
        <v>255</v>
      </c>
      <c r="I243" s="2">
        <v>22646</v>
      </c>
      <c r="J243" s="2">
        <v>44517</v>
      </c>
      <c r="K243" s="1">
        <v>7.7</v>
      </c>
      <c r="L243" s="4">
        <f>G243*K243%</f>
        <v>30.12471</v>
      </c>
      <c r="M243" s="4">
        <f>G243-L243</f>
        <v>361.10529000000002</v>
      </c>
    </row>
    <row r="244" spans="2:13" x14ac:dyDescent="0.3">
      <c r="B244" s="1">
        <v>1540</v>
      </c>
      <c r="C244" s="2">
        <v>44137</v>
      </c>
      <c r="D244" s="1" t="s">
        <v>26</v>
      </c>
      <c r="E244" s="1" t="s">
        <v>36</v>
      </c>
      <c r="F244" s="1" t="s">
        <v>28</v>
      </c>
      <c r="G244" s="1">
        <v>2078.6</v>
      </c>
      <c r="H244" s="1" t="s">
        <v>294</v>
      </c>
      <c r="I244" s="2">
        <v>36037</v>
      </c>
      <c r="J244" s="2">
        <v>44149</v>
      </c>
      <c r="K244" s="1">
        <v>41.62</v>
      </c>
      <c r="L244" s="4">
        <f>G244*K244%</f>
        <v>865.11331999999993</v>
      </c>
      <c r="M244" s="4">
        <f>G244-L244</f>
        <v>1213.48668</v>
      </c>
    </row>
    <row r="245" spans="2:13" x14ac:dyDescent="0.3">
      <c r="B245" s="1">
        <v>1553</v>
      </c>
      <c r="C245" s="2">
        <v>44373</v>
      </c>
      <c r="D245" s="1" t="s">
        <v>26</v>
      </c>
      <c r="E245" s="1" t="s">
        <v>44</v>
      </c>
      <c r="F245" s="1" t="s">
        <v>16</v>
      </c>
      <c r="G245" s="1">
        <v>2287.91</v>
      </c>
      <c r="H245" s="1" t="s">
        <v>115</v>
      </c>
      <c r="I245" s="2">
        <v>29486</v>
      </c>
      <c r="J245" s="2">
        <v>44377</v>
      </c>
      <c r="K245" s="1">
        <v>26.95</v>
      </c>
      <c r="L245" s="4">
        <f>G245*K245%</f>
        <v>616.59174499999995</v>
      </c>
      <c r="M245" s="4">
        <f>G245-L245</f>
        <v>1671.3182549999999</v>
      </c>
    </row>
    <row r="246" spans="2:13" x14ac:dyDescent="0.3">
      <c r="B246" s="1">
        <v>1569</v>
      </c>
      <c r="C246" s="2">
        <v>45147</v>
      </c>
      <c r="D246" s="1" t="s">
        <v>26</v>
      </c>
      <c r="E246" s="1" t="s">
        <v>38</v>
      </c>
      <c r="F246" s="1" t="s">
        <v>28</v>
      </c>
      <c r="G246" s="1">
        <v>3171.39</v>
      </c>
      <c r="H246" s="1" t="s">
        <v>297</v>
      </c>
      <c r="I246" s="2">
        <v>35410</v>
      </c>
      <c r="J246" s="2">
        <v>45153</v>
      </c>
      <c r="K246" s="1">
        <v>25.58</v>
      </c>
      <c r="L246" s="4">
        <f>G246*K246%</f>
        <v>811.24156199999993</v>
      </c>
      <c r="M246" s="4">
        <f>G246-L246</f>
        <v>2360.1484380000002</v>
      </c>
    </row>
    <row r="247" spans="2:13" x14ac:dyDescent="0.3">
      <c r="B247" s="1">
        <v>1133</v>
      </c>
      <c r="C247" s="2">
        <v>44704</v>
      </c>
      <c r="D247" s="1" t="s">
        <v>26</v>
      </c>
      <c r="E247" s="1" t="s">
        <v>53</v>
      </c>
      <c r="F247" s="1" t="s">
        <v>28</v>
      </c>
      <c r="G247" s="1">
        <v>309.52</v>
      </c>
      <c r="H247" s="1" t="s">
        <v>152</v>
      </c>
      <c r="I247" s="2">
        <v>24792</v>
      </c>
      <c r="J247" s="2">
        <v>44718</v>
      </c>
      <c r="K247" s="1">
        <v>38.33</v>
      </c>
      <c r="L247" s="4">
        <f>G247*K247%</f>
        <v>118.63901599999998</v>
      </c>
      <c r="M247" s="4">
        <f>G247-L247</f>
        <v>190.88098400000001</v>
      </c>
    </row>
    <row r="248" spans="2:13" x14ac:dyDescent="0.3">
      <c r="B248" s="1">
        <v>1355</v>
      </c>
      <c r="C248" s="2">
        <v>44701</v>
      </c>
      <c r="D248" s="1" t="s">
        <v>26</v>
      </c>
      <c r="E248" s="1" t="s">
        <v>49</v>
      </c>
      <c r="F248" s="1" t="s">
        <v>12</v>
      </c>
      <c r="G248" s="1">
        <v>1665.27</v>
      </c>
      <c r="H248" s="1" t="s">
        <v>229</v>
      </c>
      <c r="I248" s="2">
        <v>37783</v>
      </c>
      <c r="J248" s="2">
        <v>44713</v>
      </c>
      <c r="K248" s="1">
        <v>34.700000000000003</v>
      </c>
      <c r="L248" s="4">
        <f>G248*K248%</f>
        <v>577.84869000000003</v>
      </c>
      <c r="M248" s="4">
        <f>G248-L248</f>
        <v>1087.4213099999999</v>
      </c>
    </row>
    <row r="249" spans="2:13" x14ac:dyDescent="0.3">
      <c r="B249" s="1">
        <v>1934</v>
      </c>
      <c r="C249" s="2">
        <v>44178</v>
      </c>
      <c r="D249" s="1" t="s">
        <v>26</v>
      </c>
      <c r="E249" s="1" t="s">
        <v>15</v>
      </c>
      <c r="F249" s="1" t="s">
        <v>16</v>
      </c>
      <c r="G249" s="1">
        <v>314.91000000000003</v>
      </c>
      <c r="H249" s="1" t="s">
        <v>286</v>
      </c>
      <c r="I249" s="2">
        <v>33430</v>
      </c>
      <c r="J249" s="2">
        <v>44182</v>
      </c>
      <c r="K249" s="1">
        <v>19.690000000000001</v>
      </c>
      <c r="L249" s="4">
        <f>G249*K249%</f>
        <v>62.005779000000011</v>
      </c>
      <c r="M249" s="4">
        <f>G249-L249</f>
        <v>252.90422100000001</v>
      </c>
    </row>
    <row r="250" spans="2:13" x14ac:dyDescent="0.3">
      <c r="B250" s="1">
        <v>1532</v>
      </c>
      <c r="C250" s="2">
        <v>44104</v>
      </c>
      <c r="D250" s="1" t="s">
        <v>26</v>
      </c>
      <c r="E250" s="1" t="s">
        <v>27</v>
      </c>
      <c r="F250" s="1" t="s">
        <v>28</v>
      </c>
      <c r="G250" s="1">
        <v>4840.1400000000003</v>
      </c>
      <c r="H250" s="1" t="s">
        <v>291</v>
      </c>
      <c r="I250" s="2">
        <v>36645</v>
      </c>
      <c r="J250" s="2">
        <v>44111</v>
      </c>
      <c r="K250" s="1">
        <v>37.380000000000003</v>
      </c>
      <c r="L250" s="4">
        <f>G250*K250%</f>
        <v>1809.2443320000002</v>
      </c>
      <c r="M250" s="4">
        <f>G250-L250</f>
        <v>3030.8956680000001</v>
      </c>
    </row>
    <row r="251" spans="2:13" x14ac:dyDescent="0.3">
      <c r="B251" s="1">
        <v>1849</v>
      </c>
      <c r="C251" s="2">
        <v>45543</v>
      </c>
      <c r="D251" s="1" t="s">
        <v>26</v>
      </c>
      <c r="E251" s="1" t="s">
        <v>38</v>
      </c>
      <c r="F251" s="1" t="s">
        <v>28</v>
      </c>
      <c r="G251" s="1">
        <v>3753.68</v>
      </c>
      <c r="H251" s="1" t="s">
        <v>29</v>
      </c>
      <c r="I251" s="2">
        <v>24033</v>
      </c>
      <c r="J251" s="2">
        <v>45548</v>
      </c>
      <c r="K251" s="1">
        <v>4.47</v>
      </c>
      <c r="L251" s="4">
        <f>G251*K251%</f>
        <v>167.78949599999999</v>
      </c>
      <c r="M251" s="4">
        <f>G251-L251</f>
        <v>3585.890504</v>
      </c>
    </row>
    <row r="252" spans="2:13" x14ac:dyDescent="0.3">
      <c r="B252" s="1">
        <v>1005</v>
      </c>
      <c r="C252" s="2">
        <v>45350</v>
      </c>
      <c r="D252" s="1" t="s">
        <v>26</v>
      </c>
      <c r="E252" s="1" t="s">
        <v>27</v>
      </c>
      <c r="F252" s="1" t="s">
        <v>28</v>
      </c>
      <c r="G252" s="1">
        <v>393.8</v>
      </c>
      <c r="H252" s="1" t="s">
        <v>29</v>
      </c>
      <c r="I252" s="2">
        <v>24033</v>
      </c>
      <c r="J252" s="2">
        <v>45364</v>
      </c>
      <c r="K252" s="1">
        <v>7.32</v>
      </c>
      <c r="L252" s="4">
        <f>G252*K252%</f>
        <v>28.826160000000002</v>
      </c>
      <c r="M252" s="4">
        <f>G252-L252</f>
        <v>364.97384</v>
      </c>
    </row>
    <row r="253" spans="2:13" x14ac:dyDescent="0.3">
      <c r="B253" s="1">
        <v>1768</v>
      </c>
      <c r="C253" s="2">
        <v>45739</v>
      </c>
      <c r="D253" s="1" t="s">
        <v>26</v>
      </c>
      <c r="E253" s="1" t="s">
        <v>22</v>
      </c>
      <c r="F253" s="1" t="s">
        <v>19</v>
      </c>
      <c r="G253" s="1">
        <v>551.48</v>
      </c>
      <c r="H253" s="1" t="s">
        <v>168</v>
      </c>
      <c r="I253" s="2">
        <v>37674</v>
      </c>
      <c r="J253" s="2">
        <v>45748</v>
      </c>
      <c r="K253" s="1">
        <v>27.97</v>
      </c>
      <c r="L253" s="4">
        <f>G253*K253%</f>
        <v>154.24895600000002</v>
      </c>
      <c r="M253" s="4">
        <f>G253-L253</f>
        <v>397.231044</v>
      </c>
    </row>
    <row r="254" spans="2:13" x14ac:dyDescent="0.3">
      <c r="B254" s="1">
        <v>1757</v>
      </c>
      <c r="C254" s="2">
        <v>45771</v>
      </c>
      <c r="D254" s="1" t="s">
        <v>26</v>
      </c>
      <c r="E254" s="1" t="s">
        <v>47</v>
      </c>
      <c r="F254" s="1" t="s">
        <v>12</v>
      </c>
      <c r="G254" s="1">
        <v>2560.04</v>
      </c>
      <c r="H254" s="1" t="s">
        <v>182</v>
      </c>
      <c r="I254" s="2">
        <v>24719</v>
      </c>
      <c r="J254" s="2">
        <v>45784</v>
      </c>
      <c r="K254" s="1">
        <v>41.04</v>
      </c>
      <c r="L254" s="4">
        <f>G254*K254%</f>
        <v>1050.640416</v>
      </c>
      <c r="M254" s="4">
        <f>G254-L254</f>
        <v>1509.399584</v>
      </c>
    </row>
    <row r="255" spans="2:13" x14ac:dyDescent="0.3">
      <c r="B255" s="1">
        <v>1570</v>
      </c>
      <c r="C255" s="2">
        <v>45406</v>
      </c>
      <c r="D255" s="1" t="s">
        <v>26</v>
      </c>
      <c r="E255" s="1" t="s">
        <v>58</v>
      </c>
      <c r="F255" s="1" t="s">
        <v>31</v>
      </c>
      <c r="G255" s="1">
        <v>2853.87</v>
      </c>
      <c r="H255" s="1" t="s">
        <v>298</v>
      </c>
      <c r="I255" s="2">
        <v>30410</v>
      </c>
      <c r="J255" s="2">
        <v>45411</v>
      </c>
      <c r="K255" s="1">
        <v>13.21</v>
      </c>
      <c r="L255" s="4">
        <f>G255*K255%</f>
        <v>376.99622699999998</v>
      </c>
      <c r="M255" s="4">
        <f>G255-L255</f>
        <v>2476.8737729999998</v>
      </c>
    </row>
    <row r="256" spans="2:13" x14ac:dyDescent="0.3">
      <c r="B256" s="1">
        <v>1962</v>
      </c>
      <c r="C256" s="2">
        <v>44515</v>
      </c>
      <c r="D256" s="1" t="s">
        <v>26</v>
      </c>
      <c r="E256" s="1" t="s">
        <v>18</v>
      </c>
      <c r="F256" s="1" t="s">
        <v>19</v>
      </c>
      <c r="G256" s="1">
        <v>3171.06</v>
      </c>
      <c r="H256" s="1" t="s">
        <v>298</v>
      </c>
      <c r="I256" s="2">
        <v>30410</v>
      </c>
      <c r="J256" s="2">
        <v>44529</v>
      </c>
      <c r="K256" s="1">
        <v>47.15</v>
      </c>
      <c r="L256" s="4">
        <f>G256*K256%</f>
        <v>1495.1547899999998</v>
      </c>
      <c r="M256" s="4">
        <f>G256-L256</f>
        <v>1675.9052100000001</v>
      </c>
    </row>
    <row r="257" spans="2:13" x14ac:dyDescent="0.3">
      <c r="B257" s="1">
        <v>1486</v>
      </c>
      <c r="C257" s="2">
        <v>45010</v>
      </c>
      <c r="D257" s="1" t="s">
        <v>26</v>
      </c>
      <c r="E257" s="1" t="s">
        <v>44</v>
      </c>
      <c r="F257" s="1" t="s">
        <v>16</v>
      </c>
      <c r="G257" s="1">
        <v>4628</v>
      </c>
      <c r="H257" s="1" t="s">
        <v>50</v>
      </c>
      <c r="I257" s="2">
        <v>22594</v>
      </c>
      <c r="J257" s="2">
        <v>45014</v>
      </c>
      <c r="K257" s="1">
        <v>44.68</v>
      </c>
      <c r="L257" s="4">
        <f>G257*K257%</f>
        <v>2067.7903999999999</v>
      </c>
      <c r="M257" s="4">
        <f>G257-L257</f>
        <v>2560.2096000000001</v>
      </c>
    </row>
    <row r="258" spans="2:13" x14ac:dyDescent="0.3">
      <c r="B258" s="1">
        <v>1417</v>
      </c>
      <c r="C258" s="2">
        <v>45723</v>
      </c>
      <c r="D258" s="1" t="s">
        <v>26</v>
      </c>
      <c r="E258" s="1" t="s">
        <v>71</v>
      </c>
      <c r="F258" s="1" t="s">
        <v>31</v>
      </c>
      <c r="G258" s="1">
        <v>4028.63</v>
      </c>
      <c r="H258" s="1" t="s">
        <v>257</v>
      </c>
      <c r="I258" s="2">
        <v>31685</v>
      </c>
      <c r="J258" s="2">
        <v>45728</v>
      </c>
      <c r="K258" s="1">
        <v>12.49</v>
      </c>
      <c r="L258" s="4">
        <f>G258*K258%</f>
        <v>503.17588699999999</v>
      </c>
      <c r="M258" s="4">
        <f>G258-L258</f>
        <v>3525.4541130000002</v>
      </c>
    </row>
    <row r="259" spans="2:13" x14ac:dyDescent="0.3">
      <c r="B259" s="1">
        <v>1619</v>
      </c>
      <c r="C259" s="2">
        <v>44190</v>
      </c>
      <c r="D259" s="1" t="s">
        <v>26</v>
      </c>
      <c r="E259" s="1" t="s">
        <v>61</v>
      </c>
      <c r="F259" s="1" t="s">
        <v>19</v>
      </c>
      <c r="G259" s="1">
        <v>3181.4</v>
      </c>
      <c r="H259" s="1" t="s">
        <v>257</v>
      </c>
      <c r="I259" s="2">
        <v>31685</v>
      </c>
      <c r="J259" s="2">
        <v>44198</v>
      </c>
      <c r="K259" s="1">
        <v>46.85</v>
      </c>
      <c r="L259" s="4">
        <f>G259*K259%</f>
        <v>1490.4859000000001</v>
      </c>
      <c r="M259" s="4">
        <f>G259-L259</f>
        <v>1690.9141</v>
      </c>
    </row>
    <row r="260" spans="2:13" x14ac:dyDescent="0.3">
      <c r="B260" s="1">
        <v>1319</v>
      </c>
      <c r="C260" s="2">
        <v>44922</v>
      </c>
      <c r="D260" s="1" t="s">
        <v>26</v>
      </c>
      <c r="E260" s="1" t="s">
        <v>24</v>
      </c>
      <c r="F260" s="1" t="s">
        <v>19</v>
      </c>
      <c r="G260" s="1">
        <v>3444.87</v>
      </c>
      <c r="H260" s="1" t="s">
        <v>243</v>
      </c>
      <c r="I260" s="2">
        <v>29103</v>
      </c>
      <c r="J260" s="2">
        <v>44930</v>
      </c>
      <c r="K260" s="1">
        <v>19.559999999999999</v>
      </c>
      <c r="L260" s="4">
        <f>G260*K260%</f>
        <v>673.81657199999995</v>
      </c>
      <c r="M260" s="4">
        <f>G260-L260</f>
        <v>2771.0534280000002</v>
      </c>
    </row>
    <row r="261" spans="2:13" x14ac:dyDescent="0.3">
      <c r="B261" s="1">
        <v>1593</v>
      </c>
      <c r="C261" s="2">
        <v>45688</v>
      </c>
      <c r="D261" s="1" t="s">
        <v>26</v>
      </c>
      <c r="E261" s="1" t="s">
        <v>73</v>
      </c>
      <c r="F261" s="1" t="s">
        <v>28</v>
      </c>
      <c r="G261" s="1">
        <v>4679.8599999999997</v>
      </c>
      <c r="H261" s="1" t="s">
        <v>37</v>
      </c>
      <c r="I261" s="2">
        <v>27534</v>
      </c>
      <c r="J261" s="2">
        <v>45692</v>
      </c>
      <c r="K261" s="1">
        <v>10.66</v>
      </c>
      <c r="L261" s="4">
        <f>G261*K261%</f>
        <v>498.87307599999997</v>
      </c>
      <c r="M261" s="4">
        <f>G261-L261</f>
        <v>4180.9869239999998</v>
      </c>
    </row>
    <row r="262" spans="2:13" x14ac:dyDescent="0.3">
      <c r="B262" s="1">
        <v>1643</v>
      </c>
      <c r="C262" s="2">
        <v>44347</v>
      </c>
      <c r="D262" s="1" t="s">
        <v>26</v>
      </c>
      <c r="E262" s="1" t="s">
        <v>30</v>
      </c>
      <c r="F262" s="1" t="s">
        <v>31</v>
      </c>
      <c r="G262" s="1">
        <v>4221.93</v>
      </c>
      <c r="H262" s="1" t="s">
        <v>37</v>
      </c>
      <c r="I262" s="2">
        <v>27534</v>
      </c>
      <c r="J262" s="2">
        <v>44356</v>
      </c>
      <c r="K262" s="1">
        <v>31.97</v>
      </c>
      <c r="L262" s="4">
        <f>G262*K262%</f>
        <v>1349.751021</v>
      </c>
      <c r="M262" s="4">
        <f>G262-L262</f>
        <v>2872.1789790000003</v>
      </c>
    </row>
    <row r="263" spans="2:13" x14ac:dyDescent="0.3">
      <c r="B263" s="1">
        <v>1971</v>
      </c>
      <c r="C263" s="2">
        <v>45884</v>
      </c>
      <c r="D263" s="1" t="s">
        <v>26</v>
      </c>
      <c r="E263" s="1" t="s">
        <v>44</v>
      </c>
      <c r="F263" s="1" t="s">
        <v>16</v>
      </c>
      <c r="G263" s="1">
        <v>3228.56</v>
      </c>
      <c r="H263" s="1" t="s">
        <v>37</v>
      </c>
      <c r="I263" s="2">
        <v>27534</v>
      </c>
      <c r="J263" s="2">
        <v>45890</v>
      </c>
      <c r="K263" s="1">
        <v>48.72</v>
      </c>
      <c r="L263" s="4">
        <f>G263*K263%</f>
        <v>1572.9544319999998</v>
      </c>
      <c r="M263" s="4">
        <f>G263-L263</f>
        <v>1655.6055680000002</v>
      </c>
    </row>
    <row r="264" spans="2:13" x14ac:dyDescent="0.3">
      <c r="B264" s="1">
        <v>1697</v>
      </c>
      <c r="C264" s="2">
        <v>44208</v>
      </c>
      <c r="D264" s="1" t="s">
        <v>26</v>
      </c>
      <c r="E264" s="1" t="s">
        <v>49</v>
      </c>
      <c r="F264" s="1" t="s">
        <v>12</v>
      </c>
      <c r="G264" s="1">
        <v>3077.28</v>
      </c>
      <c r="H264" s="1" t="s">
        <v>60</v>
      </c>
      <c r="I264" s="2">
        <v>33482</v>
      </c>
      <c r="J264" s="2">
        <v>44211</v>
      </c>
      <c r="K264" s="1">
        <v>8.57</v>
      </c>
      <c r="L264" s="4">
        <f>G264*K264%</f>
        <v>263.72289599999999</v>
      </c>
      <c r="M264" s="4">
        <f>G264-L264</f>
        <v>2813.5571040000004</v>
      </c>
    </row>
    <row r="265" spans="2:13" x14ac:dyDescent="0.3">
      <c r="B265" s="1">
        <v>1023</v>
      </c>
      <c r="C265" s="2">
        <v>44173</v>
      </c>
      <c r="D265" s="1" t="s">
        <v>26</v>
      </c>
      <c r="E265" s="1" t="s">
        <v>30</v>
      </c>
      <c r="F265" s="1" t="s">
        <v>31</v>
      </c>
      <c r="G265" s="1">
        <v>2818.88</v>
      </c>
      <c r="H265" s="1" t="s">
        <v>60</v>
      </c>
      <c r="I265" s="2">
        <v>33482</v>
      </c>
      <c r="J265" s="2">
        <v>44181</v>
      </c>
      <c r="K265" s="1">
        <v>32.270000000000003</v>
      </c>
      <c r="L265" s="4">
        <f>G265*K265%</f>
        <v>909.65257600000018</v>
      </c>
      <c r="M265" s="4">
        <f>G265-L265</f>
        <v>1909.2274239999999</v>
      </c>
    </row>
    <row r="266" spans="2:13" x14ac:dyDescent="0.3">
      <c r="B266" s="1">
        <v>1660</v>
      </c>
      <c r="C266" s="2">
        <v>44120</v>
      </c>
      <c r="D266" s="1" t="s">
        <v>26</v>
      </c>
      <c r="E266" s="1" t="s">
        <v>55</v>
      </c>
      <c r="F266" s="1" t="s">
        <v>31</v>
      </c>
      <c r="G266" s="1">
        <v>4831.3999999999996</v>
      </c>
      <c r="H266" s="1" t="s">
        <v>163</v>
      </c>
      <c r="I266" s="2">
        <v>30364</v>
      </c>
      <c r="J266" s="2">
        <v>44127</v>
      </c>
      <c r="K266" s="1">
        <v>19.36</v>
      </c>
      <c r="L266" s="4">
        <f>G266*K266%</f>
        <v>935.35903999999994</v>
      </c>
      <c r="M266" s="4">
        <f>G266-L266</f>
        <v>3896.0409599999998</v>
      </c>
    </row>
    <row r="267" spans="2:13" x14ac:dyDescent="0.3">
      <c r="B267" s="1">
        <v>1631</v>
      </c>
      <c r="C267" s="2">
        <v>45537</v>
      </c>
      <c r="D267" s="1" t="s">
        <v>26</v>
      </c>
      <c r="E267" s="1" t="s">
        <v>27</v>
      </c>
      <c r="F267" s="1" t="s">
        <v>28</v>
      </c>
      <c r="G267" s="1">
        <v>3800.43</v>
      </c>
      <c r="H267" s="1" t="s">
        <v>143</v>
      </c>
      <c r="I267" s="2">
        <v>37490</v>
      </c>
      <c r="J267" s="2">
        <v>45538</v>
      </c>
      <c r="K267" s="1">
        <v>7.33</v>
      </c>
      <c r="L267" s="4">
        <f>G267*K267%</f>
        <v>278.57151900000002</v>
      </c>
      <c r="M267" s="4">
        <f>G267-L267</f>
        <v>3521.8584809999998</v>
      </c>
    </row>
    <row r="268" spans="2:13" x14ac:dyDescent="0.3">
      <c r="B268" s="1">
        <v>1120</v>
      </c>
      <c r="C268" s="2">
        <v>45547</v>
      </c>
      <c r="D268" s="1" t="s">
        <v>26</v>
      </c>
      <c r="E268" s="1" t="s">
        <v>47</v>
      </c>
      <c r="F268" s="1" t="s">
        <v>12</v>
      </c>
      <c r="G268" s="1">
        <v>962.15</v>
      </c>
      <c r="H268" s="1" t="s">
        <v>143</v>
      </c>
      <c r="I268" s="2">
        <v>37490</v>
      </c>
      <c r="J268" s="2">
        <v>45560</v>
      </c>
      <c r="K268" s="1">
        <v>12.14</v>
      </c>
      <c r="L268" s="4">
        <f>G268*K268%</f>
        <v>116.80501000000001</v>
      </c>
      <c r="M268" s="4">
        <f>G268-L268</f>
        <v>845.34498999999994</v>
      </c>
    </row>
    <row r="269" spans="2:13" x14ac:dyDescent="0.3">
      <c r="B269" s="1">
        <v>1623</v>
      </c>
      <c r="C269" s="2">
        <v>44110</v>
      </c>
      <c r="D269" s="1" t="s">
        <v>26</v>
      </c>
      <c r="E269" s="1" t="s">
        <v>33</v>
      </c>
      <c r="F269" s="1" t="s">
        <v>16</v>
      </c>
      <c r="G269" s="1">
        <v>3514.62</v>
      </c>
      <c r="H269" s="1" t="s">
        <v>233</v>
      </c>
      <c r="I269" s="2">
        <v>38826</v>
      </c>
      <c r="J269" s="2">
        <v>44121</v>
      </c>
      <c r="K269" s="1">
        <v>30.34</v>
      </c>
      <c r="L269" s="4">
        <f>G269*K269%</f>
        <v>1066.3357080000001</v>
      </c>
      <c r="M269" s="4">
        <f>G269-L269</f>
        <v>2448.2842919999998</v>
      </c>
    </row>
    <row r="270" spans="2:13" x14ac:dyDescent="0.3">
      <c r="B270" s="1">
        <v>1641</v>
      </c>
      <c r="C270" s="2">
        <v>45770</v>
      </c>
      <c r="D270" s="1" t="s">
        <v>26</v>
      </c>
      <c r="E270" s="1" t="s">
        <v>44</v>
      </c>
      <c r="F270" s="1" t="s">
        <v>16</v>
      </c>
      <c r="G270" s="1">
        <v>1233.6500000000001</v>
      </c>
      <c r="H270" s="1" t="s">
        <v>233</v>
      </c>
      <c r="I270" s="2">
        <v>38826</v>
      </c>
      <c r="J270" s="2">
        <v>45782</v>
      </c>
      <c r="K270" s="1">
        <v>7.16</v>
      </c>
      <c r="L270" s="4">
        <f>G270*K270%</f>
        <v>88.329340000000002</v>
      </c>
      <c r="M270" s="4">
        <f>G270-L270</f>
        <v>1145.3206600000001</v>
      </c>
    </row>
    <row r="271" spans="2:13" x14ac:dyDescent="0.3">
      <c r="B271" s="1">
        <v>1102</v>
      </c>
      <c r="C271" s="2">
        <v>44129</v>
      </c>
      <c r="D271" s="1" t="s">
        <v>26</v>
      </c>
      <c r="E271" s="1" t="s">
        <v>49</v>
      </c>
      <c r="F271" s="1" t="s">
        <v>12</v>
      </c>
      <c r="G271" s="1">
        <v>1697.76</v>
      </c>
      <c r="H271" s="1" t="s">
        <v>130</v>
      </c>
      <c r="I271" s="2">
        <v>38750</v>
      </c>
      <c r="J271" s="2">
        <v>44140</v>
      </c>
      <c r="K271" s="1">
        <v>18.23</v>
      </c>
      <c r="L271" s="4">
        <f>G271*K271%</f>
        <v>309.50164800000005</v>
      </c>
      <c r="M271" s="4">
        <f>G271-L271</f>
        <v>1388.2583519999998</v>
      </c>
    </row>
    <row r="272" spans="2:13" x14ac:dyDescent="0.3">
      <c r="B272" s="1">
        <v>1330</v>
      </c>
      <c r="C272" s="2">
        <v>45550</v>
      </c>
      <c r="D272" s="1" t="s">
        <v>26</v>
      </c>
      <c r="E272" s="1" t="s">
        <v>49</v>
      </c>
      <c r="F272" s="1" t="s">
        <v>12</v>
      </c>
      <c r="G272" s="1">
        <v>729.8</v>
      </c>
      <c r="H272" s="1" t="s">
        <v>242</v>
      </c>
      <c r="I272" s="2">
        <v>21785</v>
      </c>
      <c r="J272" s="2">
        <v>45564</v>
      </c>
      <c r="K272" s="1">
        <v>29.73</v>
      </c>
      <c r="L272" s="4">
        <f>G272*K272%</f>
        <v>216.96953999999999</v>
      </c>
      <c r="M272" s="4">
        <f>G272-L272</f>
        <v>512.8304599999999</v>
      </c>
    </row>
    <row r="273" spans="2:13" x14ac:dyDescent="0.3">
      <c r="B273" s="1">
        <v>1890</v>
      </c>
      <c r="C273" s="2">
        <v>44206</v>
      </c>
      <c r="D273" s="1" t="s">
        <v>26</v>
      </c>
      <c r="E273" s="1" t="s">
        <v>61</v>
      </c>
      <c r="F273" s="1" t="s">
        <v>19</v>
      </c>
      <c r="G273" s="1">
        <v>1915.12</v>
      </c>
      <c r="H273" s="1" t="s">
        <v>138</v>
      </c>
      <c r="I273" s="2">
        <v>25948</v>
      </c>
      <c r="J273" s="2">
        <v>44209</v>
      </c>
      <c r="K273" s="1">
        <v>3.09</v>
      </c>
      <c r="L273" s="4">
        <f>G273*K273%</f>
        <v>59.177207999999993</v>
      </c>
      <c r="M273" s="4">
        <f>G273-L273</f>
        <v>1855.9427919999998</v>
      </c>
    </row>
    <row r="274" spans="2:13" x14ac:dyDescent="0.3">
      <c r="B274" s="1">
        <v>1940</v>
      </c>
      <c r="C274" s="2">
        <v>44896</v>
      </c>
      <c r="D274" s="1" t="s">
        <v>26</v>
      </c>
      <c r="E274" s="1" t="s">
        <v>73</v>
      </c>
      <c r="F274" s="1" t="s">
        <v>28</v>
      </c>
      <c r="G274" s="1">
        <v>2701.12</v>
      </c>
      <c r="H274" s="1" t="s">
        <v>41</v>
      </c>
      <c r="I274" s="2">
        <v>35818</v>
      </c>
      <c r="J274" s="2">
        <v>44902</v>
      </c>
      <c r="K274" s="1">
        <v>4.6500000000000004</v>
      </c>
      <c r="L274" s="4">
        <f>G274*K274%</f>
        <v>125.60208000000002</v>
      </c>
      <c r="M274" s="4">
        <f>G274-L274</f>
        <v>2575.5179199999998</v>
      </c>
    </row>
    <row r="275" spans="2:13" x14ac:dyDescent="0.3">
      <c r="B275" s="1">
        <v>1430</v>
      </c>
      <c r="C275" s="2">
        <v>44099</v>
      </c>
      <c r="D275" s="1" t="s">
        <v>26</v>
      </c>
      <c r="E275" s="1" t="s">
        <v>30</v>
      </c>
      <c r="F275" s="1" t="s">
        <v>31</v>
      </c>
      <c r="G275" s="1">
        <v>2610.56</v>
      </c>
      <c r="H275" s="1" t="s">
        <v>112</v>
      </c>
      <c r="I275" s="2">
        <v>38171</v>
      </c>
      <c r="J275" s="2">
        <v>44113</v>
      </c>
      <c r="K275" s="1">
        <v>40.700000000000003</v>
      </c>
      <c r="L275" s="4">
        <f>G275*K275%</f>
        <v>1062.49792</v>
      </c>
      <c r="M275" s="4">
        <f>G275-L275</f>
        <v>1548.0620799999999</v>
      </c>
    </row>
    <row r="276" spans="2:13" x14ac:dyDescent="0.3">
      <c r="B276" s="1">
        <v>1520</v>
      </c>
      <c r="C276" s="2">
        <v>44433</v>
      </c>
      <c r="D276" s="1" t="s">
        <v>26</v>
      </c>
      <c r="E276" s="1" t="s">
        <v>22</v>
      </c>
      <c r="F276" s="1" t="s">
        <v>19</v>
      </c>
      <c r="G276" s="1">
        <v>2034.68</v>
      </c>
      <c r="H276" s="1" t="s">
        <v>112</v>
      </c>
      <c r="I276" s="2">
        <v>38171</v>
      </c>
      <c r="J276" s="2">
        <v>44443</v>
      </c>
      <c r="K276" s="1">
        <v>30.93</v>
      </c>
      <c r="L276" s="4">
        <f>G276*K276%</f>
        <v>629.32652400000006</v>
      </c>
      <c r="M276" s="4">
        <f>G276-L276</f>
        <v>1405.353476</v>
      </c>
    </row>
    <row r="277" spans="2:13" x14ac:dyDescent="0.3">
      <c r="B277" s="1">
        <v>1913</v>
      </c>
      <c r="C277" s="2">
        <v>45260</v>
      </c>
      <c r="D277" s="1" t="s">
        <v>26</v>
      </c>
      <c r="E277" s="1" t="s">
        <v>33</v>
      </c>
      <c r="F277" s="1" t="s">
        <v>16</v>
      </c>
      <c r="G277" s="1">
        <v>3442.63</v>
      </c>
      <c r="H277" s="1" t="s">
        <v>151</v>
      </c>
      <c r="I277" s="2">
        <v>34427</v>
      </c>
      <c r="J277" s="2">
        <v>45274</v>
      </c>
      <c r="K277" s="1">
        <v>23.72</v>
      </c>
      <c r="L277" s="4">
        <f>G277*K277%</f>
        <v>816.59183600000006</v>
      </c>
      <c r="M277" s="4">
        <f>G277-L277</f>
        <v>2626.0381640000001</v>
      </c>
    </row>
    <row r="278" spans="2:13" x14ac:dyDescent="0.3">
      <c r="B278" s="1">
        <v>1018</v>
      </c>
      <c r="C278" s="2">
        <v>44949</v>
      </c>
      <c r="D278" s="1" t="s">
        <v>26</v>
      </c>
      <c r="E278" s="1" t="s">
        <v>40</v>
      </c>
      <c r="F278" s="1" t="s">
        <v>16</v>
      </c>
      <c r="G278" s="1">
        <v>3380.12</v>
      </c>
      <c r="H278" s="1" t="s">
        <v>52</v>
      </c>
      <c r="I278" s="2">
        <v>30154</v>
      </c>
      <c r="J278" s="2">
        <v>44959</v>
      </c>
      <c r="K278" s="1">
        <v>48.14</v>
      </c>
      <c r="L278" s="4">
        <f>G278*K278%</f>
        <v>1627.189768</v>
      </c>
      <c r="M278" s="4">
        <f>G278-L278</f>
        <v>1752.9302319999999</v>
      </c>
    </row>
    <row r="279" spans="2:13" x14ac:dyDescent="0.3">
      <c r="B279" s="1">
        <v>1328</v>
      </c>
      <c r="C279" s="2">
        <v>44336</v>
      </c>
      <c r="D279" s="1" t="s">
        <v>26</v>
      </c>
      <c r="E279" s="1" t="s">
        <v>53</v>
      </c>
      <c r="F279" s="1" t="s">
        <v>28</v>
      </c>
      <c r="G279" s="1">
        <v>2855.49</v>
      </c>
      <c r="H279" s="1" t="s">
        <v>52</v>
      </c>
      <c r="I279" s="2">
        <v>30154</v>
      </c>
      <c r="J279" s="2">
        <v>44344</v>
      </c>
      <c r="K279" s="1">
        <v>38.840000000000003</v>
      </c>
      <c r="L279" s="4">
        <f>G279*K279%</f>
        <v>1109.072316</v>
      </c>
      <c r="M279" s="4">
        <f>G279-L279</f>
        <v>1746.4176839999998</v>
      </c>
    </row>
    <row r="280" spans="2:13" x14ac:dyDescent="0.3">
      <c r="B280" s="1">
        <v>1665</v>
      </c>
      <c r="C280" s="2">
        <v>44583</v>
      </c>
      <c r="D280" s="1" t="s">
        <v>26</v>
      </c>
      <c r="E280" s="1" t="s">
        <v>11</v>
      </c>
      <c r="F280" s="1" t="s">
        <v>12</v>
      </c>
      <c r="G280" s="1">
        <v>4882.18</v>
      </c>
      <c r="H280" s="1" t="s">
        <v>169</v>
      </c>
      <c r="I280" s="2">
        <v>37894</v>
      </c>
      <c r="J280" s="2">
        <v>44590</v>
      </c>
      <c r="K280" s="1">
        <v>28.88</v>
      </c>
      <c r="L280" s="4">
        <f>G280*K280%</f>
        <v>1409.9735840000001</v>
      </c>
      <c r="M280" s="4">
        <f>G280-L280</f>
        <v>3472.206416</v>
      </c>
    </row>
    <row r="281" spans="2:13" x14ac:dyDescent="0.3">
      <c r="B281" s="1">
        <v>1155</v>
      </c>
      <c r="C281" s="2">
        <v>44780</v>
      </c>
      <c r="D281" s="1" t="s">
        <v>26</v>
      </c>
      <c r="E281" s="1" t="s">
        <v>53</v>
      </c>
      <c r="F281" s="1" t="s">
        <v>28</v>
      </c>
      <c r="G281" s="1">
        <v>4876.3599999999997</v>
      </c>
      <c r="H281" s="1" t="s">
        <v>169</v>
      </c>
      <c r="I281" s="2">
        <v>37894</v>
      </c>
      <c r="J281" s="2">
        <v>44794</v>
      </c>
      <c r="K281" s="1">
        <v>48.53</v>
      </c>
      <c r="L281" s="4">
        <f>G281*K281%</f>
        <v>2366.4975079999999</v>
      </c>
      <c r="M281" s="4">
        <f>G281-L281</f>
        <v>2509.8624919999997</v>
      </c>
    </row>
    <row r="282" spans="2:13" x14ac:dyDescent="0.3">
      <c r="B282" s="1">
        <v>1523</v>
      </c>
      <c r="C282" s="2">
        <v>44336</v>
      </c>
      <c r="D282" s="1" t="s">
        <v>26</v>
      </c>
      <c r="E282" s="1" t="s">
        <v>38</v>
      </c>
      <c r="F282" s="1" t="s">
        <v>28</v>
      </c>
      <c r="G282" s="1">
        <v>4331.62</v>
      </c>
      <c r="H282" s="1" t="s">
        <v>169</v>
      </c>
      <c r="I282" s="2">
        <v>37894</v>
      </c>
      <c r="J282" s="2">
        <v>44338</v>
      </c>
      <c r="K282" s="1">
        <v>42.1</v>
      </c>
      <c r="L282" s="4">
        <f>G282*K282%</f>
        <v>1823.61202</v>
      </c>
      <c r="M282" s="4">
        <f>G282-L282</f>
        <v>2508.0079799999999</v>
      </c>
    </row>
    <row r="283" spans="2:13" x14ac:dyDescent="0.3">
      <c r="B283" s="1">
        <v>1473</v>
      </c>
      <c r="C283" s="2">
        <v>44625</v>
      </c>
      <c r="D283" s="1" t="s">
        <v>26</v>
      </c>
      <c r="E283" s="1" t="s">
        <v>47</v>
      </c>
      <c r="F283" s="1" t="s">
        <v>12</v>
      </c>
      <c r="G283" s="1">
        <v>3734</v>
      </c>
      <c r="H283" s="1" t="s">
        <v>279</v>
      </c>
      <c r="I283" s="2">
        <v>38934</v>
      </c>
      <c r="J283" s="2">
        <v>44634</v>
      </c>
      <c r="K283" s="1">
        <v>37.909999999999997</v>
      </c>
      <c r="L283" s="4">
        <f>G283*K283%</f>
        <v>1415.5593999999999</v>
      </c>
      <c r="M283" s="4">
        <f>G283-L283</f>
        <v>2318.4405999999999</v>
      </c>
    </row>
    <row r="284" spans="2:13" x14ac:dyDescent="0.3">
      <c r="B284" s="1">
        <v>1485</v>
      </c>
      <c r="C284" s="2">
        <v>45096</v>
      </c>
      <c r="D284" s="1" t="s">
        <v>26</v>
      </c>
      <c r="E284" s="1" t="s">
        <v>88</v>
      </c>
      <c r="F284" s="1" t="s">
        <v>16</v>
      </c>
      <c r="G284" s="1">
        <v>960.82</v>
      </c>
      <c r="H284" s="1" t="s">
        <v>159</v>
      </c>
      <c r="I284" s="2">
        <v>38194</v>
      </c>
      <c r="J284" s="2">
        <v>45099</v>
      </c>
      <c r="K284" s="1">
        <v>40.98</v>
      </c>
      <c r="L284" s="4">
        <f>G284*K284%</f>
        <v>393.74403599999994</v>
      </c>
      <c r="M284" s="4">
        <f>G284-L284</f>
        <v>567.07596400000011</v>
      </c>
    </row>
    <row r="285" spans="2:13" x14ac:dyDescent="0.3">
      <c r="B285" s="1">
        <v>1678</v>
      </c>
      <c r="C285" s="2">
        <v>44869</v>
      </c>
      <c r="D285" s="1" t="s">
        <v>26</v>
      </c>
      <c r="E285" s="1" t="s">
        <v>58</v>
      </c>
      <c r="F285" s="1" t="s">
        <v>31</v>
      </c>
      <c r="G285" s="1">
        <v>542.16999999999996</v>
      </c>
      <c r="H285" s="1" t="s">
        <v>159</v>
      </c>
      <c r="I285" s="2">
        <v>38194</v>
      </c>
      <c r="J285" s="2">
        <v>44870</v>
      </c>
      <c r="K285" s="1">
        <v>12.99</v>
      </c>
      <c r="L285" s="4">
        <f>G285*K285%</f>
        <v>70.427883000000008</v>
      </c>
      <c r="M285" s="4">
        <f>G285-L285</f>
        <v>471.74211699999995</v>
      </c>
    </row>
    <row r="286" spans="2:13" x14ac:dyDescent="0.3">
      <c r="B286" s="1">
        <v>1179</v>
      </c>
      <c r="C286" s="2">
        <v>44307</v>
      </c>
      <c r="D286" s="1" t="s">
        <v>26</v>
      </c>
      <c r="E286" s="1" t="s">
        <v>47</v>
      </c>
      <c r="F286" s="1" t="s">
        <v>12</v>
      </c>
      <c r="G286" s="1">
        <v>319.27999999999997</v>
      </c>
      <c r="H286" s="1" t="s">
        <v>180</v>
      </c>
      <c r="I286" s="2">
        <v>25163</v>
      </c>
      <c r="J286" s="2">
        <v>44319</v>
      </c>
      <c r="K286" s="1">
        <v>34.58</v>
      </c>
      <c r="L286" s="4">
        <f>G286*K286%</f>
        <v>110.40702399999999</v>
      </c>
      <c r="M286" s="4">
        <f>G286-L286</f>
        <v>208.87297599999999</v>
      </c>
    </row>
    <row r="287" spans="2:13" x14ac:dyDescent="0.3">
      <c r="B287" s="1">
        <v>1173</v>
      </c>
      <c r="C287" s="2">
        <v>44561</v>
      </c>
      <c r="D287" s="1" t="s">
        <v>26</v>
      </c>
      <c r="E287" s="1" t="s">
        <v>55</v>
      </c>
      <c r="F287" s="1" t="s">
        <v>31</v>
      </c>
      <c r="G287" s="1">
        <v>3327.36</v>
      </c>
      <c r="H287" s="1" t="s">
        <v>126</v>
      </c>
      <c r="I287" s="2">
        <v>28644</v>
      </c>
      <c r="J287" s="2">
        <v>44567</v>
      </c>
      <c r="K287" s="1">
        <v>43.29</v>
      </c>
      <c r="L287" s="4">
        <f>G287*K287%</f>
        <v>1440.4141440000001</v>
      </c>
      <c r="M287" s="4">
        <f>G287-L287</f>
        <v>1886.945856</v>
      </c>
    </row>
    <row r="288" spans="2:13" x14ac:dyDescent="0.3">
      <c r="B288" s="1">
        <v>1742</v>
      </c>
      <c r="C288" s="2">
        <v>45859</v>
      </c>
      <c r="D288" s="1" t="s">
        <v>26</v>
      </c>
      <c r="E288" s="1" t="s">
        <v>47</v>
      </c>
      <c r="F288" s="1" t="s">
        <v>12</v>
      </c>
      <c r="G288" s="1">
        <v>3946.68</v>
      </c>
      <c r="H288" s="1" t="s">
        <v>187</v>
      </c>
      <c r="I288" s="2">
        <v>30778</v>
      </c>
      <c r="J288" s="2">
        <v>45865</v>
      </c>
      <c r="K288" s="1">
        <v>40.43</v>
      </c>
      <c r="L288" s="4">
        <f>G288*K288%</f>
        <v>1595.6427239999998</v>
      </c>
      <c r="M288" s="4">
        <f>G288-L288</f>
        <v>2351.037276</v>
      </c>
    </row>
    <row r="289" spans="2:13" x14ac:dyDescent="0.3">
      <c r="B289" s="1">
        <v>1044</v>
      </c>
      <c r="C289" s="2">
        <v>45605</v>
      </c>
      <c r="D289" s="1" t="s">
        <v>26</v>
      </c>
      <c r="E289" s="1" t="s">
        <v>44</v>
      </c>
      <c r="F289" s="1" t="s">
        <v>16</v>
      </c>
      <c r="G289" s="1">
        <v>1716.51</v>
      </c>
      <c r="H289" s="1" t="s">
        <v>67</v>
      </c>
      <c r="I289" s="2">
        <v>34016</v>
      </c>
      <c r="J289" s="2">
        <v>45619</v>
      </c>
      <c r="K289" s="1">
        <v>4.53</v>
      </c>
      <c r="L289" s="4">
        <f>G289*K289%</f>
        <v>77.757902999999999</v>
      </c>
      <c r="M289" s="4">
        <f>G289-L289</f>
        <v>1638.752097</v>
      </c>
    </row>
    <row r="290" spans="2:13" x14ac:dyDescent="0.3">
      <c r="B290" s="1">
        <v>1624</v>
      </c>
      <c r="C290" s="2">
        <v>44248</v>
      </c>
      <c r="D290" s="1" t="s">
        <v>26</v>
      </c>
      <c r="E290" s="1" t="s">
        <v>69</v>
      </c>
      <c r="F290" s="1" t="s">
        <v>31</v>
      </c>
      <c r="G290" s="1">
        <v>628.28</v>
      </c>
      <c r="H290" s="1" t="s">
        <v>67</v>
      </c>
      <c r="I290" s="2">
        <v>34016</v>
      </c>
      <c r="J290" s="2">
        <v>44251</v>
      </c>
      <c r="K290" s="1">
        <v>48.63</v>
      </c>
      <c r="L290" s="4">
        <f>G290*K290%</f>
        <v>305.53256399999998</v>
      </c>
      <c r="M290" s="4">
        <f>G290-L290</f>
        <v>322.74743599999999</v>
      </c>
    </row>
    <row r="291" spans="2:13" x14ac:dyDescent="0.3">
      <c r="B291" s="1">
        <v>1868</v>
      </c>
      <c r="C291" s="2">
        <v>44618</v>
      </c>
      <c r="D291" s="1" t="s">
        <v>26</v>
      </c>
      <c r="E291" s="1" t="s">
        <v>40</v>
      </c>
      <c r="F291" s="1" t="s">
        <v>16</v>
      </c>
      <c r="G291" s="1">
        <v>937.21</v>
      </c>
      <c r="H291" s="1" t="s">
        <v>308</v>
      </c>
      <c r="I291" s="2">
        <v>35336</v>
      </c>
      <c r="J291" s="2">
        <v>44625</v>
      </c>
      <c r="K291" s="1">
        <v>17.100000000000001</v>
      </c>
      <c r="L291" s="4">
        <f>G291*K291%</f>
        <v>160.26291000000001</v>
      </c>
      <c r="M291" s="4">
        <f>G291-L291</f>
        <v>776.94709</v>
      </c>
    </row>
    <row r="292" spans="2:13" x14ac:dyDescent="0.3">
      <c r="B292" s="1">
        <v>1297</v>
      </c>
      <c r="C292" s="2">
        <v>44703</v>
      </c>
      <c r="D292" s="1" t="s">
        <v>26</v>
      </c>
      <c r="E292" s="1" t="s">
        <v>22</v>
      </c>
      <c r="F292" s="1" t="s">
        <v>19</v>
      </c>
      <c r="G292" s="1">
        <v>3838.33</v>
      </c>
      <c r="H292" s="1" t="s">
        <v>210</v>
      </c>
      <c r="I292" s="2">
        <v>27550</v>
      </c>
      <c r="J292" s="2">
        <v>44713</v>
      </c>
      <c r="K292" s="1">
        <v>24.79</v>
      </c>
      <c r="L292" s="4">
        <f>G292*K292%</f>
        <v>951.52200699999992</v>
      </c>
      <c r="M292" s="4">
        <f>G292-L292</f>
        <v>2886.8079929999999</v>
      </c>
    </row>
    <row r="293" spans="2:13" x14ac:dyDescent="0.3">
      <c r="B293" s="1">
        <v>1812</v>
      </c>
      <c r="C293" s="2">
        <v>44424</v>
      </c>
      <c r="D293" s="1" t="s">
        <v>26</v>
      </c>
      <c r="E293" s="1" t="s">
        <v>69</v>
      </c>
      <c r="F293" s="1" t="s">
        <v>31</v>
      </c>
      <c r="G293" s="1">
        <v>2457.6999999999998</v>
      </c>
      <c r="H293" s="1" t="s">
        <v>210</v>
      </c>
      <c r="I293" s="2">
        <v>27550</v>
      </c>
      <c r="J293" s="2">
        <v>44425</v>
      </c>
      <c r="K293" s="1">
        <v>27.07</v>
      </c>
      <c r="L293" s="4">
        <f>G293*K293%</f>
        <v>665.2993899999999</v>
      </c>
      <c r="M293" s="4">
        <f>G293-L293</f>
        <v>1792.4006099999999</v>
      </c>
    </row>
    <row r="294" spans="2:13" x14ac:dyDescent="0.3">
      <c r="B294" s="1">
        <v>1347</v>
      </c>
      <c r="C294" s="2">
        <v>45525</v>
      </c>
      <c r="D294" s="1" t="s">
        <v>26</v>
      </c>
      <c r="E294" s="1" t="s">
        <v>24</v>
      </c>
      <c r="F294" s="1" t="s">
        <v>19</v>
      </c>
      <c r="G294" s="1">
        <v>4991.8599999999997</v>
      </c>
      <c r="H294" s="1" t="s">
        <v>153</v>
      </c>
      <c r="I294" s="2">
        <v>36216</v>
      </c>
      <c r="J294" s="2">
        <v>45527</v>
      </c>
      <c r="K294" s="1">
        <v>21.77</v>
      </c>
      <c r="L294" s="4">
        <f>G294*K294%</f>
        <v>1086.727922</v>
      </c>
      <c r="M294" s="4">
        <f>G294-L294</f>
        <v>3905.1320779999996</v>
      </c>
    </row>
    <row r="295" spans="2:13" x14ac:dyDescent="0.3">
      <c r="B295" s="1">
        <v>1231</v>
      </c>
      <c r="C295" s="2">
        <v>44857</v>
      </c>
      <c r="D295" s="1" t="s">
        <v>26</v>
      </c>
      <c r="E295" s="1" t="s">
        <v>47</v>
      </c>
      <c r="F295" s="1" t="s">
        <v>12</v>
      </c>
      <c r="G295" s="1">
        <v>2995.97</v>
      </c>
      <c r="H295" s="1" t="s">
        <v>153</v>
      </c>
      <c r="I295" s="2">
        <v>36216</v>
      </c>
      <c r="J295" s="2">
        <v>44868</v>
      </c>
      <c r="K295" s="1">
        <v>3.74</v>
      </c>
      <c r="L295" s="4">
        <f>G295*K295%</f>
        <v>112.049278</v>
      </c>
      <c r="M295" s="4">
        <f>G295-L295</f>
        <v>2883.9207219999998</v>
      </c>
    </row>
    <row r="296" spans="2:13" x14ac:dyDescent="0.3">
      <c r="B296" s="1">
        <v>1794</v>
      </c>
      <c r="C296" s="2">
        <v>45176</v>
      </c>
      <c r="D296" s="1" t="s">
        <v>26</v>
      </c>
      <c r="E296" s="1" t="s">
        <v>71</v>
      </c>
      <c r="F296" s="1" t="s">
        <v>31</v>
      </c>
      <c r="G296" s="1">
        <v>4084.74</v>
      </c>
      <c r="H296" s="1" t="s">
        <v>304</v>
      </c>
      <c r="I296" s="2">
        <v>36246</v>
      </c>
      <c r="J296" s="2">
        <v>45177</v>
      </c>
      <c r="K296" s="1">
        <v>8.34</v>
      </c>
      <c r="L296" s="4">
        <f>G296*K296%</f>
        <v>340.66731599999997</v>
      </c>
      <c r="M296" s="4">
        <f>G296-L296</f>
        <v>3744.0726839999998</v>
      </c>
    </row>
    <row r="297" spans="2:13" x14ac:dyDescent="0.3">
      <c r="B297" s="1">
        <v>1204</v>
      </c>
      <c r="C297" s="2">
        <v>44468</v>
      </c>
      <c r="D297" s="1" t="s">
        <v>26</v>
      </c>
      <c r="E297" s="1" t="s">
        <v>65</v>
      </c>
      <c r="F297" s="1" t="s">
        <v>19</v>
      </c>
      <c r="G297" s="1">
        <v>4910.2700000000004</v>
      </c>
      <c r="H297" s="1" t="s">
        <v>173</v>
      </c>
      <c r="I297" s="2">
        <v>22016</v>
      </c>
      <c r="J297" s="2">
        <v>44481</v>
      </c>
      <c r="K297" s="1">
        <v>0.52</v>
      </c>
      <c r="L297" s="4">
        <f>G297*K297%</f>
        <v>25.533404000000001</v>
      </c>
      <c r="M297" s="4">
        <f>G297-L297</f>
        <v>4884.7365960000006</v>
      </c>
    </row>
    <row r="298" spans="2:13" x14ac:dyDescent="0.3">
      <c r="B298" s="1">
        <v>1935</v>
      </c>
      <c r="C298" s="2">
        <v>45710</v>
      </c>
      <c r="D298" s="1" t="s">
        <v>26</v>
      </c>
      <c r="E298" s="1" t="s">
        <v>49</v>
      </c>
      <c r="F298" s="1" t="s">
        <v>12</v>
      </c>
      <c r="G298" s="1">
        <v>3345.99</v>
      </c>
      <c r="H298" s="1" t="s">
        <v>97</v>
      </c>
      <c r="I298" s="2">
        <v>24706</v>
      </c>
      <c r="J298" s="2">
        <v>45721</v>
      </c>
      <c r="K298" s="1">
        <v>38.380000000000003</v>
      </c>
      <c r="L298" s="4">
        <f>G298*K298%</f>
        <v>1284.1909620000001</v>
      </c>
      <c r="M298" s="4">
        <f>G298-L298</f>
        <v>2061.7990379999997</v>
      </c>
    </row>
    <row r="299" spans="2:13" x14ac:dyDescent="0.3">
      <c r="B299" s="1">
        <v>1930</v>
      </c>
      <c r="C299" s="2">
        <v>45578</v>
      </c>
      <c r="D299" s="1" t="s">
        <v>26</v>
      </c>
      <c r="E299" s="1" t="s">
        <v>73</v>
      </c>
      <c r="F299" s="1" t="s">
        <v>28</v>
      </c>
      <c r="G299" s="1">
        <v>3782.03</v>
      </c>
      <c r="H299" s="1" t="s">
        <v>161</v>
      </c>
      <c r="I299" s="2">
        <v>29386</v>
      </c>
      <c r="J299" s="2">
        <v>45590</v>
      </c>
      <c r="K299" s="1">
        <v>10.24</v>
      </c>
      <c r="L299" s="4">
        <f>G299*K299%</f>
        <v>387.27987200000001</v>
      </c>
      <c r="M299" s="4">
        <f>G299-L299</f>
        <v>3394.7501280000001</v>
      </c>
    </row>
    <row r="300" spans="2:13" x14ac:dyDescent="0.3">
      <c r="B300" s="1">
        <v>1953</v>
      </c>
      <c r="C300" s="2">
        <v>45189</v>
      </c>
      <c r="D300" s="1" t="s">
        <v>26</v>
      </c>
      <c r="E300" s="1" t="s">
        <v>61</v>
      </c>
      <c r="F300" s="1" t="s">
        <v>19</v>
      </c>
      <c r="G300" s="1">
        <v>1687.13</v>
      </c>
      <c r="H300" s="1" t="s">
        <v>160</v>
      </c>
      <c r="I300" s="2">
        <v>35321</v>
      </c>
      <c r="J300" s="2">
        <v>45201</v>
      </c>
      <c r="K300" s="1">
        <v>8.3800000000000008</v>
      </c>
      <c r="L300" s="4">
        <f>G300*K300%</f>
        <v>141.38149400000003</v>
      </c>
      <c r="M300" s="4">
        <f>G300-L300</f>
        <v>1545.7485060000001</v>
      </c>
    </row>
    <row r="301" spans="2:13" x14ac:dyDescent="0.3">
      <c r="B301" s="1">
        <v>1161</v>
      </c>
      <c r="C301" s="2">
        <v>45796</v>
      </c>
      <c r="D301" s="1" t="s">
        <v>26</v>
      </c>
      <c r="E301" s="1" t="s">
        <v>44</v>
      </c>
      <c r="F301" s="1" t="s">
        <v>16</v>
      </c>
      <c r="G301" s="1">
        <v>1635.84</v>
      </c>
      <c r="H301" s="1" t="s">
        <v>160</v>
      </c>
      <c r="I301" s="2">
        <v>35321</v>
      </c>
      <c r="J301" s="2">
        <v>45804</v>
      </c>
      <c r="K301" s="1">
        <v>5.75</v>
      </c>
      <c r="L301" s="4">
        <f>G301*K301%</f>
        <v>94.0608</v>
      </c>
      <c r="M301" s="4">
        <f>G301-L301</f>
        <v>1541.7791999999999</v>
      </c>
    </row>
    <row r="302" spans="2:13" x14ac:dyDescent="0.3">
      <c r="B302" s="1">
        <v>1403</v>
      </c>
      <c r="C302" s="2">
        <v>44270</v>
      </c>
      <c r="D302" s="1" t="s">
        <v>26</v>
      </c>
      <c r="E302" s="1" t="s">
        <v>36</v>
      </c>
      <c r="F302" s="1" t="s">
        <v>28</v>
      </c>
      <c r="G302" s="1">
        <v>2977.52</v>
      </c>
      <c r="H302" s="1" t="s">
        <v>249</v>
      </c>
      <c r="I302" s="2">
        <v>28555</v>
      </c>
      <c r="J302" s="2">
        <v>44284</v>
      </c>
      <c r="K302" s="1">
        <v>44.42</v>
      </c>
      <c r="L302" s="4">
        <f>G302*K302%</f>
        <v>1322.6143840000002</v>
      </c>
      <c r="M302" s="4">
        <f>G302-L302</f>
        <v>1654.9056159999998</v>
      </c>
    </row>
    <row r="303" spans="2:13" x14ac:dyDescent="0.3">
      <c r="B303" s="1">
        <v>1420</v>
      </c>
      <c r="C303" s="2">
        <v>44202</v>
      </c>
      <c r="D303" s="1" t="s">
        <v>26</v>
      </c>
      <c r="E303" s="1" t="s">
        <v>71</v>
      </c>
      <c r="F303" s="1" t="s">
        <v>31</v>
      </c>
      <c r="G303" s="1">
        <v>4802.88</v>
      </c>
      <c r="H303" s="1" t="s">
        <v>263</v>
      </c>
      <c r="I303" s="2">
        <v>35629</v>
      </c>
      <c r="J303" s="2">
        <v>44212</v>
      </c>
      <c r="K303" s="1">
        <v>16.18</v>
      </c>
      <c r="L303" s="4">
        <f>G303*K303%</f>
        <v>777.10598400000003</v>
      </c>
      <c r="M303" s="4">
        <f>G303-L303</f>
        <v>4025.7740160000003</v>
      </c>
    </row>
    <row r="304" spans="2:13" x14ac:dyDescent="0.3">
      <c r="B304" s="1">
        <v>1743</v>
      </c>
      <c r="C304" s="2">
        <v>44234</v>
      </c>
      <c r="D304" s="1" t="s">
        <v>26</v>
      </c>
      <c r="E304" s="1" t="s">
        <v>24</v>
      </c>
      <c r="F304" s="1" t="s">
        <v>19</v>
      </c>
      <c r="G304" s="1">
        <v>2930.76</v>
      </c>
      <c r="H304" s="1" t="s">
        <v>263</v>
      </c>
      <c r="I304" s="2">
        <v>35629</v>
      </c>
      <c r="J304" s="2">
        <v>44247</v>
      </c>
      <c r="K304" s="1">
        <v>29.79</v>
      </c>
      <c r="L304" s="4">
        <f>G304*K304%</f>
        <v>873.0734040000001</v>
      </c>
      <c r="M304" s="4">
        <f>G304-L304</f>
        <v>2057.686596</v>
      </c>
    </row>
    <row r="305" spans="2:13" x14ac:dyDescent="0.3">
      <c r="B305" s="1">
        <v>1834</v>
      </c>
      <c r="C305" s="2">
        <v>45874</v>
      </c>
      <c r="D305" s="1" t="s">
        <v>26</v>
      </c>
      <c r="E305" s="1" t="s">
        <v>69</v>
      </c>
      <c r="F305" s="1" t="s">
        <v>12</v>
      </c>
      <c r="G305" s="1">
        <v>4328.8599999999997</v>
      </c>
      <c r="H305" s="1" t="s">
        <v>269</v>
      </c>
      <c r="I305" s="2">
        <v>30976</v>
      </c>
      <c r="J305" s="2">
        <v>45882</v>
      </c>
      <c r="K305" s="1">
        <v>2.94</v>
      </c>
      <c r="L305" s="4">
        <f>G305*K305%</f>
        <v>127.26848399999999</v>
      </c>
      <c r="M305" s="4">
        <f>G305-L305</f>
        <v>4201.5915159999995</v>
      </c>
    </row>
    <row r="306" spans="2:13" x14ac:dyDescent="0.3">
      <c r="B306" s="1">
        <v>1895</v>
      </c>
      <c r="C306" s="2">
        <v>45847</v>
      </c>
      <c r="D306" s="1" t="s">
        <v>26</v>
      </c>
      <c r="E306" s="1" t="s">
        <v>58</v>
      </c>
      <c r="F306" s="1" t="s">
        <v>31</v>
      </c>
      <c r="G306" s="1">
        <v>1426.01</v>
      </c>
      <c r="H306" s="1" t="s">
        <v>101</v>
      </c>
      <c r="I306" s="2">
        <v>31331</v>
      </c>
      <c r="J306" s="2">
        <v>45851</v>
      </c>
      <c r="K306" s="1">
        <v>26.73</v>
      </c>
      <c r="L306" s="4">
        <f>G306*K306%</f>
        <v>381.17247299999997</v>
      </c>
      <c r="M306" s="4">
        <f>G306-L306</f>
        <v>1044.8375270000001</v>
      </c>
    </row>
    <row r="307" spans="2:13" x14ac:dyDescent="0.3">
      <c r="B307" s="1">
        <v>1527</v>
      </c>
      <c r="C307" s="2">
        <v>44847</v>
      </c>
      <c r="D307" s="1" t="s">
        <v>26</v>
      </c>
      <c r="E307" s="1" t="s">
        <v>30</v>
      </c>
      <c r="F307" s="1" t="s">
        <v>31</v>
      </c>
      <c r="G307" s="1">
        <v>2401.7800000000002</v>
      </c>
      <c r="H307" s="1" t="s">
        <v>154</v>
      </c>
      <c r="I307" s="2">
        <v>32146</v>
      </c>
      <c r="J307" s="2">
        <v>44849</v>
      </c>
      <c r="K307" s="1">
        <v>21.01</v>
      </c>
      <c r="L307" s="4">
        <f>G307*K307%</f>
        <v>504.61397800000009</v>
      </c>
      <c r="M307" s="4">
        <f>G307-L307</f>
        <v>1897.1660220000001</v>
      </c>
    </row>
    <row r="308" spans="2:13" x14ac:dyDescent="0.3">
      <c r="B308" s="1">
        <v>1694</v>
      </c>
      <c r="C308" s="2">
        <v>45503</v>
      </c>
      <c r="D308" s="1" t="s">
        <v>26</v>
      </c>
      <c r="E308" s="1" t="s">
        <v>15</v>
      </c>
      <c r="F308" s="1" t="s">
        <v>16</v>
      </c>
      <c r="G308" s="1">
        <v>4655.5200000000004</v>
      </c>
      <c r="H308" s="1" t="s">
        <v>128</v>
      </c>
      <c r="I308" s="2">
        <v>37961</v>
      </c>
      <c r="J308" s="2">
        <v>45516</v>
      </c>
      <c r="K308" s="1">
        <v>14.23</v>
      </c>
      <c r="L308" s="4">
        <f>G308*K308%</f>
        <v>662.48049600000013</v>
      </c>
      <c r="M308" s="4">
        <f>G308-L308</f>
        <v>3993.0395040000003</v>
      </c>
    </row>
    <row r="309" spans="2:13" x14ac:dyDescent="0.3">
      <c r="B309" s="1">
        <v>1662</v>
      </c>
      <c r="C309" s="2">
        <v>44407</v>
      </c>
      <c r="D309" s="1" t="s">
        <v>26</v>
      </c>
      <c r="E309" s="1" t="s">
        <v>38</v>
      </c>
      <c r="F309" s="1" t="s">
        <v>28</v>
      </c>
      <c r="G309" s="1">
        <v>849.78</v>
      </c>
      <c r="H309" s="1" t="s">
        <v>262</v>
      </c>
      <c r="I309" s="2">
        <v>36590</v>
      </c>
      <c r="J309" s="2">
        <v>44420</v>
      </c>
      <c r="K309" s="1">
        <v>1.58</v>
      </c>
      <c r="L309" s="4">
        <f>G309*K309%</f>
        <v>13.426524000000001</v>
      </c>
      <c r="M309" s="4">
        <f>G309-L309</f>
        <v>836.353476</v>
      </c>
    </row>
    <row r="310" spans="2:13" x14ac:dyDescent="0.3">
      <c r="B310" s="1">
        <v>1858</v>
      </c>
      <c r="C310" s="2">
        <v>44074</v>
      </c>
      <c r="D310" s="1" t="s">
        <v>26</v>
      </c>
      <c r="E310" s="1" t="s">
        <v>47</v>
      </c>
      <c r="F310" s="1" t="s">
        <v>12</v>
      </c>
      <c r="G310" s="1">
        <v>1614.92</v>
      </c>
      <c r="H310" s="1" t="s">
        <v>307</v>
      </c>
      <c r="I310" s="2">
        <v>30321</v>
      </c>
      <c r="J310" s="2">
        <v>44087</v>
      </c>
      <c r="K310" s="1">
        <v>30.95</v>
      </c>
      <c r="L310" s="4">
        <f>G310*K310%</f>
        <v>499.81774000000001</v>
      </c>
      <c r="M310" s="4">
        <f>G310-L310</f>
        <v>1115.1022600000001</v>
      </c>
    </row>
    <row r="311" spans="2:13" x14ac:dyDescent="0.3">
      <c r="B311" s="1">
        <v>1075</v>
      </c>
      <c r="C311" s="2">
        <v>45212</v>
      </c>
      <c r="D311" s="1" t="s">
        <v>26</v>
      </c>
      <c r="E311" s="1" t="s">
        <v>27</v>
      </c>
      <c r="F311" s="1" t="s">
        <v>28</v>
      </c>
      <c r="G311" s="1">
        <v>4787.12</v>
      </c>
      <c r="H311" s="1" t="s">
        <v>110</v>
      </c>
      <c r="I311" s="2">
        <v>32064</v>
      </c>
      <c r="J311" s="2">
        <v>45226</v>
      </c>
      <c r="K311" s="1">
        <v>1.25</v>
      </c>
      <c r="L311" s="4">
        <f>G311*K311%</f>
        <v>59.838999999999999</v>
      </c>
      <c r="M311" s="4">
        <f>G311-L311</f>
        <v>4727.2809999999999</v>
      </c>
    </row>
    <row r="312" spans="2:13" x14ac:dyDescent="0.3">
      <c r="B312" s="1">
        <v>1258</v>
      </c>
      <c r="C312" s="2">
        <v>44533</v>
      </c>
      <c r="D312" s="1" t="s">
        <v>26</v>
      </c>
      <c r="E312" s="1" t="s">
        <v>49</v>
      </c>
      <c r="F312" s="1" t="s">
        <v>12</v>
      </c>
      <c r="G312" s="1">
        <v>4156.28</v>
      </c>
      <c r="H312" s="1" t="s">
        <v>110</v>
      </c>
      <c r="I312" s="2">
        <v>32064</v>
      </c>
      <c r="J312" s="2">
        <v>44535</v>
      </c>
      <c r="K312" s="1">
        <v>11.58</v>
      </c>
      <c r="L312" s="4">
        <f>G312*K312%</f>
        <v>481.29722399999997</v>
      </c>
      <c r="M312" s="4">
        <f>G312-L312</f>
        <v>3674.9827759999998</v>
      </c>
    </row>
    <row r="313" spans="2:13" x14ac:dyDescent="0.3">
      <c r="B313" s="1">
        <v>1708</v>
      </c>
      <c r="C313" s="2">
        <v>45285</v>
      </c>
      <c r="D313" s="1" t="s">
        <v>26</v>
      </c>
      <c r="E313" s="1" t="s">
        <v>58</v>
      </c>
      <c r="F313" s="1" t="s">
        <v>31</v>
      </c>
      <c r="G313" s="1">
        <v>4234.68</v>
      </c>
      <c r="H313" s="1" t="s">
        <v>87</v>
      </c>
      <c r="I313" s="2">
        <v>36012</v>
      </c>
      <c r="J313" s="2">
        <v>45299</v>
      </c>
      <c r="K313" s="1">
        <v>44.06</v>
      </c>
      <c r="L313" s="4">
        <f>G313*K313%</f>
        <v>1865.8000080000004</v>
      </c>
      <c r="M313" s="4">
        <f>G313-L313</f>
        <v>2368.8799920000001</v>
      </c>
    </row>
    <row r="314" spans="2:13" x14ac:dyDescent="0.3">
      <c r="B314" s="1">
        <v>1555</v>
      </c>
      <c r="C314" s="2">
        <v>45185</v>
      </c>
      <c r="D314" s="1" t="s">
        <v>26</v>
      </c>
      <c r="E314" s="1" t="s">
        <v>53</v>
      </c>
      <c r="F314" s="1" t="s">
        <v>28</v>
      </c>
      <c r="G314" s="1">
        <v>1096.3800000000001</v>
      </c>
      <c r="H314" s="1" t="s">
        <v>87</v>
      </c>
      <c r="I314" s="2">
        <v>36012</v>
      </c>
      <c r="J314" s="2">
        <v>45195</v>
      </c>
      <c r="K314" s="1">
        <v>6.24</v>
      </c>
      <c r="L314" s="4">
        <f>G314*K314%</f>
        <v>68.414112000000017</v>
      </c>
      <c r="M314" s="4">
        <f>G314-L314</f>
        <v>1027.9658880000002</v>
      </c>
    </row>
    <row r="315" spans="2:13" x14ac:dyDescent="0.3">
      <c r="B315" s="1">
        <v>1047</v>
      </c>
      <c r="C315" s="2">
        <v>45337</v>
      </c>
      <c r="D315" s="1" t="s">
        <v>26</v>
      </c>
      <c r="E315" s="1" t="s">
        <v>18</v>
      </c>
      <c r="F315" s="1" t="s">
        <v>19</v>
      </c>
      <c r="G315" s="1">
        <v>1443.45</v>
      </c>
      <c r="H315" s="1" t="s">
        <v>87</v>
      </c>
      <c r="I315" s="2">
        <v>36012</v>
      </c>
      <c r="J315" s="2">
        <v>45338</v>
      </c>
      <c r="K315" s="1">
        <v>34.08</v>
      </c>
      <c r="L315" s="4">
        <f>G315*K315%</f>
        <v>491.92775999999998</v>
      </c>
      <c r="M315" s="4">
        <f>G315-L315</f>
        <v>951.52224000000001</v>
      </c>
    </row>
    <row r="316" spans="2:13" x14ac:dyDescent="0.3">
      <c r="B316" s="1">
        <v>1307</v>
      </c>
      <c r="C316" s="2">
        <v>45377</v>
      </c>
      <c r="D316" s="1" t="s">
        <v>26</v>
      </c>
      <c r="E316" s="1" t="s">
        <v>24</v>
      </c>
      <c r="F316" s="1" t="s">
        <v>19</v>
      </c>
      <c r="G316" s="1">
        <v>2670.72</v>
      </c>
      <c r="H316" s="1" t="s">
        <v>234</v>
      </c>
      <c r="I316" s="2">
        <v>24368</v>
      </c>
      <c r="J316" s="2">
        <v>45379</v>
      </c>
      <c r="K316" s="1">
        <v>34.68</v>
      </c>
      <c r="L316" s="4">
        <f>G316*K316%</f>
        <v>926.20569599999988</v>
      </c>
      <c r="M316" s="4">
        <f>G316-L316</f>
        <v>1744.5143039999998</v>
      </c>
    </row>
    <row r="317" spans="2:13" x14ac:dyDescent="0.3">
      <c r="B317" s="1">
        <v>1373</v>
      </c>
      <c r="C317" s="2">
        <v>45007</v>
      </c>
      <c r="D317" s="1" t="s">
        <v>26</v>
      </c>
      <c r="E317" s="1" t="s">
        <v>61</v>
      </c>
      <c r="F317" s="1" t="s">
        <v>19</v>
      </c>
      <c r="G317" s="1">
        <v>3528.12</v>
      </c>
      <c r="H317" s="1" t="s">
        <v>146</v>
      </c>
      <c r="I317" s="2">
        <v>24961</v>
      </c>
      <c r="J317" s="2">
        <v>45008</v>
      </c>
      <c r="K317" s="1">
        <v>5.15</v>
      </c>
      <c r="L317" s="4">
        <f>G317*K317%</f>
        <v>181.69818000000001</v>
      </c>
      <c r="M317" s="4">
        <f>G317-L317</f>
        <v>3346.42182</v>
      </c>
    </row>
    <row r="318" spans="2:13" x14ac:dyDescent="0.3">
      <c r="B318" s="1">
        <v>1202</v>
      </c>
      <c r="C318" s="2">
        <v>44175</v>
      </c>
      <c r="D318" s="1" t="s">
        <v>26</v>
      </c>
      <c r="E318" s="1" t="s">
        <v>69</v>
      </c>
      <c r="F318" s="1" t="s">
        <v>31</v>
      </c>
      <c r="G318" s="1">
        <v>1511.72</v>
      </c>
      <c r="H318" s="1" t="s">
        <v>195</v>
      </c>
      <c r="I318" s="2">
        <v>28065</v>
      </c>
      <c r="J318" s="2">
        <v>44187</v>
      </c>
      <c r="K318" s="1">
        <v>39.659999999999997</v>
      </c>
      <c r="L318" s="4">
        <f>G318*K318%</f>
        <v>599.54815199999996</v>
      </c>
      <c r="M318" s="4">
        <f>G318-L318</f>
        <v>912.17184800000007</v>
      </c>
    </row>
    <row r="319" spans="2:13" x14ac:dyDescent="0.3">
      <c r="B319" s="1">
        <v>1283</v>
      </c>
      <c r="C319" s="2">
        <v>45017</v>
      </c>
      <c r="D319" s="1" t="s">
        <v>26</v>
      </c>
      <c r="E319" s="1" t="s">
        <v>33</v>
      </c>
      <c r="F319" s="1" t="s">
        <v>16</v>
      </c>
      <c r="G319" s="1">
        <v>1815.01</v>
      </c>
      <c r="H319" s="1" t="s">
        <v>142</v>
      </c>
      <c r="I319" s="2">
        <v>29541</v>
      </c>
      <c r="J319" s="2">
        <v>45031</v>
      </c>
      <c r="K319" s="1">
        <v>30.87</v>
      </c>
      <c r="L319" s="4">
        <f>G319*K319%</f>
        <v>560.293587</v>
      </c>
      <c r="M319" s="4">
        <f>G319-L319</f>
        <v>1254.7164130000001</v>
      </c>
    </row>
    <row r="320" spans="2:13" x14ac:dyDescent="0.3">
      <c r="B320" s="1">
        <v>1118</v>
      </c>
      <c r="C320" s="2">
        <v>44966</v>
      </c>
      <c r="D320" s="1" t="s">
        <v>26</v>
      </c>
      <c r="E320" s="1" t="s">
        <v>55</v>
      </c>
      <c r="F320" s="1" t="s">
        <v>31</v>
      </c>
      <c r="G320" s="1">
        <v>2984.11</v>
      </c>
      <c r="H320" s="1" t="s">
        <v>141</v>
      </c>
      <c r="I320" s="2">
        <v>35559</v>
      </c>
      <c r="J320" s="2">
        <v>44979</v>
      </c>
      <c r="K320" s="1">
        <v>36.44</v>
      </c>
      <c r="L320" s="4">
        <f>G320*K320%</f>
        <v>1087.409684</v>
      </c>
      <c r="M320" s="4">
        <f>G320-L320</f>
        <v>1896.7003160000002</v>
      </c>
    </row>
    <row r="321" spans="2:13" x14ac:dyDescent="0.3">
      <c r="B321" s="1">
        <v>1603</v>
      </c>
      <c r="C321" s="2">
        <v>44250</v>
      </c>
      <c r="D321" s="1" t="s">
        <v>26</v>
      </c>
      <c r="E321" s="1" t="s">
        <v>27</v>
      </c>
      <c r="F321" s="1" t="s">
        <v>28</v>
      </c>
      <c r="G321" s="1">
        <v>3665.39</v>
      </c>
      <c r="H321" s="1" t="s">
        <v>103</v>
      </c>
      <c r="I321" s="2">
        <v>30923</v>
      </c>
      <c r="J321" s="2">
        <v>44254</v>
      </c>
      <c r="K321" s="1">
        <v>16.36</v>
      </c>
      <c r="L321" s="4">
        <f>G321*K321%</f>
        <v>599.65780399999994</v>
      </c>
      <c r="M321" s="4">
        <f>G321-L321</f>
        <v>3065.7321959999999</v>
      </c>
    </row>
    <row r="322" spans="2:13" x14ac:dyDescent="0.3">
      <c r="B322" s="1">
        <v>1065</v>
      </c>
      <c r="C322" s="2">
        <v>45418</v>
      </c>
      <c r="D322" s="1" t="s">
        <v>26</v>
      </c>
      <c r="E322" s="1" t="s">
        <v>58</v>
      </c>
      <c r="F322" s="1" t="s">
        <v>31</v>
      </c>
      <c r="G322" s="1">
        <v>3284.07</v>
      </c>
      <c r="H322" s="1" t="s">
        <v>103</v>
      </c>
      <c r="I322" s="2">
        <v>30923</v>
      </c>
      <c r="J322" s="2">
        <v>45425</v>
      </c>
      <c r="K322" s="1">
        <v>32.409999999999997</v>
      </c>
      <c r="L322" s="4">
        <f>G322*K322%</f>
        <v>1064.3670869999999</v>
      </c>
      <c r="M322" s="4">
        <f>G322-L322</f>
        <v>2219.7029130000001</v>
      </c>
    </row>
    <row r="323" spans="2:13" x14ac:dyDescent="0.3">
      <c r="B323" s="1">
        <v>1451</v>
      </c>
      <c r="C323" s="2">
        <v>44962</v>
      </c>
      <c r="D323" s="1" t="s">
        <v>26</v>
      </c>
      <c r="E323" s="1" t="s">
        <v>18</v>
      </c>
      <c r="F323" s="1" t="s">
        <v>19</v>
      </c>
      <c r="G323" s="1">
        <v>1645.22</v>
      </c>
      <c r="H323" s="1" t="s">
        <v>272</v>
      </c>
      <c r="I323" s="2">
        <v>27832</v>
      </c>
      <c r="J323" s="2">
        <v>44972</v>
      </c>
      <c r="K323" s="1">
        <v>7.75</v>
      </c>
      <c r="L323" s="4">
        <f>G323*K323%</f>
        <v>127.50454999999999</v>
      </c>
      <c r="M323" s="4">
        <f>G323-L323</f>
        <v>1517.7154500000001</v>
      </c>
    </row>
    <row r="324" spans="2:13" x14ac:dyDescent="0.3">
      <c r="B324" s="1">
        <v>1917</v>
      </c>
      <c r="C324" s="2">
        <v>45643</v>
      </c>
      <c r="D324" s="1" t="s">
        <v>26</v>
      </c>
      <c r="E324" s="1" t="s">
        <v>11</v>
      </c>
      <c r="F324" s="1" t="s">
        <v>12</v>
      </c>
      <c r="G324" s="1">
        <v>4900.82</v>
      </c>
      <c r="H324" s="1" t="s">
        <v>134</v>
      </c>
      <c r="I324" s="2">
        <v>30299</v>
      </c>
      <c r="J324" s="2">
        <v>45655</v>
      </c>
      <c r="K324" s="1">
        <v>26.72</v>
      </c>
      <c r="L324" s="4">
        <f>G324*K324%</f>
        <v>1309.499104</v>
      </c>
      <c r="M324" s="4">
        <f>G324-L324</f>
        <v>3591.3208959999997</v>
      </c>
    </row>
    <row r="325" spans="2:13" x14ac:dyDescent="0.3">
      <c r="B325" s="1">
        <v>1410</v>
      </c>
      <c r="C325" s="2">
        <v>44170</v>
      </c>
      <c r="D325" s="1" t="s">
        <v>26</v>
      </c>
      <c r="E325" s="1" t="s">
        <v>102</v>
      </c>
      <c r="F325" s="1" t="s">
        <v>12</v>
      </c>
      <c r="G325" s="1">
        <v>3107.81</v>
      </c>
      <c r="H325" s="1" t="s">
        <v>108</v>
      </c>
      <c r="I325" s="2">
        <v>33413</v>
      </c>
      <c r="J325" s="2">
        <v>44184</v>
      </c>
      <c r="K325" s="1">
        <v>27.37</v>
      </c>
      <c r="L325" s="4">
        <f>G325*K325%</f>
        <v>850.60759699999994</v>
      </c>
      <c r="M325" s="4">
        <f>G325-L325</f>
        <v>2257.2024030000002</v>
      </c>
    </row>
    <row r="326" spans="2:13" x14ac:dyDescent="0.3">
      <c r="B326" s="1">
        <v>1081</v>
      </c>
      <c r="C326" s="2">
        <v>44548</v>
      </c>
      <c r="D326" s="1" t="s">
        <v>26</v>
      </c>
      <c r="E326" s="1" t="s">
        <v>30</v>
      </c>
      <c r="F326" s="1" t="s">
        <v>31</v>
      </c>
      <c r="G326" s="1">
        <v>556.89</v>
      </c>
      <c r="H326" s="1" t="s">
        <v>108</v>
      </c>
      <c r="I326" s="2">
        <v>33413</v>
      </c>
      <c r="J326" s="2">
        <v>44554</v>
      </c>
      <c r="K326" s="1">
        <v>9.42</v>
      </c>
      <c r="L326" s="4">
        <f>G326*K326%</f>
        <v>52.459038</v>
      </c>
      <c r="M326" s="4">
        <f>G326-L326</f>
        <v>504.43096199999997</v>
      </c>
    </row>
    <row r="327" spans="2:13" x14ac:dyDescent="0.3">
      <c r="B327" s="1">
        <v>1503</v>
      </c>
      <c r="C327" s="2">
        <v>44961</v>
      </c>
      <c r="D327" s="1" t="s">
        <v>26</v>
      </c>
      <c r="E327" s="1" t="s">
        <v>38</v>
      </c>
      <c r="F327" s="1" t="s">
        <v>28</v>
      </c>
      <c r="G327" s="1">
        <v>1119.8599999999999</v>
      </c>
      <c r="H327" s="1" t="s">
        <v>166</v>
      </c>
      <c r="I327" s="2">
        <v>27879</v>
      </c>
      <c r="J327" s="2">
        <v>44968</v>
      </c>
      <c r="K327" s="1">
        <v>7.51</v>
      </c>
      <c r="L327" s="4">
        <f>G327*K327%</f>
        <v>84.101485999999994</v>
      </c>
      <c r="M327" s="4">
        <f>G327-L327</f>
        <v>1035.7585139999999</v>
      </c>
    </row>
    <row r="328" spans="2:13" x14ac:dyDescent="0.3">
      <c r="B328" s="1">
        <v>1530</v>
      </c>
      <c r="C328" s="2">
        <v>44286</v>
      </c>
      <c r="D328" s="1" t="s">
        <v>26</v>
      </c>
      <c r="E328" s="1" t="s">
        <v>61</v>
      </c>
      <c r="F328" s="1" t="s">
        <v>19</v>
      </c>
      <c r="G328" s="1">
        <v>4265.28</v>
      </c>
      <c r="H328" s="1" t="s">
        <v>80</v>
      </c>
      <c r="I328" s="2">
        <v>31578</v>
      </c>
      <c r="J328" s="2">
        <v>44287</v>
      </c>
      <c r="K328" s="1">
        <v>41.11</v>
      </c>
      <c r="L328" s="4">
        <f>G328*K328%</f>
        <v>1753.456608</v>
      </c>
      <c r="M328" s="4">
        <f>G328-L328</f>
        <v>2511.8233919999998</v>
      </c>
    </row>
    <row r="329" spans="2:13" x14ac:dyDescent="0.3">
      <c r="B329" s="1">
        <v>1243</v>
      </c>
      <c r="C329" s="2">
        <v>44438</v>
      </c>
      <c r="D329" s="1" t="s">
        <v>26</v>
      </c>
      <c r="E329" s="1" t="s">
        <v>53</v>
      </c>
      <c r="F329" s="1" t="s">
        <v>28</v>
      </c>
      <c r="G329" s="1">
        <v>993.29</v>
      </c>
      <c r="H329" s="1" t="s">
        <v>80</v>
      </c>
      <c r="I329" s="2">
        <v>31578</v>
      </c>
      <c r="J329" s="2">
        <v>44442</v>
      </c>
      <c r="K329" s="1">
        <v>9.93</v>
      </c>
      <c r="L329" s="4">
        <f>G329*K329%</f>
        <v>98.633696999999998</v>
      </c>
      <c r="M329" s="4">
        <f>G329-L329</f>
        <v>894.65630299999998</v>
      </c>
    </row>
    <row r="330" spans="2:13" x14ac:dyDescent="0.3">
      <c r="B330" s="1">
        <v>1511</v>
      </c>
      <c r="C330" s="2">
        <v>44328</v>
      </c>
      <c r="D330" s="1" t="s">
        <v>26</v>
      </c>
      <c r="E330" s="1" t="s">
        <v>55</v>
      </c>
      <c r="F330" s="1" t="s">
        <v>31</v>
      </c>
      <c r="G330" s="1">
        <v>3452.36</v>
      </c>
      <c r="H330" s="1" t="s">
        <v>17</v>
      </c>
      <c r="I330" s="2">
        <v>26484</v>
      </c>
      <c r="J330" s="2">
        <v>44333</v>
      </c>
      <c r="K330" s="1">
        <v>26.13</v>
      </c>
      <c r="L330" s="4">
        <f>G330*K330%</f>
        <v>902.1016679999999</v>
      </c>
      <c r="M330" s="4">
        <f>G330-L330</f>
        <v>2550.2583320000003</v>
      </c>
    </row>
    <row r="331" spans="2:13" x14ac:dyDescent="0.3">
      <c r="B331" s="1">
        <v>1872</v>
      </c>
      <c r="C331" s="2">
        <v>45225</v>
      </c>
      <c r="D331" s="1" t="s">
        <v>26</v>
      </c>
      <c r="E331" s="1" t="s">
        <v>27</v>
      </c>
      <c r="F331" s="1" t="s">
        <v>28</v>
      </c>
      <c r="G331" s="1">
        <v>4245.3900000000003</v>
      </c>
      <c r="H331" s="1" t="s">
        <v>17</v>
      </c>
      <c r="I331" s="2">
        <v>26484</v>
      </c>
      <c r="J331" s="2">
        <v>45239</v>
      </c>
      <c r="K331" s="1">
        <v>43.28</v>
      </c>
      <c r="L331" s="4">
        <f>G331*K331%</f>
        <v>1837.4047920000003</v>
      </c>
      <c r="M331" s="4">
        <f>G331-L331</f>
        <v>2407.9852080000001</v>
      </c>
    </row>
    <row r="332" spans="2:13" x14ac:dyDescent="0.3">
      <c r="B332" s="1">
        <v>1238</v>
      </c>
      <c r="C332" s="2">
        <v>44940</v>
      </c>
      <c r="D332" s="1" t="s">
        <v>26</v>
      </c>
      <c r="E332" s="1" t="s">
        <v>71</v>
      </c>
      <c r="F332" s="1" t="s">
        <v>31</v>
      </c>
      <c r="G332" s="1">
        <v>1509.92</v>
      </c>
      <c r="H332" s="1" t="s">
        <v>214</v>
      </c>
      <c r="I332" s="2">
        <v>29540</v>
      </c>
      <c r="J332" s="2">
        <v>44943</v>
      </c>
      <c r="K332" s="1">
        <v>20.399999999999999</v>
      </c>
      <c r="L332" s="4">
        <f>G332*K332%</f>
        <v>308.02368000000001</v>
      </c>
      <c r="M332" s="4">
        <f>G332-L332</f>
        <v>1201.8963200000001</v>
      </c>
    </row>
    <row r="333" spans="2:13" x14ac:dyDescent="0.3">
      <c r="B333" s="1">
        <v>1997</v>
      </c>
      <c r="C333" s="2">
        <v>44735</v>
      </c>
      <c r="D333" s="1" t="s">
        <v>26</v>
      </c>
      <c r="E333" s="1" t="s">
        <v>49</v>
      </c>
      <c r="F333" s="1" t="s">
        <v>12</v>
      </c>
      <c r="G333" s="1">
        <v>3798.58</v>
      </c>
      <c r="H333" s="1" t="s">
        <v>256</v>
      </c>
      <c r="I333" s="2">
        <v>34537</v>
      </c>
      <c r="J333" s="2">
        <v>44746</v>
      </c>
      <c r="K333" s="1">
        <v>1.3</v>
      </c>
      <c r="L333" s="4">
        <f>G333*K333%</f>
        <v>49.381540000000001</v>
      </c>
      <c r="M333" s="4">
        <f>G333-L333</f>
        <v>3749.1984600000001</v>
      </c>
    </row>
    <row r="334" spans="2:13" x14ac:dyDescent="0.3">
      <c r="B334" s="1">
        <v>1867</v>
      </c>
      <c r="C334" s="2">
        <v>44281</v>
      </c>
      <c r="D334" s="1" t="s">
        <v>26</v>
      </c>
      <c r="E334" s="1" t="s">
        <v>15</v>
      </c>
      <c r="F334" s="1" t="s">
        <v>16</v>
      </c>
      <c r="G334" s="1">
        <v>1671.07</v>
      </c>
      <c r="H334" s="1" t="s">
        <v>256</v>
      </c>
      <c r="I334" s="2">
        <v>34537</v>
      </c>
      <c r="J334" s="2">
        <v>44282</v>
      </c>
      <c r="K334" s="1">
        <v>24.73</v>
      </c>
      <c r="L334" s="4">
        <f>G334*K334%</f>
        <v>413.25561099999999</v>
      </c>
      <c r="M334" s="4">
        <f>G334-L334</f>
        <v>1257.8143889999999</v>
      </c>
    </row>
    <row r="335" spans="2:13" x14ac:dyDescent="0.3">
      <c r="B335" s="1">
        <v>1395</v>
      </c>
      <c r="C335" s="2">
        <v>45651</v>
      </c>
      <c r="D335" s="1" t="s">
        <v>26</v>
      </c>
      <c r="E335" s="1" t="s">
        <v>69</v>
      </c>
      <c r="F335" s="1" t="s">
        <v>31</v>
      </c>
      <c r="G335" s="1">
        <v>2324.31</v>
      </c>
      <c r="H335" s="1" t="s">
        <v>256</v>
      </c>
      <c r="I335" s="2">
        <v>34537</v>
      </c>
      <c r="J335" s="2">
        <v>45660</v>
      </c>
      <c r="K335" s="1">
        <v>49.72</v>
      </c>
      <c r="L335" s="4">
        <f>G335*K335%</f>
        <v>1155.6469319999999</v>
      </c>
      <c r="M335" s="4">
        <f>G335-L335</f>
        <v>1168.6630680000001</v>
      </c>
    </row>
    <row r="336" spans="2:13" x14ac:dyDescent="0.3">
      <c r="B336" s="1">
        <v>1543</v>
      </c>
      <c r="C336" s="2">
        <v>45180</v>
      </c>
      <c r="D336" s="1" t="s">
        <v>26</v>
      </c>
      <c r="E336" s="1" t="s">
        <v>33</v>
      </c>
      <c r="F336" s="1" t="s">
        <v>16</v>
      </c>
      <c r="G336" s="1">
        <v>3234.76</v>
      </c>
      <c r="H336" s="1" t="s">
        <v>260</v>
      </c>
      <c r="I336" s="2">
        <v>38628</v>
      </c>
      <c r="J336" s="2">
        <v>45184</v>
      </c>
      <c r="K336" s="1">
        <v>43.21</v>
      </c>
      <c r="L336" s="4">
        <f>G336*K336%</f>
        <v>1397.7397960000001</v>
      </c>
      <c r="M336" s="4">
        <f>G336-L336</f>
        <v>1837.0202040000001</v>
      </c>
    </row>
    <row r="337" spans="2:13" x14ac:dyDescent="0.3">
      <c r="B337" s="1">
        <v>1732</v>
      </c>
      <c r="C337" s="2">
        <v>45568</v>
      </c>
      <c r="D337" s="1" t="s">
        <v>26</v>
      </c>
      <c r="E337" s="1" t="s">
        <v>44</v>
      </c>
      <c r="F337" s="1" t="s">
        <v>16</v>
      </c>
      <c r="G337" s="1">
        <v>4749.59</v>
      </c>
      <c r="H337" s="1" t="s">
        <v>236</v>
      </c>
      <c r="I337" s="2">
        <v>36099</v>
      </c>
      <c r="J337" s="2">
        <v>45579</v>
      </c>
      <c r="K337" s="1">
        <v>25.38</v>
      </c>
      <c r="L337" s="4">
        <f>G337*K337%</f>
        <v>1205.4459419999998</v>
      </c>
      <c r="M337" s="4">
        <f>G337-L337</f>
        <v>3544.1440580000003</v>
      </c>
    </row>
    <row r="338" spans="2:13" x14ac:dyDescent="0.3">
      <c r="B338" s="1">
        <v>1439</v>
      </c>
      <c r="C338" s="2">
        <v>45590</v>
      </c>
      <c r="D338" s="1" t="s">
        <v>26</v>
      </c>
      <c r="E338" s="1" t="s">
        <v>33</v>
      </c>
      <c r="F338" s="1" t="s">
        <v>16</v>
      </c>
      <c r="G338" s="1">
        <v>288.8</v>
      </c>
      <c r="H338" s="1" t="s">
        <v>221</v>
      </c>
      <c r="I338" s="2">
        <v>35658</v>
      </c>
      <c r="J338" s="2">
        <v>45593</v>
      </c>
      <c r="K338" s="1">
        <v>45.82</v>
      </c>
      <c r="L338" s="4">
        <f>G338*K338%</f>
        <v>132.32816</v>
      </c>
      <c r="M338" s="4">
        <f>G338-L338</f>
        <v>156.47184000000001</v>
      </c>
    </row>
    <row r="339" spans="2:13" x14ac:dyDescent="0.3">
      <c r="B339" s="1">
        <v>1378</v>
      </c>
      <c r="C339" s="2">
        <v>44166</v>
      </c>
      <c r="D339" s="1" t="s">
        <v>26</v>
      </c>
      <c r="E339" s="1" t="s">
        <v>47</v>
      </c>
      <c r="F339" s="1" t="s">
        <v>12</v>
      </c>
      <c r="G339" s="1">
        <v>2713.64</v>
      </c>
      <c r="H339" s="1" t="s">
        <v>254</v>
      </c>
      <c r="I339" s="2">
        <v>29366</v>
      </c>
      <c r="J339" s="2">
        <v>44179</v>
      </c>
      <c r="K339" s="1">
        <v>30.32</v>
      </c>
      <c r="L339" s="4">
        <f>G339*K339%</f>
        <v>822.77564800000005</v>
      </c>
      <c r="M339" s="4">
        <f>G339-L339</f>
        <v>1890.8643519999998</v>
      </c>
    </row>
    <row r="340" spans="2:13" x14ac:dyDescent="0.3">
      <c r="B340" s="1">
        <v>1230</v>
      </c>
      <c r="C340" s="2">
        <v>44269</v>
      </c>
      <c r="D340" s="1" t="s">
        <v>26</v>
      </c>
      <c r="E340" s="1" t="s">
        <v>33</v>
      </c>
      <c r="F340" s="1" t="s">
        <v>16</v>
      </c>
      <c r="G340" s="1">
        <v>1146.72</v>
      </c>
      <c r="H340" s="1" t="s">
        <v>158</v>
      </c>
      <c r="I340" s="2">
        <v>34871</v>
      </c>
      <c r="J340" s="2">
        <v>44274</v>
      </c>
      <c r="K340" s="1">
        <v>32.44</v>
      </c>
      <c r="L340" s="4">
        <f>G340*K340%</f>
        <v>371.99596799999995</v>
      </c>
      <c r="M340" s="4">
        <f>G340-L340</f>
        <v>774.72403200000008</v>
      </c>
    </row>
    <row r="341" spans="2:13" x14ac:dyDescent="0.3">
      <c r="B341" s="1">
        <v>1336</v>
      </c>
      <c r="C341" s="2">
        <v>44315</v>
      </c>
      <c r="D341" s="1" t="s">
        <v>26</v>
      </c>
      <c r="E341" s="1" t="s">
        <v>36</v>
      </c>
      <c r="F341" s="1" t="s">
        <v>28</v>
      </c>
      <c r="G341" s="1">
        <v>1662.88</v>
      </c>
      <c r="H341" s="1" t="s">
        <v>209</v>
      </c>
      <c r="I341" s="2">
        <v>28522</v>
      </c>
      <c r="J341" s="2">
        <v>44317</v>
      </c>
      <c r="K341" s="1">
        <v>21.09</v>
      </c>
      <c r="L341" s="4">
        <f>G341*K341%</f>
        <v>350.70139200000006</v>
      </c>
      <c r="M341" s="4">
        <f>G341-L341</f>
        <v>1312.1786080000002</v>
      </c>
    </row>
    <row r="342" spans="2:13" x14ac:dyDescent="0.3">
      <c r="B342" s="1">
        <v>1521</v>
      </c>
      <c r="C342" s="2">
        <v>44931</v>
      </c>
      <c r="D342" s="1" t="s">
        <v>26</v>
      </c>
      <c r="E342" s="1" t="s">
        <v>73</v>
      </c>
      <c r="F342" s="1" t="s">
        <v>28</v>
      </c>
      <c r="G342" s="1">
        <v>1919.95</v>
      </c>
      <c r="H342" s="1" t="s">
        <v>288</v>
      </c>
      <c r="I342" s="2">
        <v>29810</v>
      </c>
      <c r="J342" s="2">
        <v>44934</v>
      </c>
      <c r="K342" s="1">
        <v>19.54</v>
      </c>
      <c r="L342" s="4">
        <f>G342*K342%</f>
        <v>375.15823</v>
      </c>
      <c r="M342" s="4">
        <f>G342-L342</f>
        <v>1544.79177</v>
      </c>
    </row>
    <row r="343" spans="2:13" x14ac:dyDescent="0.3">
      <c r="B343" s="1">
        <v>1889</v>
      </c>
      <c r="C343" s="2">
        <v>45770</v>
      </c>
      <c r="D343" s="1" t="s">
        <v>26</v>
      </c>
      <c r="E343" s="1" t="s">
        <v>27</v>
      </c>
      <c r="F343" s="1" t="s">
        <v>28</v>
      </c>
      <c r="G343" s="1">
        <v>3969.72</v>
      </c>
      <c r="H343" s="1" t="s">
        <v>25</v>
      </c>
      <c r="I343" s="2">
        <v>33386</v>
      </c>
      <c r="J343" s="2">
        <v>45782</v>
      </c>
      <c r="K343" s="1">
        <v>27.89</v>
      </c>
      <c r="L343" s="4">
        <f>G343*K343%</f>
        <v>1107.154908</v>
      </c>
      <c r="M343" s="4">
        <f>G343-L343</f>
        <v>2862.5650919999998</v>
      </c>
    </row>
    <row r="344" spans="2:13" x14ac:dyDescent="0.3">
      <c r="B344" s="1">
        <v>1303</v>
      </c>
      <c r="C344" s="2">
        <v>44677</v>
      </c>
      <c r="D344" s="1" t="s">
        <v>26</v>
      </c>
      <c r="E344" s="1" t="s">
        <v>61</v>
      </c>
      <c r="F344" s="1" t="s">
        <v>19</v>
      </c>
      <c r="G344" s="1">
        <v>3673.8</v>
      </c>
      <c r="H344" s="1" t="s">
        <v>25</v>
      </c>
      <c r="I344" s="2">
        <v>33386</v>
      </c>
      <c r="J344" s="2">
        <v>44688</v>
      </c>
      <c r="K344" s="1">
        <v>22.63</v>
      </c>
      <c r="L344" s="4">
        <f>G344*K344%</f>
        <v>831.38094000000001</v>
      </c>
      <c r="M344" s="4">
        <f>G344-L344</f>
        <v>2842.4190600000002</v>
      </c>
    </row>
    <row r="345" spans="2:13" x14ac:dyDescent="0.3">
      <c r="B345" s="1">
        <v>1226</v>
      </c>
      <c r="C345" s="2">
        <v>45203</v>
      </c>
      <c r="D345" s="1" t="s">
        <v>26</v>
      </c>
      <c r="E345" s="1" t="s">
        <v>47</v>
      </c>
      <c r="F345" s="1" t="s">
        <v>12</v>
      </c>
      <c r="G345" s="1">
        <v>513.84</v>
      </c>
      <c r="H345" s="1" t="s">
        <v>113</v>
      </c>
      <c r="I345" s="2">
        <v>25579</v>
      </c>
      <c r="J345" s="2">
        <v>45214</v>
      </c>
      <c r="K345" s="1">
        <v>49.58</v>
      </c>
      <c r="L345" s="4">
        <f>G345*K345%</f>
        <v>254.76187199999998</v>
      </c>
      <c r="M345" s="4">
        <f>G345-L345</f>
        <v>259.07812800000005</v>
      </c>
    </row>
    <row r="346" spans="2:13" x14ac:dyDescent="0.3">
      <c r="B346" s="1">
        <v>1012</v>
      </c>
      <c r="C346" s="2">
        <v>45413</v>
      </c>
      <c r="D346" s="1" t="s">
        <v>26</v>
      </c>
      <c r="E346" s="1" t="s">
        <v>11</v>
      </c>
      <c r="F346" s="1" t="s">
        <v>12</v>
      </c>
      <c r="G346" s="1">
        <v>1004.87</v>
      </c>
      <c r="H346" s="1" t="s">
        <v>43</v>
      </c>
      <c r="I346" s="2">
        <v>30054</v>
      </c>
      <c r="J346" s="2">
        <v>45421</v>
      </c>
      <c r="K346" s="1">
        <v>21.81</v>
      </c>
      <c r="L346" s="4">
        <f>G346*K346%</f>
        <v>219.16214699999998</v>
      </c>
      <c r="M346" s="4">
        <f>G346-L346</f>
        <v>785.707853</v>
      </c>
    </row>
    <row r="347" spans="2:13" x14ac:dyDescent="0.3">
      <c r="B347" s="1">
        <v>1959</v>
      </c>
      <c r="C347" s="2">
        <v>45785</v>
      </c>
      <c r="D347" s="1" t="s">
        <v>26</v>
      </c>
      <c r="E347" s="1" t="s">
        <v>49</v>
      </c>
      <c r="F347" s="1" t="s">
        <v>12</v>
      </c>
      <c r="G347" s="1">
        <v>4482.41</v>
      </c>
      <c r="H347" s="1" t="s">
        <v>131</v>
      </c>
      <c r="I347" s="2">
        <v>38087</v>
      </c>
      <c r="J347" s="2">
        <v>45797</v>
      </c>
      <c r="K347" s="1">
        <v>45.9</v>
      </c>
      <c r="L347" s="4">
        <f>G347*K347%</f>
        <v>2057.4261899999997</v>
      </c>
      <c r="M347" s="4">
        <f>G347-L347</f>
        <v>2424.9838100000002</v>
      </c>
    </row>
    <row r="348" spans="2:13" x14ac:dyDescent="0.3">
      <c r="B348" s="1">
        <v>1088</v>
      </c>
      <c r="C348" s="2">
        <v>45268</v>
      </c>
      <c r="D348" s="1" t="s">
        <v>26</v>
      </c>
      <c r="E348" s="1" t="s">
        <v>40</v>
      </c>
      <c r="F348" s="1" t="s">
        <v>16</v>
      </c>
      <c r="G348" s="1">
        <v>3650.88</v>
      </c>
      <c r="H348" s="1" t="s">
        <v>120</v>
      </c>
      <c r="I348" s="2">
        <v>30820</v>
      </c>
      <c r="J348" s="2">
        <v>45270</v>
      </c>
      <c r="K348" s="1">
        <v>31.44</v>
      </c>
      <c r="L348" s="4">
        <f>G348*K348%</f>
        <v>1147.8366720000001</v>
      </c>
      <c r="M348" s="4">
        <f>G348-L348</f>
        <v>2503.0433279999997</v>
      </c>
    </row>
    <row r="349" spans="2:13" x14ac:dyDescent="0.3">
      <c r="B349" s="1">
        <v>1669</v>
      </c>
      <c r="C349" s="2">
        <v>44270</v>
      </c>
      <c r="D349" s="1" t="s">
        <v>26</v>
      </c>
      <c r="E349" s="1" t="s">
        <v>65</v>
      </c>
      <c r="F349" s="1" t="s">
        <v>19</v>
      </c>
      <c r="G349" s="1">
        <v>3669.41</v>
      </c>
      <c r="H349" s="1" t="s">
        <v>207</v>
      </c>
      <c r="I349" s="2">
        <v>23988</v>
      </c>
      <c r="J349" s="2">
        <v>44284</v>
      </c>
      <c r="K349" s="1">
        <v>42.15</v>
      </c>
      <c r="L349" s="4">
        <f>G349*K349%</f>
        <v>1546.6563149999999</v>
      </c>
      <c r="M349" s="4">
        <f>G349-L349</f>
        <v>2122.7536849999997</v>
      </c>
    </row>
    <row r="350" spans="2:13" x14ac:dyDescent="0.3">
      <c r="B350" s="1">
        <v>1780</v>
      </c>
      <c r="C350" s="2">
        <v>45320</v>
      </c>
      <c r="D350" s="1" t="s">
        <v>26</v>
      </c>
      <c r="E350" s="1" t="s">
        <v>61</v>
      </c>
      <c r="F350" s="1" t="s">
        <v>19</v>
      </c>
      <c r="G350" s="1">
        <v>2788.33</v>
      </c>
      <c r="H350" s="1" t="s">
        <v>207</v>
      </c>
      <c r="I350" s="2">
        <v>23988</v>
      </c>
      <c r="J350" s="2">
        <v>45329</v>
      </c>
      <c r="K350" s="1">
        <v>28.84</v>
      </c>
      <c r="L350" s="4">
        <f>G350*K350%</f>
        <v>804.15437199999997</v>
      </c>
      <c r="M350" s="4">
        <f>G350-L350</f>
        <v>1984.175628</v>
      </c>
    </row>
    <row r="351" spans="2:13" x14ac:dyDescent="0.3">
      <c r="B351" s="1">
        <v>1019</v>
      </c>
      <c r="C351" s="2">
        <v>44364</v>
      </c>
      <c r="D351" s="1" t="s">
        <v>26</v>
      </c>
      <c r="E351" s="1" t="s">
        <v>53</v>
      </c>
      <c r="F351" s="1" t="s">
        <v>28</v>
      </c>
      <c r="G351" s="1">
        <v>2449.4499999999998</v>
      </c>
      <c r="H351" s="1" t="s">
        <v>54</v>
      </c>
      <c r="I351" s="2">
        <v>31082</v>
      </c>
      <c r="J351" s="2">
        <v>44369</v>
      </c>
      <c r="K351" s="1">
        <v>44.38</v>
      </c>
      <c r="L351" s="4">
        <f>G351*K351%</f>
        <v>1087.06591</v>
      </c>
      <c r="M351" s="4">
        <f>G351-L351</f>
        <v>1362.3840899999998</v>
      </c>
    </row>
    <row r="352" spans="2:13" x14ac:dyDescent="0.3">
      <c r="B352" s="1">
        <v>1159</v>
      </c>
      <c r="C352" s="2">
        <v>45880</v>
      </c>
      <c r="D352" s="1" t="s">
        <v>26</v>
      </c>
      <c r="E352" s="1" t="s">
        <v>53</v>
      </c>
      <c r="F352" s="1" t="s">
        <v>28</v>
      </c>
      <c r="G352" s="1">
        <v>4313.16</v>
      </c>
      <c r="H352" s="1" t="s">
        <v>171</v>
      </c>
      <c r="I352" s="2">
        <v>31261</v>
      </c>
      <c r="J352" s="2">
        <v>45884</v>
      </c>
      <c r="K352" s="1">
        <v>46.82</v>
      </c>
      <c r="L352" s="4">
        <f>G352*K352%</f>
        <v>2019.4215119999999</v>
      </c>
      <c r="M352" s="4">
        <f>G352-L352</f>
        <v>2293.738488</v>
      </c>
    </row>
    <row r="353" spans="2:13" x14ac:dyDescent="0.3">
      <c r="B353" s="1">
        <v>1655</v>
      </c>
      <c r="C353" s="2">
        <v>44345</v>
      </c>
      <c r="D353" s="1" t="s">
        <v>26</v>
      </c>
      <c r="E353" s="1" t="s">
        <v>22</v>
      </c>
      <c r="F353" s="1" t="s">
        <v>19</v>
      </c>
      <c r="G353" s="1">
        <v>2307.13</v>
      </c>
      <c r="H353" s="1" t="s">
        <v>171</v>
      </c>
      <c r="I353" s="2">
        <v>31261</v>
      </c>
      <c r="J353" s="2">
        <v>44354</v>
      </c>
      <c r="K353" s="1">
        <v>37.06</v>
      </c>
      <c r="L353" s="4">
        <f>G353*K353%</f>
        <v>855.02237800000012</v>
      </c>
      <c r="M353" s="4">
        <f>G353-L353</f>
        <v>1452.107622</v>
      </c>
    </row>
    <row r="354" spans="2:13" x14ac:dyDescent="0.3">
      <c r="B354" s="1">
        <v>1852</v>
      </c>
      <c r="C354" s="2">
        <v>45095</v>
      </c>
      <c r="D354" s="1" t="s">
        <v>26</v>
      </c>
      <c r="E354" s="1" t="s">
        <v>55</v>
      </c>
      <c r="F354" s="1" t="s">
        <v>31</v>
      </c>
      <c r="G354" s="1">
        <v>2704.11</v>
      </c>
      <c r="H354" s="1" t="s">
        <v>318</v>
      </c>
      <c r="I354" s="2">
        <v>29040</v>
      </c>
      <c r="J354" s="2">
        <v>45105</v>
      </c>
      <c r="K354" s="1">
        <v>47.58</v>
      </c>
      <c r="L354" s="4">
        <f>G354*K354%</f>
        <v>1286.615538</v>
      </c>
      <c r="M354" s="4">
        <f>G354-L354</f>
        <v>1417.4944620000001</v>
      </c>
    </row>
    <row r="355" spans="2:13" x14ac:dyDescent="0.3">
      <c r="B355" s="1">
        <v>1865</v>
      </c>
      <c r="C355" s="2">
        <v>44388</v>
      </c>
      <c r="D355" s="1" t="s">
        <v>26</v>
      </c>
      <c r="E355" s="1" t="s">
        <v>18</v>
      </c>
      <c r="F355" s="1" t="s">
        <v>19</v>
      </c>
      <c r="G355" s="1">
        <v>4549.6400000000003</v>
      </c>
      <c r="H355" s="1" t="s">
        <v>179</v>
      </c>
      <c r="I355" s="2">
        <v>30356</v>
      </c>
      <c r="J355" s="2">
        <v>44401</v>
      </c>
      <c r="K355" s="1">
        <v>10.16</v>
      </c>
      <c r="L355" s="4">
        <f>G355*K355%</f>
        <v>462.243424</v>
      </c>
      <c r="M355" s="4">
        <f>G355-L355</f>
        <v>4087.3965760000001</v>
      </c>
    </row>
    <row r="356" spans="2:13" x14ac:dyDescent="0.3">
      <c r="B356" s="1">
        <v>1200</v>
      </c>
      <c r="C356" s="2">
        <v>45089</v>
      </c>
      <c r="D356" s="1" t="s">
        <v>26</v>
      </c>
      <c r="E356" s="1" t="s">
        <v>11</v>
      </c>
      <c r="F356" s="1" t="s">
        <v>12</v>
      </c>
      <c r="G356" s="1">
        <v>3878.91</v>
      </c>
      <c r="H356" s="1" t="s">
        <v>83</v>
      </c>
      <c r="I356" s="2">
        <v>24673</v>
      </c>
      <c r="J356" s="2">
        <v>45096</v>
      </c>
      <c r="K356" s="1">
        <v>39.96</v>
      </c>
      <c r="L356" s="4">
        <f>G356*K356%</f>
        <v>1550.012436</v>
      </c>
      <c r="M356" s="4">
        <f>G356-L356</f>
        <v>2328.8975639999999</v>
      </c>
    </row>
    <row r="357" spans="2:13" x14ac:dyDescent="0.3">
      <c r="B357" s="1">
        <v>1274</v>
      </c>
      <c r="C357" s="2">
        <v>45696</v>
      </c>
      <c r="D357" s="1" t="s">
        <v>26</v>
      </c>
      <c r="E357" s="1" t="s">
        <v>49</v>
      </c>
      <c r="F357" s="1" t="s">
        <v>12</v>
      </c>
      <c r="G357" s="1">
        <v>3258.98</v>
      </c>
      <c r="H357" s="1" t="s">
        <v>227</v>
      </c>
      <c r="I357" s="2">
        <v>34932</v>
      </c>
      <c r="J357" s="2">
        <v>45701</v>
      </c>
      <c r="K357" s="1">
        <v>15.98</v>
      </c>
      <c r="L357" s="4">
        <f>G357*K357%</f>
        <v>520.78500399999996</v>
      </c>
      <c r="M357" s="4">
        <f>G357-L357</f>
        <v>2738.1949960000002</v>
      </c>
    </row>
    <row r="358" spans="2:13" x14ac:dyDescent="0.3">
      <c r="B358" s="1">
        <v>1098</v>
      </c>
      <c r="C358" s="2">
        <v>44664</v>
      </c>
      <c r="D358" s="1" t="s">
        <v>26</v>
      </c>
      <c r="E358" s="1" t="s">
        <v>11</v>
      </c>
      <c r="F358" s="1" t="s">
        <v>12</v>
      </c>
      <c r="G358" s="1">
        <v>3385.55</v>
      </c>
      <c r="H358" s="1" t="s">
        <v>127</v>
      </c>
      <c r="I358" s="2">
        <v>31846</v>
      </c>
      <c r="J358" s="2">
        <v>44670</v>
      </c>
      <c r="K358" s="1">
        <v>49.06</v>
      </c>
      <c r="L358" s="4">
        <f>G358*K358%</f>
        <v>1660.9508300000002</v>
      </c>
      <c r="M358" s="4">
        <f>G358-L358</f>
        <v>1724.59917</v>
      </c>
    </row>
    <row r="359" spans="2:13" x14ac:dyDescent="0.3">
      <c r="B359" s="1">
        <v>1576</v>
      </c>
      <c r="C359" s="2">
        <v>45873</v>
      </c>
      <c r="D359" s="1" t="s">
        <v>26</v>
      </c>
      <c r="E359" s="1" t="s">
        <v>15</v>
      </c>
      <c r="F359" s="1" t="s">
        <v>16</v>
      </c>
      <c r="G359" s="1">
        <v>1436.09</v>
      </c>
      <c r="H359" s="1" t="s">
        <v>127</v>
      </c>
      <c r="I359" s="2">
        <v>31846</v>
      </c>
      <c r="J359" s="2">
        <v>45885</v>
      </c>
      <c r="K359" s="1">
        <v>39.520000000000003</v>
      </c>
      <c r="L359" s="4">
        <f>G359*K359%</f>
        <v>567.54276800000002</v>
      </c>
      <c r="M359" s="4">
        <f>G359-L359</f>
        <v>868.54723199999989</v>
      </c>
    </row>
    <row r="360" spans="2:13" x14ac:dyDescent="0.3">
      <c r="B360" s="1">
        <v>1534</v>
      </c>
      <c r="C360" s="2">
        <v>45712</v>
      </c>
      <c r="D360" s="1" t="s">
        <v>26</v>
      </c>
      <c r="E360" s="1" t="s">
        <v>88</v>
      </c>
      <c r="F360" s="1" t="s">
        <v>16</v>
      </c>
      <c r="G360" s="1">
        <v>344.01</v>
      </c>
      <c r="H360" s="1" t="s">
        <v>156</v>
      </c>
      <c r="I360" s="2">
        <v>38693</v>
      </c>
      <c r="J360" s="2">
        <v>45713</v>
      </c>
      <c r="K360" s="1">
        <v>49.39</v>
      </c>
      <c r="L360" s="4">
        <f>G360*K360%</f>
        <v>169.90653900000001</v>
      </c>
      <c r="M360" s="4">
        <f>G360-L360</f>
        <v>174.10346099999998</v>
      </c>
    </row>
    <row r="361" spans="2:13" x14ac:dyDescent="0.3">
      <c r="B361" s="1">
        <v>1121</v>
      </c>
      <c r="C361" s="2">
        <v>45534</v>
      </c>
      <c r="D361" s="1" t="s">
        <v>26</v>
      </c>
      <c r="E361" s="1" t="s">
        <v>73</v>
      </c>
      <c r="F361" s="1" t="s">
        <v>28</v>
      </c>
      <c r="G361" s="1">
        <v>3263.31</v>
      </c>
      <c r="H361" s="1" t="s">
        <v>144</v>
      </c>
      <c r="I361" s="2">
        <v>34571</v>
      </c>
      <c r="J361" s="2">
        <v>45537</v>
      </c>
      <c r="K361" s="1">
        <v>42.11</v>
      </c>
      <c r="L361" s="4">
        <f>G361*K361%</f>
        <v>1374.1798409999999</v>
      </c>
      <c r="M361" s="4">
        <f>G361-L361</f>
        <v>1889.130159</v>
      </c>
    </row>
    <row r="362" spans="2:13" x14ac:dyDescent="0.3">
      <c r="B362" s="1">
        <v>1748</v>
      </c>
      <c r="C362" s="2">
        <v>45877</v>
      </c>
      <c r="D362" s="1" t="s">
        <v>26</v>
      </c>
      <c r="E362" s="1" t="s">
        <v>65</v>
      </c>
      <c r="F362" s="1" t="s">
        <v>19</v>
      </c>
      <c r="G362" s="1">
        <v>4083.89</v>
      </c>
      <c r="H362" s="1" t="s">
        <v>315</v>
      </c>
      <c r="I362" s="2">
        <v>32330</v>
      </c>
      <c r="J362" s="2">
        <v>45879</v>
      </c>
      <c r="K362" s="1">
        <v>38.56</v>
      </c>
      <c r="L362" s="4">
        <f>G362*K362%</f>
        <v>1574.7479839999999</v>
      </c>
      <c r="M362" s="4">
        <f>G362-L362</f>
        <v>2509.1420159999998</v>
      </c>
    </row>
    <row r="363" spans="2:13" x14ac:dyDescent="0.3">
      <c r="B363" s="1">
        <v>1925</v>
      </c>
      <c r="C363" s="2">
        <v>45846</v>
      </c>
      <c r="D363" s="1" t="s">
        <v>26</v>
      </c>
      <c r="E363" s="1" t="s">
        <v>18</v>
      </c>
      <c r="F363" s="1" t="s">
        <v>19</v>
      </c>
      <c r="G363" s="1">
        <v>1569.98</v>
      </c>
      <c r="H363" s="1" t="s">
        <v>315</v>
      </c>
      <c r="I363" s="2">
        <v>32330</v>
      </c>
      <c r="J363" s="2">
        <v>45848</v>
      </c>
      <c r="K363" s="1">
        <v>49.99</v>
      </c>
      <c r="L363" s="4">
        <f>G363*K363%</f>
        <v>784.83300200000008</v>
      </c>
      <c r="M363" s="4">
        <f>G363-L363</f>
        <v>785.14699799999994</v>
      </c>
    </row>
    <row r="364" spans="2:13" x14ac:dyDescent="0.3">
      <c r="B364" s="1">
        <v>1575</v>
      </c>
      <c r="C364" s="2">
        <v>44274</v>
      </c>
      <c r="D364" s="1" t="s">
        <v>26</v>
      </c>
      <c r="E364" s="1" t="s">
        <v>30</v>
      </c>
      <c r="F364" s="1" t="s">
        <v>31</v>
      </c>
      <c r="G364" s="1">
        <v>800.68</v>
      </c>
      <c r="H364" s="1" t="s">
        <v>196</v>
      </c>
      <c r="I364" s="2">
        <v>26300</v>
      </c>
      <c r="J364" s="2">
        <v>44275</v>
      </c>
      <c r="K364" s="1">
        <v>32.299999999999997</v>
      </c>
      <c r="L364" s="4">
        <f>G364*K364%</f>
        <v>258.61963999999995</v>
      </c>
      <c r="M364" s="4">
        <f>G364-L364</f>
        <v>542.06035999999995</v>
      </c>
    </row>
    <row r="365" spans="2:13" x14ac:dyDescent="0.3">
      <c r="B365" s="1">
        <v>1038</v>
      </c>
      <c r="C365" s="2">
        <v>45444</v>
      </c>
      <c r="D365" s="1" t="s">
        <v>26</v>
      </c>
      <c r="E365" s="1" t="s">
        <v>33</v>
      </c>
      <c r="F365" s="1" t="s">
        <v>16</v>
      </c>
      <c r="G365" s="1">
        <v>301.27999999999997</v>
      </c>
      <c r="H365" s="1" t="s">
        <v>79</v>
      </c>
      <c r="I365" s="2">
        <v>28675</v>
      </c>
      <c r="J365" s="2">
        <v>45447</v>
      </c>
      <c r="K365" s="1">
        <v>40.67</v>
      </c>
      <c r="L365" s="4">
        <f>G365*K365%</f>
        <v>122.530576</v>
      </c>
      <c r="M365" s="4">
        <f>G365-L365</f>
        <v>178.74942399999998</v>
      </c>
    </row>
    <row r="366" spans="2:13" x14ac:dyDescent="0.3">
      <c r="B366" s="1">
        <v>1902</v>
      </c>
      <c r="C366" s="2">
        <v>45722</v>
      </c>
      <c r="D366" s="1" t="s">
        <v>26</v>
      </c>
      <c r="E366" s="1" t="s">
        <v>40</v>
      </c>
      <c r="F366" s="1" t="s">
        <v>16</v>
      </c>
      <c r="G366" s="1">
        <v>4425.9799999999996</v>
      </c>
      <c r="H366" s="1" t="s">
        <v>105</v>
      </c>
      <c r="I366" s="2">
        <v>35889</v>
      </c>
      <c r="J366" s="2">
        <v>45731</v>
      </c>
      <c r="K366" s="1">
        <v>21.97</v>
      </c>
      <c r="L366" s="4">
        <f>G366*K366%</f>
        <v>972.38780599999984</v>
      </c>
      <c r="M366" s="4">
        <f>G366-L366</f>
        <v>3453.5921939999998</v>
      </c>
    </row>
    <row r="367" spans="2:13" x14ac:dyDescent="0.3">
      <c r="B367" s="1">
        <v>1163</v>
      </c>
      <c r="C367" s="2">
        <v>45008</v>
      </c>
      <c r="D367" s="1" t="s">
        <v>26</v>
      </c>
      <c r="E367" s="1" t="s">
        <v>53</v>
      </c>
      <c r="F367" s="1" t="s">
        <v>28</v>
      </c>
      <c r="G367" s="1">
        <v>4581.34</v>
      </c>
      <c r="H367" s="1" t="s">
        <v>78</v>
      </c>
      <c r="I367" s="2">
        <v>25099</v>
      </c>
      <c r="J367" s="2">
        <v>45010</v>
      </c>
      <c r="K367" s="1">
        <v>32.869999999999997</v>
      </c>
      <c r="L367" s="4">
        <f>G367*K367%</f>
        <v>1505.8864579999999</v>
      </c>
      <c r="M367" s="4">
        <f>G367-L367</f>
        <v>3075.4535420000002</v>
      </c>
    </row>
    <row r="368" spans="2:13" x14ac:dyDescent="0.3">
      <c r="B368" s="1">
        <v>1216</v>
      </c>
      <c r="C368" s="2">
        <v>44675</v>
      </c>
      <c r="D368" s="1" t="s">
        <v>26</v>
      </c>
      <c r="E368" s="1" t="s">
        <v>49</v>
      </c>
      <c r="F368" s="1" t="s">
        <v>12</v>
      </c>
      <c r="G368" s="1">
        <v>2073.79</v>
      </c>
      <c r="H368" s="1" t="s">
        <v>77</v>
      </c>
      <c r="I368" s="2">
        <v>38696</v>
      </c>
      <c r="J368" s="2">
        <v>44682</v>
      </c>
      <c r="K368" s="1">
        <v>25.62</v>
      </c>
      <c r="L368" s="4">
        <f>G368*K368%</f>
        <v>531.30499799999996</v>
      </c>
      <c r="M368" s="4">
        <f>G368-L368</f>
        <v>1542.4850019999999</v>
      </c>
    </row>
    <row r="369" spans="2:13" x14ac:dyDescent="0.3">
      <c r="B369" s="1">
        <v>1842</v>
      </c>
      <c r="C369" s="2">
        <v>45356</v>
      </c>
      <c r="D369" s="1" t="s">
        <v>26</v>
      </c>
      <c r="E369" s="1" t="s">
        <v>44</v>
      </c>
      <c r="F369" s="1" t="s">
        <v>16</v>
      </c>
      <c r="G369" s="1">
        <v>107.9</v>
      </c>
      <c r="H369" s="1" t="s">
        <v>281</v>
      </c>
      <c r="I369" s="2">
        <v>37927</v>
      </c>
      <c r="J369" s="2">
        <v>45370</v>
      </c>
      <c r="K369" s="1">
        <v>13.2</v>
      </c>
      <c r="L369" s="4">
        <f>G369*K369%</f>
        <v>14.242800000000001</v>
      </c>
      <c r="M369" s="4">
        <f>G369-L369</f>
        <v>93.657200000000003</v>
      </c>
    </row>
    <row r="370" spans="2:13" x14ac:dyDescent="0.3">
      <c r="B370" s="1">
        <v>1418</v>
      </c>
      <c r="C370" s="2">
        <v>44703</v>
      </c>
      <c r="D370" s="1" t="s">
        <v>26</v>
      </c>
      <c r="E370" s="1" t="s">
        <v>38</v>
      </c>
      <c r="F370" s="1" t="s">
        <v>28</v>
      </c>
      <c r="G370" s="1">
        <v>2352.2399999999998</v>
      </c>
      <c r="H370" s="1" t="s">
        <v>149</v>
      </c>
      <c r="I370" s="2">
        <v>26155</v>
      </c>
      <c r="J370" s="2">
        <v>44712</v>
      </c>
      <c r="K370" s="1">
        <v>34.43</v>
      </c>
      <c r="L370" s="4">
        <f>G370*K370%</f>
        <v>809.87623199999996</v>
      </c>
      <c r="M370" s="4">
        <f>G370-L370</f>
        <v>1542.3637679999997</v>
      </c>
    </row>
    <row r="371" spans="2:13" x14ac:dyDescent="0.3">
      <c r="B371" s="1">
        <v>1371</v>
      </c>
      <c r="C371" s="2">
        <v>45028</v>
      </c>
      <c r="D371" s="1" t="s">
        <v>26</v>
      </c>
      <c r="E371" s="1" t="s">
        <v>55</v>
      </c>
      <c r="F371" s="1" t="s">
        <v>31</v>
      </c>
      <c r="G371" s="1">
        <v>3304.37</v>
      </c>
      <c r="H371" s="1" t="s">
        <v>240</v>
      </c>
      <c r="I371" s="2">
        <v>38478</v>
      </c>
      <c r="J371" s="2">
        <v>45034</v>
      </c>
      <c r="K371" s="1">
        <v>47.9</v>
      </c>
      <c r="L371" s="4">
        <f>G371*K371%</f>
        <v>1582.79323</v>
      </c>
      <c r="M371" s="4">
        <f>G371-L371</f>
        <v>1721.5767699999999</v>
      </c>
    </row>
    <row r="372" spans="2:13" x14ac:dyDescent="0.3">
      <c r="B372" s="1">
        <v>1955</v>
      </c>
      <c r="C372" s="2">
        <v>44402</v>
      </c>
      <c r="D372" s="1" t="s">
        <v>26</v>
      </c>
      <c r="E372" s="1" t="s">
        <v>15</v>
      </c>
      <c r="F372" s="1" t="s">
        <v>16</v>
      </c>
      <c r="G372" s="1">
        <v>1837.14</v>
      </c>
      <c r="H372" s="1" t="s">
        <v>230</v>
      </c>
      <c r="I372" s="2">
        <v>35642</v>
      </c>
      <c r="J372" s="2">
        <v>44412</v>
      </c>
      <c r="K372" s="1">
        <v>26.52</v>
      </c>
      <c r="L372" s="4">
        <f>G372*K372%</f>
        <v>487.20952800000003</v>
      </c>
      <c r="M372" s="4">
        <f>G372-L372</f>
        <v>1349.930472</v>
      </c>
    </row>
    <row r="373" spans="2:13" x14ac:dyDescent="0.3">
      <c r="B373" s="1">
        <v>1285</v>
      </c>
      <c r="C373" s="2">
        <v>45807</v>
      </c>
      <c r="D373" s="1" t="s">
        <v>26</v>
      </c>
      <c r="E373" s="1" t="s">
        <v>22</v>
      </c>
      <c r="F373" s="1" t="s">
        <v>19</v>
      </c>
      <c r="G373" s="1">
        <v>1008.01</v>
      </c>
      <c r="H373" s="1" t="s">
        <v>230</v>
      </c>
      <c r="I373" s="2">
        <v>35642</v>
      </c>
      <c r="J373" s="2">
        <v>45812</v>
      </c>
      <c r="K373" s="1">
        <v>47.76</v>
      </c>
      <c r="L373" s="4">
        <f>G373*K373%</f>
        <v>481.42557599999998</v>
      </c>
      <c r="M373" s="4">
        <f>G373-L373</f>
        <v>526.58442400000001</v>
      </c>
    </row>
    <row r="374" spans="2:13" x14ac:dyDescent="0.3">
      <c r="B374" s="1">
        <v>1186</v>
      </c>
      <c r="C374" s="2">
        <v>45520</v>
      </c>
      <c r="D374" s="1" t="s">
        <v>26</v>
      </c>
      <c r="E374" s="1" t="s">
        <v>49</v>
      </c>
      <c r="F374" s="1" t="s">
        <v>12</v>
      </c>
      <c r="G374" s="1">
        <v>4889.82</v>
      </c>
      <c r="H374" s="1" t="s">
        <v>185</v>
      </c>
      <c r="I374" s="2">
        <v>36384</v>
      </c>
      <c r="J374" s="2">
        <v>45534</v>
      </c>
      <c r="K374" s="1">
        <v>26.73</v>
      </c>
      <c r="L374" s="4">
        <f>G374*K374%</f>
        <v>1307.0488859999998</v>
      </c>
      <c r="M374" s="4">
        <f>G374-L374</f>
        <v>3582.7711140000001</v>
      </c>
    </row>
    <row r="375" spans="2:13" x14ac:dyDescent="0.3">
      <c r="B375" s="1">
        <v>1344</v>
      </c>
      <c r="C375" s="2">
        <v>44979</v>
      </c>
      <c r="D375" s="1" t="s">
        <v>26</v>
      </c>
      <c r="E375" s="1" t="s">
        <v>73</v>
      </c>
      <c r="F375" s="1" t="s">
        <v>28</v>
      </c>
      <c r="G375" s="1">
        <v>628.79</v>
      </c>
      <c r="H375" s="1" t="s">
        <v>75</v>
      </c>
      <c r="I375" s="2">
        <v>25853</v>
      </c>
      <c r="J375" s="2">
        <v>44985</v>
      </c>
      <c r="K375" s="1">
        <v>0.26</v>
      </c>
      <c r="L375" s="4">
        <f>G375*K375%</f>
        <v>1.6348539999999998</v>
      </c>
      <c r="M375" s="4">
        <f>G375-L375</f>
        <v>627.15514599999995</v>
      </c>
    </row>
    <row r="376" spans="2:13" x14ac:dyDescent="0.3">
      <c r="B376" s="1">
        <v>1650</v>
      </c>
      <c r="C376" s="2">
        <v>44820</v>
      </c>
      <c r="D376" s="1" t="s">
        <v>26</v>
      </c>
      <c r="E376" s="1" t="s">
        <v>33</v>
      </c>
      <c r="F376" s="1" t="s">
        <v>16</v>
      </c>
      <c r="G376" s="1">
        <v>981.87</v>
      </c>
      <c r="H376" s="1" t="s">
        <v>165</v>
      </c>
      <c r="I376" s="2">
        <v>29887</v>
      </c>
      <c r="J376" s="2">
        <v>44827</v>
      </c>
      <c r="K376" s="1">
        <v>0.65</v>
      </c>
      <c r="L376" s="4">
        <f>G376*K376%</f>
        <v>6.3821550000000009</v>
      </c>
      <c r="M376" s="4">
        <f>G376-L376</f>
        <v>975.48784499999999</v>
      </c>
    </row>
    <row r="377" spans="2:13" x14ac:dyDescent="0.3">
      <c r="B377" s="1">
        <v>1654</v>
      </c>
      <c r="C377" s="2">
        <v>44437</v>
      </c>
      <c r="D377" s="1" t="s">
        <v>26</v>
      </c>
      <c r="E377" s="1" t="s">
        <v>30</v>
      </c>
      <c r="F377" s="1" t="s">
        <v>31</v>
      </c>
      <c r="G377" s="1">
        <v>2209.92</v>
      </c>
      <c r="H377" s="1" t="s">
        <v>238</v>
      </c>
      <c r="I377" s="2">
        <v>31880</v>
      </c>
      <c r="J377" s="2">
        <v>44450</v>
      </c>
      <c r="K377" s="1">
        <v>4.3099999999999996</v>
      </c>
      <c r="L377" s="4">
        <f>G377*K377%</f>
        <v>95.247551999999999</v>
      </c>
      <c r="M377" s="4">
        <f>G377-L377</f>
        <v>2114.6724480000003</v>
      </c>
    </row>
    <row r="378" spans="2:13" x14ac:dyDescent="0.3">
      <c r="B378" s="1">
        <v>1904</v>
      </c>
      <c r="C378" s="2">
        <v>45077</v>
      </c>
      <c r="D378" s="1" t="s">
        <v>26</v>
      </c>
      <c r="E378" s="1" t="s">
        <v>22</v>
      </c>
      <c r="F378" s="1" t="s">
        <v>19</v>
      </c>
      <c r="G378" s="1">
        <v>3313.01</v>
      </c>
      <c r="H378" s="1" t="s">
        <v>290</v>
      </c>
      <c r="I378" s="2">
        <v>31764</v>
      </c>
      <c r="J378" s="2">
        <v>45090</v>
      </c>
      <c r="K378" s="1">
        <v>4.28</v>
      </c>
      <c r="L378" s="4">
        <f>G378*K378%</f>
        <v>141.79682800000003</v>
      </c>
      <c r="M378" s="4">
        <f>G378-L378</f>
        <v>3171.2131720000002</v>
      </c>
    </row>
    <row r="379" spans="2:13" x14ac:dyDescent="0.3">
      <c r="B379" s="1">
        <v>1618</v>
      </c>
      <c r="C379" s="2">
        <v>44117</v>
      </c>
      <c r="D379" s="1" t="s">
        <v>26</v>
      </c>
      <c r="E379" s="1" t="s">
        <v>49</v>
      </c>
      <c r="F379" s="1" t="s">
        <v>12</v>
      </c>
      <c r="G379" s="1">
        <v>2586.81</v>
      </c>
      <c r="H379" s="1" t="s">
        <v>270</v>
      </c>
      <c r="I379" s="2">
        <v>23245</v>
      </c>
      <c r="J379" s="2">
        <v>44122</v>
      </c>
      <c r="K379" s="1">
        <v>38.119999999999997</v>
      </c>
      <c r="L379" s="4">
        <f>G379*K379%</f>
        <v>986.09197199999994</v>
      </c>
      <c r="M379" s="4">
        <f>G379-L379</f>
        <v>1600.718028</v>
      </c>
    </row>
    <row r="380" spans="2:13" x14ac:dyDescent="0.3">
      <c r="B380" s="1">
        <v>1775</v>
      </c>
      <c r="C380" s="2">
        <v>45359</v>
      </c>
      <c r="D380" s="1" t="s">
        <v>26</v>
      </c>
      <c r="E380" s="1" t="s">
        <v>61</v>
      </c>
      <c r="F380" s="1" t="s">
        <v>19</v>
      </c>
      <c r="G380" s="1">
        <v>4924.91</v>
      </c>
      <c r="H380" s="1" t="s">
        <v>90</v>
      </c>
      <c r="I380" s="2">
        <v>29348</v>
      </c>
      <c r="J380" s="2">
        <v>45362</v>
      </c>
      <c r="K380" s="1">
        <v>9.5399999999999991</v>
      </c>
      <c r="L380" s="4">
        <f>G380*K380%</f>
        <v>469.83641399999993</v>
      </c>
      <c r="M380" s="4">
        <f>G380-L380</f>
        <v>4455.0735859999995</v>
      </c>
    </row>
    <row r="381" spans="2:13" x14ac:dyDescent="0.3">
      <c r="B381" s="1">
        <v>1140</v>
      </c>
      <c r="C381" s="2">
        <v>45407</v>
      </c>
      <c r="D381" s="1" t="s">
        <v>26</v>
      </c>
      <c r="E381" s="1" t="s">
        <v>36</v>
      </c>
      <c r="F381" s="1" t="s">
        <v>28</v>
      </c>
      <c r="G381" s="1">
        <v>1790.45</v>
      </c>
      <c r="H381" s="1" t="s">
        <v>90</v>
      </c>
      <c r="I381" s="2">
        <v>29348</v>
      </c>
      <c r="J381" s="2">
        <v>45408</v>
      </c>
      <c r="K381" s="1">
        <v>19.11</v>
      </c>
      <c r="L381" s="4">
        <f>G381*K381%</f>
        <v>342.15499499999999</v>
      </c>
      <c r="M381" s="4">
        <f>G381-L381</f>
        <v>1448.2950049999999</v>
      </c>
    </row>
    <row r="382" spans="2:13" x14ac:dyDescent="0.3">
      <c r="B382" s="1">
        <v>1920</v>
      </c>
      <c r="C382" s="2">
        <v>45806</v>
      </c>
      <c r="D382" s="1" t="s">
        <v>26</v>
      </c>
      <c r="E382" s="1" t="s">
        <v>40</v>
      </c>
      <c r="F382" s="1" t="s">
        <v>16</v>
      </c>
      <c r="G382" s="1">
        <v>1915.59</v>
      </c>
      <c r="H382" s="1" t="s">
        <v>194</v>
      </c>
      <c r="I382" s="2">
        <v>22210</v>
      </c>
      <c r="J382" s="2">
        <v>45810</v>
      </c>
      <c r="K382" s="1">
        <v>31.63</v>
      </c>
      <c r="L382" s="4">
        <f>G382*K382%</f>
        <v>605.90111699999989</v>
      </c>
      <c r="M382" s="4">
        <f>G382-L382</f>
        <v>1309.688883</v>
      </c>
    </row>
    <row r="383" spans="2:13" x14ac:dyDescent="0.3">
      <c r="B383" s="1">
        <v>1070</v>
      </c>
      <c r="C383" s="2">
        <v>44633</v>
      </c>
      <c r="D383" s="1" t="s">
        <v>26</v>
      </c>
      <c r="E383" s="1" t="s">
        <v>88</v>
      </c>
      <c r="F383" s="1" t="s">
        <v>16</v>
      </c>
      <c r="G383" s="1">
        <v>3460.16</v>
      </c>
      <c r="H383" s="1" t="s">
        <v>107</v>
      </c>
      <c r="I383" s="2">
        <v>26671</v>
      </c>
      <c r="J383" s="2">
        <v>44634</v>
      </c>
      <c r="K383" s="1">
        <v>11.06</v>
      </c>
      <c r="L383" s="4">
        <f>G383*K383%</f>
        <v>382.69369599999999</v>
      </c>
      <c r="M383" s="4">
        <f>G383-L383</f>
        <v>3077.466304</v>
      </c>
    </row>
    <row r="384" spans="2:13" x14ac:dyDescent="0.3">
      <c r="B384" s="1">
        <v>1467</v>
      </c>
      <c r="C384" s="2">
        <v>44414</v>
      </c>
      <c r="D384" s="1" t="s">
        <v>26</v>
      </c>
      <c r="E384" s="1" t="s">
        <v>55</v>
      </c>
      <c r="F384" s="1" t="s">
        <v>31</v>
      </c>
      <c r="G384" s="1">
        <v>3973.82</v>
      </c>
      <c r="H384" s="1" t="s">
        <v>107</v>
      </c>
      <c r="I384" s="2">
        <v>26671</v>
      </c>
      <c r="J384" s="2">
        <v>44423</v>
      </c>
      <c r="K384" s="1">
        <v>32.340000000000003</v>
      </c>
      <c r="L384" s="4">
        <f>G384*K384%</f>
        <v>1285.1333880000002</v>
      </c>
      <c r="M384" s="4">
        <f>G384-L384</f>
        <v>2688.686612</v>
      </c>
    </row>
    <row r="385" spans="2:13" x14ac:dyDescent="0.3">
      <c r="B385" s="1">
        <v>1903</v>
      </c>
      <c r="C385" s="2">
        <v>45709</v>
      </c>
      <c r="D385" s="1" t="s">
        <v>26</v>
      </c>
      <c r="E385" s="1" t="s">
        <v>33</v>
      </c>
      <c r="F385" s="1" t="s">
        <v>16</v>
      </c>
      <c r="G385" s="1">
        <v>2140.41</v>
      </c>
      <c r="H385" s="1" t="s">
        <v>32</v>
      </c>
      <c r="I385" s="2">
        <v>27166</v>
      </c>
      <c r="J385" s="2">
        <v>45719</v>
      </c>
      <c r="K385" s="1">
        <v>38.58</v>
      </c>
      <c r="L385" s="4">
        <f>G385*K385%</f>
        <v>825.77017799999987</v>
      </c>
      <c r="M385" s="4">
        <f>G385-L385</f>
        <v>1314.6398220000001</v>
      </c>
    </row>
    <row r="386" spans="2:13" x14ac:dyDescent="0.3">
      <c r="B386" s="1">
        <v>1364</v>
      </c>
      <c r="C386" s="2">
        <v>45666</v>
      </c>
      <c r="D386" s="1" t="s">
        <v>26</v>
      </c>
      <c r="E386" s="1" t="s">
        <v>27</v>
      </c>
      <c r="F386" s="1" t="s">
        <v>28</v>
      </c>
      <c r="G386" s="1">
        <v>178.24</v>
      </c>
      <c r="H386" s="1" t="s">
        <v>32</v>
      </c>
      <c r="I386" s="2">
        <v>27166</v>
      </c>
      <c r="J386" s="2">
        <v>45676</v>
      </c>
      <c r="K386" s="1">
        <v>40.270000000000003</v>
      </c>
      <c r="L386" s="4">
        <f>G386*K386%</f>
        <v>71.777248000000014</v>
      </c>
      <c r="M386" s="4">
        <f>G386-L386</f>
        <v>106.46275199999999</v>
      </c>
    </row>
    <row r="387" spans="2:13" x14ac:dyDescent="0.3">
      <c r="B387" s="1">
        <v>1372</v>
      </c>
      <c r="C387" s="2">
        <v>44691</v>
      </c>
      <c r="D387" s="1" t="s">
        <v>26</v>
      </c>
      <c r="E387" s="1" t="s">
        <v>33</v>
      </c>
      <c r="F387" s="1" t="s">
        <v>16</v>
      </c>
      <c r="G387" s="1">
        <v>4505.3599999999997</v>
      </c>
      <c r="H387" s="1" t="s">
        <v>252</v>
      </c>
      <c r="I387" s="2">
        <v>34209</v>
      </c>
      <c r="J387" s="2">
        <v>44700</v>
      </c>
      <c r="K387" s="1">
        <v>34.29</v>
      </c>
      <c r="L387" s="4">
        <f>G387*K387%</f>
        <v>1544.8879439999998</v>
      </c>
      <c r="M387" s="4">
        <f>G387-L387</f>
        <v>2960.4720559999996</v>
      </c>
    </row>
    <row r="388" spans="2:13" x14ac:dyDescent="0.3">
      <c r="B388" s="1">
        <v>1218</v>
      </c>
      <c r="C388" s="2">
        <v>44470</v>
      </c>
      <c r="D388" s="1" t="s">
        <v>26</v>
      </c>
      <c r="E388" s="1" t="s">
        <v>24</v>
      </c>
      <c r="F388" s="1" t="s">
        <v>19</v>
      </c>
      <c r="G388" s="1">
        <v>3830.75</v>
      </c>
      <c r="H388" s="1" t="s">
        <v>204</v>
      </c>
      <c r="I388" s="2">
        <v>23718</v>
      </c>
      <c r="J388" s="2">
        <v>44475</v>
      </c>
      <c r="K388" s="1">
        <v>39.33</v>
      </c>
      <c r="L388" s="4">
        <f>G388*K388%</f>
        <v>1506.633975</v>
      </c>
      <c r="M388" s="4">
        <f>G388-L388</f>
        <v>2324.1160250000003</v>
      </c>
    </row>
    <row r="389" spans="2:13" x14ac:dyDescent="0.3">
      <c r="B389" s="1">
        <v>1225</v>
      </c>
      <c r="C389" s="2">
        <v>44858</v>
      </c>
      <c r="D389" s="1" t="s">
        <v>26</v>
      </c>
      <c r="E389" s="1" t="s">
        <v>33</v>
      </c>
      <c r="F389" s="1" t="s">
        <v>16</v>
      </c>
      <c r="G389" s="1">
        <v>2904.95</v>
      </c>
      <c r="H389" s="1" t="s">
        <v>124</v>
      </c>
      <c r="I389" s="2">
        <v>30786</v>
      </c>
      <c r="J389" s="2">
        <v>44860</v>
      </c>
      <c r="K389" s="1">
        <v>6.47</v>
      </c>
      <c r="L389" s="4">
        <f>G389*K389%</f>
        <v>187.95026499999997</v>
      </c>
      <c r="M389" s="4">
        <f>G389-L389</f>
        <v>2716.9997349999999</v>
      </c>
    </row>
    <row r="390" spans="2:13" x14ac:dyDescent="0.3">
      <c r="B390" s="1">
        <v>1975</v>
      </c>
      <c r="C390" s="2">
        <v>45826</v>
      </c>
      <c r="D390" s="1" t="s">
        <v>26</v>
      </c>
      <c r="E390" s="1" t="s">
        <v>11</v>
      </c>
      <c r="F390" s="1" t="s">
        <v>12</v>
      </c>
      <c r="G390" s="1">
        <v>3112.42</v>
      </c>
      <c r="H390" s="1" t="s">
        <v>124</v>
      </c>
      <c r="I390" s="2">
        <v>30786</v>
      </c>
      <c r="J390" s="2">
        <v>45830</v>
      </c>
      <c r="K390" s="1">
        <v>38.31</v>
      </c>
      <c r="L390" s="4">
        <f>G390*K390%</f>
        <v>1192.3681019999999</v>
      </c>
      <c r="M390" s="4">
        <f>G390-L390</f>
        <v>1920.0518980000002</v>
      </c>
    </row>
    <row r="391" spans="2:13" x14ac:dyDescent="0.3">
      <c r="B391" s="1">
        <v>1306</v>
      </c>
      <c r="C391" s="2">
        <v>45432</v>
      </c>
      <c r="D391" s="1" t="s">
        <v>26</v>
      </c>
      <c r="E391" s="1" t="s">
        <v>44</v>
      </c>
      <c r="F391" s="1" t="s">
        <v>16</v>
      </c>
      <c r="G391" s="1">
        <v>680.18</v>
      </c>
      <c r="H391" s="1" t="s">
        <v>124</v>
      </c>
      <c r="I391" s="2">
        <v>30786</v>
      </c>
      <c r="J391" s="2">
        <v>45446</v>
      </c>
      <c r="K391" s="1">
        <v>22.04</v>
      </c>
      <c r="L391" s="4">
        <f>G391*K391%</f>
        <v>149.91167199999998</v>
      </c>
      <c r="M391" s="4">
        <f>G391-L391</f>
        <v>530.268328</v>
      </c>
    </row>
    <row r="392" spans="2:13" x14ac:dyDescent="0.3">
      <c r="B392" s="1">
        <v>1581</v>
      </c>
      <c r="C392" s="2">
        <v>45712</v>
      </c>
      <c r="D392" s="1" t="s">
        <v>26</v>
      </c>
      <c r="E392" s="1" t="s">
        <v>55</v>
      </c>
      <c r="F392" s="1" t="s">
        <v>31</v>
      </c>
      <c r="G392" s="1">
        <v>922.77</v>
      </c>
      <c r="H392" s="1" t="s">
        <v>124</v>
      </c>
      <c r="I392" s="2">
        <v>30786</v>
      </c>
      <c r="J392" s="2">
        <v>45720</v>
      </c>
      <c r="K392" s="1">
        <v>45.36</v>
      </c>
      <c r="L392" s="4">
        <f>G392*K392%</f>
        <v>418.56847199999999</v>
      </c>
      <c r="M392" s="4">
        <f>G392-L392</f>
        <v>504.201528</v>
      </c>
    </row>
    <row r="393" spans="2:13" x14ac:dyDescent="0.3">
      <c r="B393" s="1">
        <v>1629</v>
      </c>
      <c r="C393" s="2">
        <v>45475</v>
      </c>
      <c r="D393" s="1" t="s">
        <v>26</v>
      </c>
      <c r="E393" s="1" t="s">
        <v>49</v>
      </c>
      <c r="F393" s="1" t="s">
        <v>12</v>
      </c>
      <c r="G393" s="1">
        <v>363.78</v>
      </c>
      <c r="H393" s="1" t="s">
        <v>124</v>
      </c>
      <c r="I393" s="2">
        <v>30786</v>
      </c>
      <c r="J393" s="2">
        <v>45482</v>
      </c>
      <c r="K393" s="1">
        <v>34.58</v>
      </c>
      <c r="L393" s="4">
        <f>G393*K393%</f>
        <v>125.79512399999999</v>
      </c>
      <c r="M393" s="4">
        <f>G393-L393</f>
        <v>237.98487599999999</v>
      </c>
    </row>
    <row r="394" spans="2:13" x14ac:dyDescent="0.3">
      <c r="B394" s="1">
        <v>1421</v>
      </c>
      <c r="C394" s="2">
        <v>44184</v>
      </c>
      <c r="D394" s="1" t="s">
        <v>26</v>
      </c>
      <c r="E394" s="1" t="s">
        <v>58</v>
      </c>
      <c r="F394" s="1" t="s">
        <v>31</v>
      </c>
      <c r="G394" s="1">
        <v>301.72000000000003</v>
      </c>
      <c r="H394" s="1" t="s">
        <v>192</v>
      </c>
      <c r="I394" s="2">
        <v>33626</v>
      </c>
      <c r="J394" s="2">
        <v>44192</v>
      </c>
      <c r="K394" s="1">
        <v>35.22</v>
      </c>
      <c r="L394" s="4">
        <f>G394*K394%</f>
        <v>106.26578400000001</v>
      </c>
      <c r="M394" s="4">
        <f>G394-L394</f>
        <v>195.45421600000003</v>
      </c>
    </row>
    <row r="395" spans="2:13" x14ac:dyDescent="0.3">
      <c r="B395" s="1">
        <v>1341</v>
      </c>
      <c r="C395" s="2">
        <v>45522</v>
      </c>
      <c r="D395" s="1" t="s">
        <v>26</v>
      </c>
      <c r="E395" s="1" t="s">
        <v>38</v>
      </c>
      <c r="F395" s="1" t="s">
        <v>28</v>
      </c>
      <c r="G395" s="1">
        <v>1977.54</v>
      </c>
      <c r="H395" s="1" t="s">
        <v>111</v>
      </c>
      <c r="I395" s="2">
        <v>34704</v>
      </c>
      <c r="J395" s="2">
        <v>45535</v>
      </c>
      <c r="K395" s="1">
        <v>36.68</v>
      </c>
      <c r="L395" s="4">
        <f>G395*K395%</f>
        <v>725.361672</v>
      </c>
      <c r="M395" s="4">
        <f>G395-L395</f>
        <v>1252.178328</v>
      </c>
    </row>
    <row r="396" spans="2:13" x14ac:dyDescent="0.3">
      <c r="B396" s="1">
        <v>1263</v>
      </c>
      <c r="C396" s="2">
        <v>44413</v>
      </c>
      <c r="D396" s="1" t="s">
        <v>14</v>
      </c>
      <c r="E396" s="1" t="s">
        <v>18</v>
      </c>
      <c r="F396" s="1" t="s">
        <v>19</v>
      </c>
      <c r="G396" s="1">
        <v>3097.86</v>
      </c>
      <c r="H396" s="1" t="s">
        <v>145</v>
      </c>
      <c r="I396" s="2">
        <v>23470</v>
      </c>
      <c r="J396" s="2">
        <v>44419</v>
      </c>
      <c r="K396" s="1">
        <v>41.73</v>
      </c>
      <c r="L396" s="4">
        <f>G396*K396%</f>
        <v>1292.7369779999999</v>
      </c>
      <c r="M396" s="4">
        <f>G396-L396</f>
        <v>1805.1230220000002</v>
      </c>
    </row>
    <row r="397" spans="2:13" x14ac:dyDescent="0.3">
      <c r="B397" s="1">
        <v>1199</v>
      </c>
      <c r="C397" s="2">
        <v>44435</v>
      </c>
      <c r="D397" s="1" t="s">
        <v>14</v>
      </c>
      <c r="E397" s="1" t="s">
        <v>49</v>
      </c>
      <c r="F397" s="1" t="s">
        <v>12</v>
      </c>
      <c r="G397" s="1">
        <v>4449.97</v>
      </c>
      <c r="H397" s="1" t="s">
        <v>118</v>
      </c>
      <c r="I397" s="2">
        <v>22599</v>
      </c>
      <c r="J397" s="2">
        <v>44448</v>
      </c>
      <c r="K397" s="1">
        <v>4.2699999999999996</v>
      </c>
      <c r="L397" s="4">
        <f>G397*K397%</f>
        <v>190.01371899999998</v>
      </c>
      <c r="M397" s="4">
        <f>G397-L397</f>
        <v>4259.9562810000007</v>
      </c>
    </row>
    <row r="398" spans="2:13" x14ac:dyDescent="0.3">
      <c r="B398" s="1">
        <v>1393</v>
      </c>
      <c r="C398" s="2">
        <v>45564</v>
      </c>
      <c r="D398" s="1" t="s">
        <v>14</v>
      </c>
      <c r="E398" s="1" t="s">
        <v>30</v>
      </c>
      <c r="F398" s="1" t="s">
        <v>31</v>
      </c>
      <c r="G398" s="1">
        <v>4793.3599999999997</v>
      </c>
      <c r="H398" s="1" t="s">
        <v>85</v>
      </c>
      <c r="I398" s="2">
        <v>37236</v>
      </c>
      <c r="J398" s="2">
        <v>45573</v>
      </c>
      <c r="K398" s="1">
        <v>12.75</v>
      </c>
      <c r="L398" s="4">
        <f>G398*K398%</f>
        <v>611.15339999999992</v>
      </c>
      <c r="M398" s="4">
        <f>G398-L398</f>
        <v>4182.2065999999995</v>
      </c>
    </row>
    <row r="399" spans="2:13" x14ac:dyDescent="0.3">
      <c r="B399" s="1">
        <v>1180</v>
      </c>
      <c r="C399" s="2">
        <v>44632</v>
      </c>
      <c r="D399" s="1" t="s">
        <v>14</v>
      </c>
      <c r="E399" s="1" t="s">
        <v>11</v>
      </c>
      <c r="F399" s="1" t="s">
        <v>12</v>
      </c>
      <c r="G399" s="1">
        <v>4801.1000000000004</v>
      </c>
      <c r="H399" s="1" t="s">
        <v>85</v>
      </c>
      <c r="I399" s="2">
        <v>37236</v>
      </c>
      <c r="J399" s="2">
        <v>44645</v>
      </c>
      <c r="K399" s="1">
        <v>46.21</v>
      </c>
      <c r="L399" s="4">
        <f>G399*K399%</f>
        <v>2218.5883100000001</v>
      </c>
      <c r="M399" s="4">
        <f>G399-L399</f>
        <v>2582.5116900000003</v>
      </c>
    </row>
    <row r="400" spans="2:13" x14ac:dyDescent="0.3">
      <c r="B400" s="1">
        <v>1072</v>
      </c>
      <c r="C400" s="2">
        <v>45585</v>
      </c>
      <c r="D400" s="1" t="s">
        <v>14</v>
      </c>
      <c r="E400" s="1" t="s">
        <v>11</v>
      </c>
      <c r="F400" s="1" t="s">
        <v>12</v>
      </c>
      <c r="G400" s="1">
        <v>4220.8999999999996</v>
      </c>
      <c r="H400" s="1" t="s">
        <v>93</v>
      </c>
      <c r="I400" s="2">
        <v>33984</v>
      </c>
      <c r="J400" s="2">
        <v>45590</v>
      </c>
      <c r="K400" s="1">
        <v>10.25</v>
      </c>
      <c r="L400" s="4">
        <f>G400*K400%</f>
        <v>432.64224999999993</v>
      </c>
      <c r="M400" s="4">
        <f>G400-L400</f>
        <v>3788.2577499999998</v>
      </c>
    </row>
    <row r="401" spans="2:13" x14ac:dyDescent="0.3">
      <c r="B401" s="1">
        <v>1778</v>
      </c>
      <c r="C401" s="2">
        <v>44901</v>
      </c>
      <c r="D401" s="1" t="s">
        <v>14</v>
      </c>
      <c r="E401" s="1" t="s">
        <v>44</v>
      </c>
      <c r="F401" s="1" t="s">
        <v>16</v>
      </c>
      <c r="G401" s="1">
        <v>2990.03</v>
      </c>
      <c r="H401" s="1" t="s">
        <v>93</v>
      </c>
      <c r="I401" s="2">
        <v>33984</v>
      </c>
      <c r="J401" s="2">
        <v>44904</v>
      </c>
      <c r="K401" s="1">
        <v>29.8</v>
      </c>
      <c r="L401" s="4">
        <f>G401*K401%</f>
        <v>891.02894000000003</v>
      </c>
      <c r="M401" s="4">
        <f>G401-L401</f>
        <v>2099.0010600000001</v>
      </c>
    </row>
    <row r="402" spans="2:13" x14ac:dyDescent="0.3">
      <c r="B402" s="1">
        <v>1927</v>
      </c>
      <c r="C402" s="2">
        <v>44664</v>
      </c>
      <c r="D402" s="1" t="s">
        <v>14</v>
      </c>
      <c r="E402" s="1" t="s">
        <v>15</v>
      </c>
      <c r="F402" s="1" t="s">
        <v>16</v>
      </c>
      <c r="G402" s="1">
        <v>4206.6099999999997</v>
      </c>
      <c r="H402" s="1" t="s">
        <v>274</v>
      </c>
      <c r="I402" s="2">
        <v>34557</v>
      </c>
      <c r="J402" s="2">
        <v>44670</v>
      </c>
      <c r="K402" s="1">
        <v>26.31</v>
      </c>
      <c r="L402" s="4">
        <f>G402*K402%</f>
        <v>1106.7590909999999</v>
      </c>
      <c r="M402" s="4">
        <f>G402-L402</f>
        <v>3099.8509089999998</v>
      </c>
    </row>
    <row r="403" spans="2:13" x14ac:dyDescent="0.3">
      <c r="B403" s="1">
        <v>1557</v>
      </c>
      <c r="C403" s="2">
        <v>45717</v>
      </c>
      <c r="D403" s="1" t="s">
        <v>14</v>
      </c>
      <c r="E403" s="1" t="s">
        <v>47</v>
      </c>
      <c r="F403" s="1" t="s">
        <v>12</v>
      </c>
      <c r="G403" s="1">
        <v>4784.0600000000004</v>
      </c>
      <c r="H403" s="1" t="s">
        <v>244</v>
      </c>
      <c r="I403" s="2">
        <v>30356</v>
      </c>
      <c r="J403" s="2">
        <v>45729</v>
      </c>
      <c r="K403" s="1">
        <v>23.56</v>
      </c>
      <c r="L403" s="4">
        <f>G403*K403%</f>
        <v>1127.124536</v>
      </c>
      <c r="M403" s="4">
        <f>G403-L403</f>
        <v>3656.9354640000001</v>
      </c>
    </row>
    <row r="404" spans="2:13" x14ac:dyDescent="0.3">
      <c r="B404" s="1">
        <v>1744</v>
      </c>
      <c r="C404" s="2">
        <v>45828</v>
      </c>
      <c r="D404" s="1" t="s">
        <v>14</v>
      </c>
      <c r="E404" s="1" t="s">
        <v>69</v>
      </c>
      <c r="F404" s="1" t="s">
        <v>12</v>
      </c>
      <c r="G404" s="1">
        <v>774.89</v>
      </c>
      <c r="H404" s="1" t="s">
        <v>266</v>
      </c>
      <c r="I404" s="2">
        <v>32604</v>
      </c>
      <c r="J404" s="2">
        <v>45838</v>
      </c>
      <c r="K404" s="1">
        <v>26.39</v>
      </c>
      <c r="L404" s="4">
        <f>G404*K404%</f>
        <v>204.49347100000003</v>
      </c>
      <c r="M404" s="4">
        <f>G404-L404</f>
        <v>570.39652899999999</v>
      </c>
    </row>
    <row r="405" spans="2:13" x14ac:dyDescent="0.3">
      <c r="B405" s="1">
        <v>1208</v>
      </c>
      <c r="C405" s="2">
        <v>45028</v>
      </c>
      <c r="D405" s="1" t="s">
        <v>14</v>
      </c>
      <c r="E405" s="1" t="s">
        <v>36</v>
      </c>
      <c r="F405" s="1" t="s">
        <v>28</v>
      </c>
      <c r="G405" s="1">
        <v>1636.83</v>
      </c>
      <c r="H405" s="1" t="s">
        <v>199</v>
      </c>
      <c r="I405" s="2">
        <v>25341</v>
      </c>
      <c r="J405" s="2">
        <v>45040</v>
      </c>
      <c r="K405" s="1">
        <v>11.01</v>
      </c>
      <c r="L405" s="4">
        <f>G405*K405%</f>
        <v>180.21498299999999</v>
      </c>
      <c r="M405" s="4">
        <f>G405-L405</f>
        <v>1456.6150169999999</v>
      </c>
    </row>
    <row r="406" spans="2:13" x14ac:dyDescent="0.3">
      <c r="B406" s="1">
        <v>1343</v>
      </c>
      <c r="C406" s="2">
        <v>44168</v>
      </c>
      <c r="D406" s="1" t="s">
        <v>14</v>
      </c>
      <c r="E406" s="1" t="s">
        <v>65</v>
      </c>
      <c r="F406" s="1" t="s">
        <v>19</v>
      </c>
      <c r="G406" s="1">
        <v>252.14</v>
      </c>
      <c r="H406" s="1" t="s">
        <v>199</v>
      </c>
      <c r="I406" s="2">
        <v>25341</v>
      </c>
      <c r="J406" s="2">
        <v>44173</v>
      </c>
      <c r="K406" s="1">
        <v>27.23</v>
      </c>
      <c r="L406" s="4">
        <f>G406*K406%</f>
        <v>68.657721999999993</v>
      </c>
      <c r="M406" s="4">
        <f>G406-L406</f>
        <v>183.48227800000001</v>
      </c>
    </row>
    <row r="407" spans="2:13" x14ac:dyDescent="0.3">
      <c r="B407" s="1">
        <v>1508</v>
      </c>
      <c r="C407" s="2">
        <v>44487</v>
      </c>
      <c r="D407" s="1" t="s">
        <v>14</v>
      </c>
      <c r="E407" s="1" t="s">
        <v>15</v>
      </c>
      <c r="F407" s="1" t="s">
        <v>16</v>
      </c>
      <c r="G407" s="1">
        <v>2775.54</v>
      </c>
      <c r="H407" s="1" t="s">
        <v>129</v>
      </c>
      <c r="I407" s="2">
        <v>26668</v>
      </c>
      <c r="J407" s="2">
        <v>44494</v>
      </c>
      <c r="K407" s="1">
        <v>22.41</v>
      </c>
      <c r="L407" s="4">
        <f>G407*K407%</f>
        <v>621.998514</v>
      </c>
      <c r="M407" s="4">
        <f>G407-L407</f>
        <v>2153.5414860000001</v>
      </c>
    </row>
    <row r="408" spans="2:13" x14ac:dyDescent="0.3">
      <c r="B408" s="1">
        <v>1029</v>
      </c>
      <c r="C408" s="2">
        <v>44115</v>
      </c>
      <c r="D408" s="1" t="s">
        <v>14</v>
      </c>
      <c r="E408" s="1" t="s">
        <v>47</v>
      </c>
      <c r="F408" s="1" t="s">
        <v>12</v>
      </c>
      <c r="G408" s="1">
        <v>1620.46</v>
      </c>
      <c r="H408" s="1" t="s">
        <v>68</v>
      </c>
      <c r="I408" s="2">
        <v>22079</v>
      </c>
      <c r="J408" s="2">
        <v>44127</v>
      </c>
      <c r="K408" s="1">
        <v>6.11</v>
      </c>
      <c r="L408" s="4">
        <f>G408*K408%</f>
        <v>99.010106000000007</v>
      </c>
      <c r="M408" s="4">
        <f>G408-L408</f>
        <v>1521.4498940000001</v>
      </c>
    </row>
    <row r="409" spans="2:13" x14ac:dyDescent="0.3">
      <c r="B409" s="1">
        <v>1787</v>
      </c>
      <c r="C409" s="2">
        <v>44505</v>
      </c>
      <c r="D409" s="1" t="s">
        <v>14</v>
      </c>
      <c r="E409" s="1" t="s">
        <v>11</v>
      </c>
      <c r="F409" s="1" t="s">
        <v>12</v>
      </c>
      <c r="G409" s="1">
        <v>1103.06</v>
      </c>
      <c r="H409" s="1" t="s">
        <v>68</v>
      </c>
      <c r="I409" s="2">
        <v>22079</v>
      </c>
      <c r="J409" s="2">
        <v>44516</v>
      </c>
      <c r="K409" s="1">
        <v>22.74</v>
      </c>
      <c r="L409" s="4">
        <f>G409*K409%</f>
        <v>250.83584399999998</v>
      </c>
      <c r="M409" s="4">
        <f>G409-L409</f>
        <v>852.22415599999999</v>
      </c>
    </row>
    <row r="410" spans="2:13" x14ac:dyDescent="0.3">
      <c r="B410" s="1">
        <v>1481</v>
      </c>
      <c r="C410" s="2">
        <v>45763</v>
      </c>
      <c r="D410" s="1" t="s">
        <v>14</v>
      </c>
      <c r="E410" s="1" t="s">
        <v>15</v>
      </c>
      <c r="F410" s="1" t="s">
        <v>16</v>
      </c>
      <c r="G410" s="1">
        <v>4811.79</v>
      </c>
      <c r="H410" s="1" t="s">
        <v>94</v>
      </c>
      <c r="I410" s="2">
        <v>25516</v>
      </c>
      <c r="J410" s="2">
        <v>45774</v>
      </c>
      <c r="K410" s="1">
        <v>37.81</v>
      </c>
      <c r="L410" s="4">
        <f>G410*K410%</f>
        <v>1819.3377990000001</v>
      </c>
      <c r="M410" s="4">
        <f>G410-L410</f>
        <v>2992.4522010000001</v>
      </c>
    </row>
    <row r="411" spans="2:13" x14ac:dyDescent="0.3">
      <c r="B411" s="1">
        <v>1053</v>
      </c>
      <c r="C411" s="2">
        <v>45512</v>
      </c>
      <c r="D411" s="1" t="s">
        <v>14</v>
      </c>
      <c r="E411" s="1" t="s">
        <v>18</v>
      </c>
      <c r="F411" s="1" t="s">
        <v>19</v>
      </c>
      <c r="G411" s="1">
        <v>1731.23</v>
      </c>
      <c r="H411" s="1" t="s">
        <v>94</v>
      </c>
      <c r="I411" s="2">
        <v>25516</v>
      </c>
      <c r="J411" s="2">
        <v>45516</v>
      </c>
      <c r="K411" s="1">
        <v>8.27</v>
      </c>
      <c r="L411" s="4">
        <f>G411*K411%</f>
        <v>143.172721</v>
      </c>
      <c r="M411" s="4">
        <f>G411-L411</f>
        <v>1588.0572790000001</v>
      </c>
    </row>
    <row r="412" spans="2:13" x14ac:dyDescent="0.3">
      <c r="B412" s="1">
        <v>1954</v>
      </c>
      <c r="C412" s="2">
        <v>45382</v>
      </c>
      <c r="D412" s="1" t="s">
        <v>14</v>
      </c>
      <c r="E412" s="1" t="s">
        <v>40</v>
      </c>
      <c r="F412" s="1" t="s">
        <v>16</v>
      </c>
      <c r="G412" s="1">
        <v>1612.54</v>
      </c>
      <c r="H412" s="1" t="s">
        <v>224</v>
      </c>
      <c r="I412" s="2">
        <v>35405</v>
      </c>
      <c r="J412" s="2">
        <v>45389</v>
      </c>
      <c r="K412" s="1">
        <v>39.380000000000003</v>
      </c>
      <c r="L412" s="4">
        <f>G412*K412%</f>
        <v>635.01825200000007</v>
      </c>
      <c r="M412" s="4">
        <f>G412-L412</f>
        <v>977.52174799999989</v>
      </c>
    </row>
    <row r="413" spans="2:13" x14ac:dyDescent="0.3">
      <c r="B413" s="1">
        <v>1764</v>
      </c>
      <c r="C413" s="2">
        <v>44839</v>
      </c>
      <c r="D413" s="1" t="s">
        <v>14</v>
      </c>
      <c r="E413" s="1" t="s">
        <v>33</v>
      </c>
      <c r="F413" s="1" t="s">
        <v>16</v>
      </c>
      <c r="G413" s="1">
        <v>1984.75</v>
      </c>
      <c r="H413" s="1" t="s">
        <v>170</v>
      </c>
      <c r="I413" s="2">
        <v>34205</v>
      </c>
      <c r="J413" s="2">
        <v>44852</v>
      </c>
      <c r="K413" s="1">
        <v>25.56</v>
      </c>
      <c r="L413" s="4">
        <f>G413*K413%</f>
        <v>507.3021</v>
      </c>
      <c r="M413" s="4">
        <f>G413-L413</f>
        <v>1477.4479000000001</v>
      </c>
    </row>
    <row r="414" spans="2:13" x14ac:dyDescent="0.3">
      <c r="B414" s="1">
        <v>1244</v>
      </c>
      <c r="C414" s="2">
        <v>45408</v>
      </c>
      <c r="D414" s="1" t="s">
        <v>14</v>
      </c>
      <c r="E414" s="1" t="s">
        <v>47</v>
      </c>
      <c r="F414" s="1" t="s">
        <v>12</v>
      </c>
      <c r="G414" s="1">
        <v>1187.1099999999999</v>
      </c>
      <c r="H414" s="1" t="s">
        <v>170</v>
      </c>
      <c r="I414" s="2">
        <v>34205</v>
      </c>
      <c r="J414" s="2">
        <v>45420</v>
      </c>
      <c r="K414" s="1">
        <v>33.229999999999997</v>
      </c>
      <c r="L414" s="4">
        <f>G414*K414%</f>
        <v>394.47665299999994</v>
      </c>
      <c r="M414" s="4">
        <f>G414-L414</f>
        <v>792.63334699999996</v>
      </c>
    </row>
    <row r="415" spans="2:13" x14ac:dyDescent="0.3">
      <c r="B415" s="1">
        <v>1367</v>
      </c>
      <c r="C415" s="2">
        <v>44141</v>
      </c>
      <c r="D415" s="1" t="s">
        <v>14</v>
      </c>
      <c r="E415" s="1" t="s">
        <v>24</v>
      </c>
      <c r="F415" s="1" t="s">
        <v>19</v>
      </c>
      <c r="G415" s="1">
        <v>1160.47</v>
      </c>
      <c r="H415" s="1" t="s">
        <v>82</v>
      </c>
      <c r="I415" s="2">
        <v>38879</v>
      </c>
      <c r="J415" s="2">
        <v>44142</v>
      </c>
      <c r="K415" s="1">
        <v>31.35</v>
      </c>
      <c r="L415" s="4">
        <f>G415*K415%</f>
        <v>363.807345</v>
      </c>
      <c r="M415" s="4">
        <f>G415-L415</f>
        <v>796.66265500000009</v>
      </c>
    </row>
    <row r="416" spans="2:13" x14ac:dyDescent="0.3">
      <c r="B416" s="1">
        <v>1632</v>
      </c>
      <c r="C416" s="2">
        <v>44856</v>
      </c>
      <c r="D416" s="1" t="s">
        <v>14</v>
      </c>
      <c r="E416" s="1" t="s">
        <v>73</v>
      </c>
      <c r="F416" s="1" t="s">
        <v>28</v>
      </c>
      <c r="G416" s="1">
        <v>3721.15</v>
      </c>
      <c r="H416" s="1" t="s">
        <v>121</v>
      </c>
      <c r="I416" s="2">
        <v>24580</v>
      </c>
      <c r="J416" s="2">
        <v>44862</v>
      </c>
      <c r="K416" s="1">
        <v>36.840000000000003</v>
      </c>
      <c r="L416" s="4">
        <f>G416*K416%</f>
        <v>1370.8716600000002</v>
      </c>
      <c r="M416" s="4">
        <f>G416-L416</f>
        <v>2350.2783399999998</v>
      </c>
    </row>
    <row r="417" spans="2:13" x14ac:dyDescent="0.3">
      <c r="B417" s="1">
        <v>1183</v>
      </c>
      <c r="C417" s="2">
        <v>44414</v>
      </c>
      <c r="D417" s="1" t="s">
        <v>14</v>
      </c>
      <c r="E417" s="1" t="s">
        <v>33</v>
      </c>
      <c r="F417" s="1" t="s">
        <v>16</v>
      </c>
      <c r="G417" s="1">
        <v>1084.71</v>
      </c>
      <c r="H417" s="1" t="s">
        <v>121</v>
      </c>
      <c r="I417" s="2">
        <v>24580</v>
      </c>
      <c r="J417" s="2">
        <v>44424</v>
      </c>
      <c r="K417" s="1">
        <v>36.89</v>
      </c>
      <c r="L417" s="4">
        <f>G417*K417%</f>
        <v>400.149519</v>
      </c>
      <c r="M417" s="4">
        <f>G417-L417</f>
        <v>684.56048099999998</v>
      </c>
    </row>
    <row r="418" spans="2:13" x14ac:dyDescent="0.3">
      <c r="B418" s="1">
        <v>1991</v>
      </c>
      <c r="C418" s="2">
        <v>44469</v>
      </c>
      <c r="D418" s="1" t="s">
        <v>14</v>
      </c>
      <c r="E418" s="1" t="s">
        <v>47</v>
      </c>
      <c r="F418" s="1" t="s">
        <v>12</v>
      </c>
      <c r="G418" s="1">
        <v>1021.17</v>
      </c>
      <c r="H418" s="1" t="s">
        <v>62</v>
      </c>
      <c r="I418" s="2">
        <v>22870</v>
      </c>
      <c r="J418" s="2">
        <v>44478</v>
      </c>
      <c r="K418" s="1">
        <v>22.08</v>
      </c>
      <c r="L418" s="4">
        <f>G418*K418%</f>
        <v>225.47433599999999</v>
      </c>
      <c r="M418" s="4">
        <f>G418-L418</f>
        <v>795.69566399999997</v>
      </c>
    </row>
    <row r="419" spans="2:13" x14ac:dyDescent="0.3">
      <c r="B419" s="1">
        <v>1885</v>
      </c>
      <c r="C419" s="2">
        <v>45328</v>
      </c>
      <c r="D419" s="1" t="s">
        <v>14</v>
      </c>
      <c r="E419" s="1" t="s">
        <v>22</v>
      </c>
      <c r="F419" s="1" t="s">
        <v>19</v>
      </c>
      <c r="G419" s="1">
        <v>224.05</v>
      </c>
      <c r="H419" s="1" t="s">
        <v>313</v>
      </c>
      <c r="I419" s="2">
        <v>23039</v>
      </c>
      <c r="J419" s="2">
        <v>45331</v>
      </c>
      <c r="K419" s="1">
        <v>32.409999999999997</v>
      </c>
      <c r="L419" s="4">
        <f>G419*K419%</f>
        <v>72.614604999999997</v>
      </c>
      <c r="M419" s="4">
        <f>G419-L419</f>
        <v>151.43539500000003</v>
      </c>
    </row>
    <row r="420" spans="2:13" x14ac:dyDescent="0.3">
      <c r="B420" s="1">
        <v>1193</v>
      </c>
      <c r="C420" s="2">
        <v>45437</v>
      </c>
      <c r="D420" s="1" t="s">
        <v>14</v>
      </c>
      <c r="E420" s="1" t="s">
        <v>36</v>
      </c>
      <c r="F420" s="1" t="s">
        <v>28</v>
      </c>
      <c r="G420" s="1">
        <v>3465.02</v>
      </c>
      <c r="H420" s="1" t="s">
        <v>190</v>
      </c>
      <c r="I420" s="2">
        <v>33354</v>
      </c>
      <c r="J420" s="2">
        <v>45449</v>
      </c>
      <c r="K420" s="1">
        <v>18.989999999999998</v>
      </c>
      <c r="L420" s="4">
        <f>G420*K420%</f>
        <v>658.00729799999999</v>
      </c>
      <c r="M420" s="4">
        <f>G420-L420</f>
        <v>2807.012702</v>
      </c>
    </row>
    <row r="421" spans="2:13" x14ac:dyDescent="0.3">
      <c r="B421" s="1">
        <v>1475</v>
      </c>
      <c r="C421" s="2">
        <v>45168</v>
      </c>
      <c r="D421" s="1" t="s">
        <v>14</v>
      </c>
      <c r="E421" s="1" t="s">
        <v>33</v>
      </c>
      <c r="F421" s="1" t="s">
        <v>16</v>
      </c>
      <c r="G421" s="1">
        <v>4233.49</v>
      </c>
      <c r="H421" s="1" t="s">
        <v>190</v>
      </c>
      <c r="I421" s="2">
        <v>33354</v>
      </c>
      <c r="J421" s="2">
        <v>45172</v>
      </c>
      <c r="K421" s="1">
        <v>48.48</v>
      </c>
      <c r="L421" s="4">
        <f>G421*K421%</f>
        <v>2052.3959519999999</v>
      </c>
      <c r="M421" s="4">
        <f>G421-L421</f>
        <v>2181.0940479999999</v>
      </c>
    </row>
    <row r="422" spans="2:13" x14ac:dyDescent="0.3">
      <c r="B422" s="1">
        <v>1610</v>
      </c>
      <c r="C422" s="2">
        <v>45786</v>
      </c>
      <c r="D422" s="1" t="s">
        <v>14</v>
      </c>
      <c r="E422" s="1" t="s">
        <v>73</v>
      </c>
      <c r="F422" s="1" t="s">
        <v>28</v>
      </c>
      <c r="G422" s="1">
        <v>1801.24</v>
      </c>
      <c r="H422" s="1" t="s">
        <v>190</v>
      </c>
      <c r="I422" s="2">
        <v>33354</v>
      </c>
      <c r="J422" s="2">
        <v>45796</v>
      </c>
      <c r="K422" s="1">
        <v>41.81</v>
      </c>
      <c r="L422" s="4">
        <f>G422*K422%</f>
        <v>753.09844400000009</v>
      </c>
      <c r="M422" s="4">
        <f>G422-L422</f>
        <v>1048.141556</v>
      </c>
    </row>
    <row r="423" spans="2:13" x14ac:dyDescent="0.3">
      <c r="B423" s="1">
        <v>1674</v>
      </c>
      <c r="C423" s="2">
        <v>45177</v>
      </c>
      <c r="D423" s="1" t="s">
        <v>14</v>
      </c>
      <c r="E423" s="1" t="s">
        <v>18</v>
      </c>
      <c r="F423" s="1" t="s">
        <v>19</v>
      </c>
      <c r="G423" s="1">
        <v>542.29999999999995</v>
      </c>
      <c r="H423" s="1" t="s">
        <v>190</v>
      </c>
      <c r="I423" s="2">
        <v>33354</v>
      </c>
      <c r="J423" s="2">
        <v>45190</v>
      </c>
      <c r="K423" s="1">
        <v>41.18</v>
      </c>
      <c r="L423" s="4">
        <f>G423*K423%</f>
        <v>223.31913999999998</v>
      </c>
      <c r="M423" s="4">
        <f>G423-L423</f>
        <v>318.98086000000001</v>
      </c>
    </row>
    <row r="424" spans="2:13" x14ac:dyDescent="0.3">
      <c r="B424" s="1">
        <v>1390</v>
      </c>
      <c r="C424" s="2">
        <v>44750</v>
      </c>
      <c r="D424" s="1" t="s">
        <v>14</v>
      </c>
      <c r="E424" s="1" t="s">
        <v>44</v>
      </c>
      <c r="F424" s="1" t="s">
        <v>16</v>
      </c>
      <c r="G424" s="1">
        <v>3871.08</v>
      </c>
      <c r="H424" s="1" t="s">
        <v>119</v>
      </c>
      <c r="I424" s="2">
        <v>34954</v>
      </c>
      <c r="J424" s="2">
        <v>44755</v>
      </c>
      <c r="K424" s="1">
        <v>24.54</v>
      </c>
      <c r="L424" s="4">
        <f>G424*K424%</f>
        <v>949.96303199999988</v>
      </c>
      <c r="M424" s="4">
        <f>G424-L424</f>
        <v>2921.1169680000003</v>
      </c>
    </row>
    <row r="425" spans="2:13" x14ac:dyDescent="0.3">
      <c r="B425" s="1">
        <v>1638</v>
      </c>
      <c r="C425" s="2">
        <v>45552</v>
      </c>
      <c r="D425" s="1" t="s">
        <v>14</v>
      </c>
      <c r="E425" s="1" t="s">
        <v>15</v>
      </c>
      <c r="F425" s="1" t="s">
        <v>16</v>
      </c>
      <c r="G425" s="1">
        <v>2138.29</v>
      </c>
      <c r="H425" s="1" t="s">
        <v>119</v>
      </c>
      <c r="I425" s="2">
        <v>34954</v>
      </c>
      <c r="J425" s="2">
        <v>45558</v>
      </c>
      <c r="K425" s="1">
        <v>4.1399999999999997</v>
      </c>
      <c r="L425" s="4">
        <f>G425*K425%</f>
        <v>88.525205999999997</v>
      </c>
      <c r="M425" s="4">
        <f>G425-L425</f>
        <v>2049.7647940000002</v>
      </c>
    </row>
    <row r="426" spans="2:13" x14ac:dyDescent="0.3">
      <c r="B426" s="1">
        <v>1808</v>
      </c>
      <c r="C426" s="2">
        <v>44173</v>
      </c>
      <c r="D426" s="1" t="s">
        <v>14</v>
      </c>
      <c r="E426" s="1" t="s">
        <v>69</v>
      </c>
      <c r="F426" s="1" t="s">
        <v>12</v>
      </c>
      <c r="G426" s="1">
        <v>1619.92</v>
      </c>
      <c r="H426" s="1" t="s">
        <v>119</v>
      </c>
      <c r="I426" s="2">
        <v>34954</v>
      </c>
      <c r="J426" s="2">
        <v>44176</v>
      </c>
      <c r="K426" s="1">
        <v>43.03</v>
      </c>
      <c r="L426" s="4">
        <f>G426*K426%</f>
        <v>697.05157600000007</v>
      </c>
      <c r="M426" s="4">
        <f>G426-L426</f>
        <v>922.868424</v>
      </c>
    </row>
    <row r="427" spans="2:13" x14ac:dyDescent="0.3">
      <c r="B427" s="1">
        <v>1949</v>
      </c>
      <c r="C427" s="2">
        <v>44210</v>
      </c>
      <c r="D427" s="1" t="s">
        <v>14</v>
      </c>
      <c r="E427" s="1" t="s">
        <v>55</v>
      </c>
      <c r="F427" s="1" t="s">
        <v>31</v>
      </c>
      <c r="G427" s="1">
        <v>1241.3399999999999</v>
      </c>
      <c r="H427" s="1" t="s">
        <v>74</v>
      </c>
      <c r="I427" s="2">
        <v>31224</v>
      </c>
      <c r="J427" s="2">
        <v>44214</v>
      </c>
      <c r="K427" s="1">
        <v>29.02</v>
      </c>
      <c r="L427" s="4">
        <f>G427*K427%</f>
        <v>360.23686800000002</v>
      </c>
      <c r="M427" s="4">
        <f>G427-L427</f>
        <v>881.10313199999996</v>
      </c>
    </row>
    <row r="428" spans="2:13" x14ac:dyDescent="0.3">
      <c r="B428" s="1">
        <v>1609</v>
      </c>
      <c r="C428" s="2">
        <v>45381</v>
      </c>
      <c r="D428" s="1" t="s">
        <v>14</v>
      </c>
      <c r="E428" s="1" t="s">
        <v>53</v>
      </c>
      <c r="F428" s="1" t="s">
        <v>28</v>
      </c>
      <c r="G428" s="1">
        <v>4495.8500000000004</v>
      </c>
      <c r="H428" s="1" t="s">
        <v>300</v>
      </c>
      <c r="I428" s="2">
        <v>24322</v>
      </c>
      <c r="J428" s="2">
        <v>45384</v>
      </c>
      <c r="K428" s="1">
        <v>20.09</v>
      </c>
      <c r="L428" s="4">
        <f>G428*K428%</f>
        <v>903.21626500000002</v>
      </c>
      <c r="M428" s="4">
        <f>G428-L428</f>
        <v>3592.6337350000003</v>
      </c>
    </row>
    <row r="429" spans="2:13" x14ac:dyDescent="0.3">
      <c r="B429" s="1">
        <v>1809</v>
      </c>
      <c r="C429" s="2">
        <v>44697</v>
      </c>
      <c r="D429" s="1" t="s">
        <v>14</v>
      </c>
      <c r="E429" s="1" t="s">
        <v>38</v>
      </c>
      <c r="F429" s="1" t="s">
        <v>28</v>
      </c>
      <c r="G429" s="1">
        <v>3749.82</v>
      </c>
      <c r="H429" s="1" t="s">
        <v>132</v>
      </c>
      <c r="I429" s="2">
        <v>34364</v>
      </c>
      <c r="J429" s="2">
        <v>44706</v>
      </c>
      <c r="K429" s="1">
        <v>11.58</v>
      </c>
      <c r="L429" s="4">
        <f>G429*K429%</f>
        <v>434.22915600000005</v>
      </c>
      <c r="M429" s="4">
        <f>G429-L429</f>
        <v>3315.5908440000003</v>
      </c>
    </row>
    <row r="430" spans="2:13" x14ac:dyDescent="0.3">
      <c r="B430" s="1">
        <v>1069</v>
      </c>
      <c r="C430" s="2">
        <v>45534</v>
      </c>
      <c r="D430" s="1" t="s">
        <v>14</v>
      </c>
      <c r="E430" s="1" t="s">
        <v>44</v>
      </c>
      <c r="F430" s="1" t="s">
        <v>16</v>
      </c>
      <c r="G430" s="1">
        <v>1837.32</v>
      </c>
      <c r="H430" s="1" t="s">
        <v>106</v>
      </c>
      <c r="I430" s="2">
        <v>35506</v>
      </c>
      <c r="J430" s="2">
        <v>45540</v>
      </c>
      <c r="K430" s="1">
        <v>11.64</v>
      </c>
      <c r="L430" s="4">
        <f>G430*K430%</f>
        <v>213.864048</v>
      </c>
      <c r="M430" s="4">
        <f>G430-L430</f>
        <v>1623.455952</v>
      </c>
    </row>
    <row r="431" spans="2:13" x14ac:dyDescent="0.3">
      <c r="B431" s="1">
        <v>1762</v>
      </c>
      <c r="C431" s="2">
        <v>44655</v>
      </c>
      <c r="D431" s="1" t="s">
        <v>14</v>
      </c>
      <c r="E431" s="1" t="s">
        <v>44</v>
      </c>
      <c r="F431" s="1" t="s">
        <v>16</v>
      </c>
      <c r="G431" s="1">
        <v>429.92</v>
      </c>
      <c r="H431" s="1" t="s">
        <v>264</v>
      </c>
      <c r="I431" s="2">
        <v>30232</v>
      </c>
      <c r="J431" s="2">
        <v>44668</v>
      </c>
      <c r="K431" s="1">
        <v>5.82</v>
      </c>
      <c r="L431" s="4">
        <f>G431*K431%</f>
        <v>25.021344000000003</v>
      </c>
      <c r="M431" s="4">
        <f>G431-L431</f>
        <v>404.89865600000002</v>
      </c>
    </row>
    <row r="432" spans="2:13" x14ac:dyDescent="0.3">
      <c r="B432" s="1">
        <v>1351</v>
      </c>
      <c r="C432" s="2">
        <v>45729</v>
      </c>
      <c r="D432" s="1" t="s">
        <v>14</v>
      </c>
      <c r="E432" s="1" t="s">
        <v>33</v>
      </c>
      <c r="F432" s="1" t="s">
        <v>16</v>
      </c>
      <c r="G432" s="1">
        <v>4136.7</v>
      </c>
      <c r="H432" s="1" t="s">
        <v>247</v>
      </c>
      <c r="I432" s="2">
        <v>23735</v>
      </c>
      <c r="J432" s="2">
        <v>45732</v>
      </c>
      <c r="K432" s="1">
        <v>23.42</v>
      </c>
      <c r="L432" s="4">
        <f>G432*K432%</f>
        <v>968.81514000000004</v>
      </c>
      <c r="M432" s="4">
        <f>G432-L432</f>
        <v>3167.8848599999997</v>
      </c>
    </row>
    <row r="433" spans="2:13" x14ac:dyDescent="0.3">
      <c r="B433" s="1">
        <v>1489</v>
      </c>
      <c r="C433" s="2">
        <v>45218</v>
      </c>
      <c r="D433" s="1" t="s">
        <v>14</v>
      </c>
      <c r="E433" s="1" t="s">
        <v>65</v>
      </c>
      <c r="F433" s="1" t="s">
        <v>19</v>
      </c>
      <c r="G433" s="1">
        <v>640.26</v>
      </c>
      <c r="H433" s="1" t="s">
        <v>253</v>
      </c>
      <c r="I433" s="2">
        <v>27131</v>
      </c>
      <c r="J433" s="2">
        <v>45230</v>
      </c>
      <c r="K433" s="1">
        <v>21</v>
      </c>
      <c r="L433" s="4">
        <f>G433*K433%</f>
        <v>134.4546</v>
      </c>
      <c r="M433" s="4">
        <f>G433-L433</f>
        <v>505.80539999999996</v>
      </c>
    </row>
    <row r="434" spans="2:13" x14ac:dyDescent="0.3">
      <c r="B434" s="1">
        <v>1932</v>
      </c>
      <c r="C434" s="2">
        <v>44067</v>
      </c>
      <c r="D434" s="1" t="s">
        <v>14</v>
      </c>
      <c r="E434" s="1" t="s">
        <v>22</v>
      </c>
      <c r="F434" s="1" t="s">
        <v>19</v>
      </c>
      <c r="G434" s="1">
        <v>4472.6000000000004</v>
      </c>
      <c r="H434" s="1" t="s">
        <v>235</v>
      </c>
      <c r="I434" s="2">
        <v>36760</v>
      </c>
      <c r="J434" s="2">
        <v>44072</v>
      </c>
      <c r="K434" s="1">
        <v>17.690000000000001</v>
      </c>
      <c r="L434" s="4">
        <f>G434*K434%</f>
        <v>791.20294000000013</v>
      </c>
      <c r="M434" s="4">
        <f>G434-L434</f>
        <v>3681.3970600000002</v>
      </c>
    </row>
    <row r="435" spans="2:13" x14ac:dyDescent="0.3">
      <c r="B435" s="1">
        <v>1779</v>
      </c>
      <c r="C435" s="2">
        <v>44284</v>
      </c>
      <c r="D435" s="1" t="s">
        <v>14</v>
      </c>
      <c r="E435" s="1" t="s">
        <v>47</v>
      </c>
      <c r="F435" s="1" t="s">
        <v>12</v>
      </c>
      <c r="G435" s="1">
        <v>1216.47</v>
      </c>
      <c r="H435" s="1" t="s">
        <v>117</v>
      </c>
      <c r="I435" s="2">
        <v>23513</v>
      </c>
      <c r="J435" s="2">
        <v>44286</v>
      </c>
      <c r="K435" s="1">
        <v>29.78</v>
      </c>
      <c r="L435" s="4">
        <f>G435*K435%</f>
        <v>362.26476600000001</v>
      </c>
      <c r="M435" s="4">
        <f>G435-L435</f>
        <v>854.20523400000002</v>
      </c>
    </row>
    <row r="436" spans="2:13" x14ac:dyDescent="0.3">
      <c r="B436" s="1">
        <v>1686</v>
      </c>
      <c r="C436" s="2">
        <v>44632</v>
      </c>
      <c r="D436" s="1" t="s">
        <v>14</v>
      </c>
      <c r="E436" s="1" t="s">
        <v>71</v>
      </c>
      <c r="F436" s="1" t="s">
        <v>31</v>
      </c>
      <c r="G436" s="1">
        <v>1083.4100000000001</v>
      </c>
      <c r="H436" s="1" t="s">
        <v>117</v>
      </c>
      <c r="I436" s="2">
        <v>23513</v>
      </c>
      <c r="J436" s="2">
        <v>44633</v>
      </c>
      <c r="K436" s="1">
        <v>36.5</v>
      </c>
      <c r="L436" s="4">
        <f>G436*K436%</f>
        <v>395.44465000000002</v>
      </c>
      <c r="M436" s="4">
        <f>G436-L436</f>
        <v>687.96535000000006</v>
      </c>
    </row>
    <row r="437" spans="2:13" x14ac:dyDescent="0.3">
      <c r="B437" s="1">
        <v>1181</v>
      </c>
      <c r="C437" s="2">
        <v>44779</v>
      </c>
      <c r="D437" s="1" t="s">
        <v>14</v>
      </c>
      <c r="E437" s="1" t="s">
        <v>47</v>
      </c>
      <c r="F437" s="1" t="s">
        <v>12</v>
      </c>
      <c r="G437" s="1">
        <v>2518.65</v>
      </c>
      <c r="H437" s="1" t="s">
        <v>181</v>
      </c>
      <c r="I437" s="2">
        <v>25222</v>
      </c>
      <c r="J437" s="2">
        <v>44782</v>
      </c>
      <c r="K437" s="1">
        <v>18.14</v>
      </c>
      <c r="L437" s="4">
        <f>G437*K437%</f>
        <v>456.88311000000004</v>
      </c>
      <c r="M437" s="4">
        <f>G437-L437</f>
        <v>2061.7668899999999</v>
      </c>
    </row>
    <row r="438" spans="2:13" x14ac:dyDescent="0.3">
      <c r="B438" s="1">
        <v>1224</v>
      </c>
      <c r="C438" s="2">
        <v>44083</v>
      </c>
      <c r="D438" s="1" t="s">
        <v>14</v>
      </c>
      <c r="E438" s="1" t="s">
        <v>11</v>
      </c>
      <c r="F438" s="1" t="s">
        <v>12</v>
      </c>
      <c r="G438" s="1">
        <v>851.57</v>
      </c>
      <c r="H438" s="1" t="s">
        <v>181</v>
      </c>
      <c r="I438" s="2">
        <v>25222</v>
      </c>
      <c r="J438" s="2">
        <v>44092</v>
      </c>
      <c r="K438" s="1">
        <v>7.79</v>
      </c>
      <c r="L438" s="4">
        <f>G438*K438%</f>
        <v>66.337303000000006</v>
      </c>
      <c r="M438" s="4">
        <f>G438-L438</f>
        <v>785.23269700000003</v>
      </c>
    </row>
    <row r="439" spans="2:13" x14ac:dyDescent="0.3">
      <c r="B439" s="1">
        <v>1737</v>
      </c>
      <c r="C439" s="2">
        <v>44907</v>
      </c>
      <c r="D439" s="1" t="s">
        <v>14</v>
      </c>
      <c r="E439" s="1" t="s">
        <v>44</v>
      </c>
      <c r="F439" s="1" t="s">
        <v>16</v>
      </c>
      <c r="G439" s="1">
        <v>3127.56</v>
      </c>
      <c r="H439" s="1" t="s">
        <v>193</v>
      </c>
      <c r="I439" s="2">
        <v>26082</v>
      </c>
      <c r="J439" s="2">
        <v>44920</v>
      </c>
      <c r="K439" s="1">
        <v>11.71</v>
      </c>
      <c r="L439" s="4">
        <f>G439*K439%</f>
        <v>366.23727600000001</v>
      </c>
      <c r="M439" s="4">
        <f>G439-L439</f>
        <v>2761.3227240000001</v>
      </c>
    </row>
    <row r="440" spans="2:13" x14ac:dyDescent="0.3">
      <c r="B440" s="1">
        <v>1816</v>
      </c>
      <c r="C440" s="2">
        <v>45004</v>
      </c>
      <c r="D440" s="1" t="s">
        <v>14</v>
      </c>
      <c r="E440" s="1" t="s">
        <v>69</v>
      </c>
      <c r="F440" s="1" t="s">
        <v>12</v>
      </c>
      <c r="G440" s="1">
        <v>2142.34</v>
      </c>
      <c r="H440" s="1" t="s">
        <v>193</v>
      </c>
      <c r="I440" s="2">
        <v>26082</v>
      </c>
      <c r="J440" s="2">
        <v>45015</v>
      </c>
      <c r="K440" s="1">
        <v>31.97</v>
      </c>
      <c r="L440" s="4">
        <f>G440*K440%</f>
        <v>684.90609800000004</v>
      </c>
      <c r="M440" s="4">
        <f>G440-L440</f>
        <v>1457.4339020000002</v>
      </c>
    </row>
    <row r="441" spans="2:13" x14ac:dyDescent="0.3">
      <c r="B441" s="1">
        <v>1198</v>
      </c>
      <c r="C441" s="2">
        <v>44503</v>
      </c>
      <c r="D441" s="1" t="s">
        <v>14</v>
      </c>
      <c r="E441" s="1" t="s">
        <v>33</v>
      </c>
      <c r="F441" s="1" t="s">
        <v>16</v>
      </c>
      <c r="G441" s="1">
        <v>484.34</v>
      </c>
      <c r="H441" s="1" t="s">
        <v>193</v>
      </c>
      <c r="I441" s="2">
        <v>26082</v>
      </c>
      <c r="J441" s="2">
        <v>44510</v>
      </c>
      <c r="K441" s="1">
        <v>18.260000000000002</v>
      </c>
      <c r="L441" s="4">
        <f>G441*K441%</f>
        <v>88.440483999999998</v>
      </c>
      <c r="M441" s="4">
        <f>G441-L441</f>
        <v>395.89951599999995</v>
      </c>
    </row>
    <row r="442" spans="2:13" x14ac:dyDescent="0.3">
      <c r="B442" s="1">
        <v>1434</v>
      </c>
      <c r="C442" s="2">
        <v>44065</v>
      </c>
      <c r="D442" s="1" t="s">
        <v>14</v>
      </c>
      <c r="E442" s="1" t="s">
        <v>18</v>
      </c>
      <c r="F442" s="1" t="s">
        <v>19</v>
      </c>
      <c r="G442" s="1">
        <v>3630.47</v>
      </c>
      <c r="H442" s="1" t="s">
        <v>229</v>
      </c>
      <c r="I442" s="2">
        <v>37783</v>
      </c>
      <c r="J442" s="2">
        <v>44074</v>
      </c>
      <c r="K442" s="1">
        <v>46.55</v>
      </c>
      <c r="L442" s="4">
        <f>G442*K442%</f>
        <v>1689.9837849999999</v>
      </c>
      <c r="M442" s="4">
        <f>G442-L442</f>
        <v>1940.4862149999999</v>
      </c>
    </row>
    <row r="443" spans="2:13" x14ac:dyDescent="0.3">
      <c r="B443" s="1">
        <v>1278</v>
      </c>
      <c r="C443" s="2">
        <v>45112</v>
      </c>
      <c r="D443" s="1" t="s">
        <v>14</v>
      </c>
      <c r="E443" s="1" t="s">
        <v>15</v>
      </c>
      <c r="F443" s="1" t="s">
        <v>16</v>
      </c>
      <c r="G443" s="1">
        <v>1792.81</v>
      </c>
      <c r="H443" s="1" t="s">
        <v>229</v>
      </c>
      <c r="I443" s="2">
        <v>37783</v>
      </c>
      <c r="J443" s="2">
        <v>45114</v>
      </c>
      <c r="K443" s="1">
        <v>0.96</v>
      </c>
      <c r="L443" s="4">
        <f>G443*K443%</f>
        <v>17.210975999999999</v>
      </c>
      <c r="M443" s="4">
        <f>G443-L443</f>
        <v>1775.5990239999999</v>
      </c>
    </row>
    <row r="444" spans="2:13" x14ac:dyDescent="0.3">
      <c r="B444" s="1">
        <v>1722</v>
      </c>
      <c r="C444" s="2">
        <v>44813</v>
      </c>
      <c r="D444" s="1" t="s">
        <v>14</v>
      </c>
      <c r="E444" s="1" t="s">
        <v>22</v>
      </c>
      <c r="F444" s="1" t="s">
        <v>19</v>
      </c>
      <c r="G444" s="1">
        <v>1738.91</v>
      </c>
      <c r="H444" s="1" t="s">
        <v>229</v>
      </c>
      <c r="I444" s="2">
        <v>37783</v>
      </c>
      <c r="J444" s="2">
        <v>44820</v>
      </c>
      <c r="K444" s="1">
        <v>3.04</v>
      </c>
      <c r="L444" s="4">
        <f>G444*K444%</f>
        <v>52.862864000000002</v>
      </c>
      <c r="M444" s="4">
        <f>G444-L444</f>
        <v>1686.0471360000001</v>
      </c>
    </row>
    <row r="445" spans="2:13" x14ac:dyDescent="0.3">
      <c r="B445" s="1">
        <v>1598</v>
      </c>
      <c r="C445" s="2">
        <v>44229</v>
      </c>
      <c r="D445" s="1" t="s">
        <v>14</v>
      </c>
      <c r="E445" s="1" t="s">
        <v>53</v>
      </c>
      <c r="F445" s="1" t="s">
        <v>28</v>
      </c>
      <c r="G445" s="1">
        <v>4004.86</v>
      </c>
      <c r="H445" s="1" t="s">
        <v>188</v>
      </c>
      <c r="I445" s="2">
        <v>31467</v>
      </c>
      <c r="J445" s="2">
        <v>44234</v>
      </c>
      <c r="K445" s="1">
        <v>10.119999999999999</v>
      </c>
      <c r="L445" s="4">
        <f>G445*K445%</f>
        <v>405.291832</v>
      </c>
      <c r="M445" s="4">
        <f>G445-L445</f>
        <v>3599.5681680000002</v>
      </c>
    </row>
    <row r="446" spans="2:13" x14ac:dyDescent="0.3">
      <c r="B446" s="1">
        <v>1191</v>
      </c>
      <c r="C446" s="2">
        <v>45266</v>
      </c>
      <c r="D446" s="1" t="s">
        <v>14</v>
      </c>
      <c r="E446" s="1" t="s">
        <v>55</v>
      </c>
      <c r="F446" s="1" t="s">
        <v>31</v>
      </c>
      <c r="G446" s="1">
        <v>4864.68</v>
      </c>
      <c r="H446" s="1" t="s">
        <v>188</v>
      </c>
      <c r="I446" s="2">
        <v>31467</v>
      </c>
      <c r="J446" s="2">
        <v>45277</v>
      </c>
      <c r="K446" s="1">
        <v>35.32</v>
      </c>
      <c r="L446" s="4">
        <f>G446*K446%</f>
        <v>1718.2049760000002</v>
      </c>
      <c r="M446" s="4">
        <f>G446-L446</f>
        <v>3146.4750240000003</v>
      </c>
    </row>
    <row r="447" spans="2:13" x14ac:dyDescent="0.3">
      <c r="B447" s="1">
        <v>1941</v>
      </c>
      <c r="C447" s="2">
        <v>45776</v>
      </c>
      <c r="D447" s="1" t="s">
        <v>14</v>
      </c>
      <c r="E447" s="1" t="s">
        <v>61</v>
      </c>
      <c r="F447" s="1" t="s">
        <v>19</v>
      </c>
      <c r="G447" s="1">
        <v>1951.11</v>
      </c>
      <c r="H447" s="1" t="s">
        <v>188</v>
      </c>
      <c r="I447" s="2">
        <v>31467</v>
      </c>
      <c r="J447" s="2">
        <v>45781</v>
      </c>
      <c r="K447" s="1">
        <v>32.76</v>
      </c>
      <c r="L447" s="4">
        <f>G447*K447%</f>
        <v>639.18363599999998</v>
      </c>
      <c r="M447" s="4">
        <f>G447-L447</f>
        <v>1311.9263639999999</v>
      </c>
    </row>
    <row r="448" spans="2:13" x14ac:dyDescent="0.3">
      <c r="B448" s="1">
        <v>1480</v>
      </c>
      <c r="C448" s="2">
        <v>45117</v>
      </c>
      <c r="D448" s="1" t="s">
        <v>14</v>
      </c>
      <c r="E448" s="1" t="s">
        <v>102</v>
      </c>
      <c r="F448" s="1" t="s">
        <v>12</v>
      </c>
      <c r="G448" s="1">
        <v>4459.7700000000004</v>
      </c>
      <c r="H448" s="1" t="s">
        <v>223</v>
      </c>
      <c r="I448" s="2">
        <v>35407</v>
      </c>
      <c r="J448" s="2">
        <v>45127</v>
      </c>
      <c r="K448" s="1">
        <v>48.71</v>
      </c>
      <c r="L448" s="4">
        <f>G448*K448%</f>
        <v>2172.3539670000005</v>
      </c>
      <c r="M448" s="4">
        <f>G448-L448</f>
        <v>2287.416033</v>
      </c>
    </row>
    <row r="449" spans="2:13" x14ac:dyDescent="0.3">
      <c r="B449" s="1">
        <v>1582</v>
      </c>
      <c r="C449" s="2">
        <v>45808</v>
      </c>
      <c r="D449" s="1" t="s">
        <v>14</v>
      </c>
      <c r="E449" s="1" t="s">
        <v>69</v>
      </c>
      <c r="F449" s="1" t="s">
        <v>12</v>
      </c>
      <c r="G449" s="1">
        <v>4511.01</v>
      </c>
      <c r="H449" s="1" t="s">
        <v>39</v>
      </c>
      <c r="I449" s="2">
        <v>26282</v>
      </c>
      <c r="J449" s="2">
        <v>45812</v>
      </c>
      <c r="K449" s="1">
        <v>24.51</v>
      </c>
      <c r="L449" s="4">
        <f>G449*K449%</f>
        <v>1105.648551</v>
      </c>
      <c r="M449" s="4">
        <f>G449-L449</f>
        <v>3405.361449</v>
      </c>
    </row>
    <row r="450" spans="2:13" x14ac:dyDescent="0.3">
      <c r="B450" s="1">
        <v>1099</v>
      </c>
      <c r="C450" s="2">
        <v>44936</v>
      </c>
      <c r="D450" s="1" t="s">
        <v>14</v>
      </c>
      <c r="E450" s="1" t="s">
        <v>24</v>
      </c>
      <c r="F450" s="1" t="s">
        <v>19</v>
      </c>
      <c r="G450" s="1">
        <v>3277.84</v>
      </c>
      <c r="H450" s="1" t="s">
        <v>39</v>
      </c>
      <c r="I450" s="2">
        <v>26282</v>
      </c>
      <c r="J450" s="2">
        <v>44949</v>
      </c>
      <c r="K450" s="1">
        <v>36.24</v>
      </c>
      <c r="L450" s="4">
        <f>G450*K450%</f>
        <v>1187.889216</v>
      </c>
      <c r="M450" s="4">
        <f>G450-L450</f>
        <v>2089.9507840000001</v>
      </c>
    </row>
    <row r="451" spans="2:13" x14ac:dyDescent="0.3">
      <c r="B451" s="1">
        <v>1063</v>
      </c>
      <c r="C451" s="2">
        <v>44590</v>
      </c>
      <c r="D451" s="1" t="s">
        <v>14</v>
      </c>
      <c r="E451" s="1" t="s">
        <v>36</v>
      </c>
      <c r="F451" s="1" t="s">
        <v>28</v>
      </c>
      <c r="G451" s="1">
        <v>543.84</v>
      </c>
      <c r="H451" s="1" t="s">
        <v>39</v>
      </c>
      <c r="I451" s="2">
        <v>26282</v>
      </c>
      <c r="J451" s="2">
        <v>44603</v>
      </c>
      <c r="K451" s="1">
        <v>27.65</v>
      </c>
      <c r="L451" s="4">
        <f>G451*K451%</f>
        <v>150.37175999999999</v>
      </c>
      <c r="M451" s="4">
        <f>G451-L451</f>
        <v>393.46824000000004</v>
      </c>
    </row>
    <row r="452" spans="2:13" x14ac:dyDescent="0.3">
      <c r="B452" s="1">
        <v>1731</v>
      </c>
      <c r="C452" s="2">
        <v>45007</v>
      </c>
      <c r="D452" s="1" t="s">
        <v>14</v>
      </c>
      <c r="E452" s="1" t="s">
        <v>55</v>
      </c>
      <c r="F452" s="1" t="s">
        <v>31</v>
      </c>
      <c r="G452" s="1">
        <v>2167.87</v>
      </c>
      <c r="H452" s="1" t="s">
        <v>168</v>
      </c>
      <c r="I452" s="2">
        <v>37674</v>
      </c>
      <c r="J452" s="2">
        <v>45013</v>
      </c>
      <c r="K452" s="1">
        <v>43.08</v>
      </c>
      <c r="L452" s="4">
        <f>G452*K452%</f>
        <v>933.91839599999992</v>
      </c>
      <c r="M452" s="4">
        <f>G452-L452</f>
        <v>1233.9516039999999</v>
      </c>
    </row>
    <row r="453" spans="2:13" x14ac:dyDescent="0.3">
      <c r="B453" s="1">
        <v>1182</v>
      </c>
      <c r="C453" s="2">
        <v>44255</v>
      </c>
      <c r="D453" s="1" t="s">
        <v>14</v>
      </c>
      <c r="E453" s="1" t="s">
        <v>73</v>
      </c>
      <c r="F453" s="1" t="s">
        <v>28</v>
      </c>
      <c r="G453" s="1">
        <v>842.21</v>
      </c>
      <c r="H453" s="1" t="s">
        <v>182</v>
      </c>
      <c r="I453" s="2">
        <v>24719</v>
      </c>
      <c r="J453" s="2">
        <v>44258</v>
      </c>
      <c r="K453" s="1">
        <v>32.22</v>
      </c>
      <c r="L453" s="4">
        <f>G453*K453%</f>
        <v>271.36006200000003</v>
      </c>
      <c r="M453" s="4">
        <f>G453-L453</f>
        <v>570.84993800000007</v>
      </c>
    </row>
    <row r="454" spans="2:13" x14ac:dyDescent="0.3">
      <c r="B454" s="1">
        <v>1636</v>
      </c>
      <c r="C454" s="2">
        <v>45358</v>
      </c>
      <c r="D454" s="1" t="s">
        <v>14</v>
      </c>
      <c r="E454" s="1" t="s">
        <v>44</v>
      </c>
      <c r="F454" s="1" t="s">
        <v>16</v>
      </c>
      <c r="G454" s="1">
        <v>2263.83</v>
      </c>
      <c r="H454" s="1" t="s">
        <v>298</v>
      </c>
      <c r="I454" s="2">
        <v>30410</v>
      </c>
      <c r="J454" s="2">
        <v>45367</v>
      </c>
      <c r="K454" s="1">
        <v>22.05</v>
      </c>
      <c r="L454" s="4">
        <f>G454*K454%</f>
        <v>499.17451499999999</v>
      </c>
      <c r="M454" s="4">
        <f>G454-L454</f>
        <v>1764.655485</v>
      </c>
    </row>
    <row r="455" spans="2:13" x14ac:dyDescent="0.3">
      <c r="B455" s="1">
        <v>1797</v>
      </c>
      <c r="C455" s="2">
        <v>45085</v>
      </c>
      <c r="D455" s="1" t="s">
        <v>14</v>
      </c>
      <c r="E455" s="1" t="s">
        <v>88</v>
      </c>
      <c r="F455" s="1" t="s">
        <v>16</v>
      </c>
      <c r="G455" s="1">
        <v>1292.26</v>
      </c>
      <c r="H455" s="1" t="s">
        <v>298</v>
      </c>
      <c r="I455" s="2">
        <v>30410</v>
      </c>
      <c r="J455" s="2">
        <v>45086</v>
      </c>
      <c r="K455" s="1">
        <v>39.590000000000003</v>
      </c>
      <c r="L455" s="4">
        <f>G455*K455%</f>
        <v>511.60573400000004</v>
      </c>
      <c r="M455" s="4">
        <f>G455-L455</f>
        <v>780.65426600000001</v>
      </c>
    </row>
    <row r="456" spans="2:13" x14ac:dyDescent="0.3">
      <c r="B456" s="1">
        <v>1754</v>
      </c>
      <c r="C456" s="2">
        <v>45139</v>
      </c>
      <c r="D456" s="1" t="s">
        <v>14</v>
      </c>
      <c r="E456" s="1" t="s">
        <v>40</v>
      </c>
      <c r="F456" s="1" t="s">
        <v>16</v>
      </c>
      <c r="G456" s="1">
        <v>3877.12</v>
      </c>
      <c r="H456" s="1" t="s">
        <v>317</v>
      </c>
      <c r="I456" s="2">
        <v>32196</v>
      </c>
      <c r="J456" s="2">
        <v>45145</v>
      </c>
      <c r="K456" s="1">
        <v>34.380000000000003</v>
      </c>
      <c r="L456" s="4">
        <f>G456*K456%</f>
        <v>1332.9538560000001</v>
      </c>
      <c r="M456" s="4">
        <f>G456-L456</f>
        <v>2544.1661439999998</v>
      </c>
    </row>
    <row r="457" spans="2:13" x14ac:dyDescent="0.3">
      <c r="B457" s="1">
        <v>1758</v>
      </c>
      <c r="C457" s="2">
        <v>44125</v>
      </c>
      <c r="D457" s="1" t="s">
        <v>14</v>
      </c>
      <c r="E457" s="1" t="s">
        <v>55</v>
      </c>
      <c r="F457" s="1" t="s">
        <v>31</v>
      </c>
      <c r="G457" s="1">
        <v>4390.6899999999996</v>
      </c>
      <c r="H457" s="1" t="s">
        <v>197</v>
      </c>
      <c r="I457" s="2">
        <v>26001</v>
      </c>
      <c r="J457" s="2">
        <v>44131</v>
      </c>
      <c r="K457" s="1">
        <v>2.13</v>
      </c>
      <c r="L457" s="4">
        <f>G457*K457%</f>
        <v>93.521696999999989</v>
      </c>
      <c r="M457" s="4">
        <f>G457-L457</f>
        <v>4297.1683029999995</v>
      </c>
    </row>
    <row r="458" spans="2:13" x14ac:dyDescent="0.3">
      <c r="B458" s="1">
        <v>1206</v>
      </c>
      <c r="C458" s="2">
        <v>45665</v>
      </c>
      <c r="D458" s="1" t="s">
        <v>14</v>
      </c>
      <c r="E458" s="1" t="s">
        <v>47</v>
      </c>
      <c r="F458" s="1" t="s">
        <v>12</v>
      </c>
      <c r="G458" s="1">
        <v>871.1</v>
      </c>
      <c r="H458" s="1" t="s">
        <v>197</v>
      </c>
      <c r="I458" s="2">
        <v>26001</v>
      </c>
      <c r="J458" s="2">
        <v>45667</v>
      </c>
      <c r="K458" s="1">
        <v>42.4</v>
      </c>
      <c r="L458" s="4">
        <f>G458*K458%</f>
        <v>369.34640000000002</v>
      </c>
      <c r="M458" s="4">
        <f>G458-L458</f>
        <v>501.75360000000001</v>
      </c>
    </row>
    <row r="459" spans="2:13" x14ac:dyDescent="0.3">
      <c r="B459" s="1">
        <v>1232</v>
      </c>
      <c r="C459" s="2">
        <v>44732</v>
      </c>
      <c r="D459" s="1" t="s">
        <v>14</v>
      </c>
      <c r="E459" s="1" t="s">
        <v>73</v>
      </c>
      <c r="F459" s="1" t="s">
        <v>28</v>
      </c>
      <c r="G459" s="1">
        <v>1461.44</v>
      </c>
      <c r="H459" s="1" t="s">
        <v>211</v>
      </c>
      <c r="I459" s="2">
        <v>35702</v>
      </c>
      <c r="J459" s="2">
        <v>44741</v>
      </c>
      <c r="K459" s="1">
        <v>1.64</v>
      </c>
      <c r="L459" s="4">
        <f>G459*K459%</f>
        <v>23.967616</v>
      </c>
      <c r="M459" s="4">
        <f>G459-L459</f>
        <v>1437.4723840000001</v>
      </c>
    </row>
    <row r="460" spans="2:13" x14ac:dyDescent="0.3">
      <c r="B460" s="1">
        <v>1845</v>
      </c>
      <c r="C460" s="2">
        <v>45409</v>
      </c>
      <c r="D460" s="1" t="s">
        <v>14</v>
      </c>
      <c r="E460" s="1" t="s">
        <v>22</v>
      </c>
      <c r="F460" s="1" t="s">
        <v>19</v>
      </c>
      <c r="G460" s="1">
        <v>3809.6</v>
      </c>
      <c r="H460" s="1" t="s">
        <v>261</v>
      </c>
      <c r="I460" s="2">
        <v>23920</v>
      </c>
      <c r="J460" s="2">
        <v>45414</v>
      </c>
      <c r="K460" s="1">
        <v>1.83</v>
      </c>
      <c r="L460" s="4">
        <f>G460*K460%</f>
        <v>69.715680000000006</v>
      </c>
      <c r="M460" s="4">
        <f>G460-L460</f>
        <v>3739.8843200000001</v>
      </c>
    </row>
    <row r="461" spans="2:13" x14ac:dyDescent="0.3">
      <c r="B461" s="1">
        <v>1169</v>
      </c>
      <c r="C461" s="2">
        <v>44225</v>
      </c>
      <c r="D461" s="1" t="s">
        <v>14</v>
      </c>
      <c r="E461" s="1" t="s">
        <v>24</v>
      </c>
      <c r="F461" s="1" t="s">
        <v>19</v>
      </c>
      <c r="G461" s="1">
        <v>456.09</v>
      </c>
      <c r="H461" s="1" t="s">
        <v>143</v>
      </c>
      <c r="I461" s="2">
        <v>37490</v>
      </c>
      <c r="J461" s="2">
        <v>44233</v>
      </c>
      <c r="K461" s="1">
        <v>45.07</v>
      </c>
      <c r="L461" s="4">
        <f>G461*K461%</f>
        <v>205.55976299999998</v>
      </c>
      <c r="M461" s="4">
        <f>G461-L461</f>
        <v>250.530237</v>
      </c>
    </row>
    <row r="462" spans="2:13" x14ac:dyDescent="0.3">
      <c r="B462" s="1">
        <v>1291</v>
      </c>
      <c r="C462" s="2">
        <v>44229</v>
      </c>
      <c r="D462" s="1" t="s">
        <v>14</v>
      </c>
      <c r="E462" s="1" t="s">
        <v>47</v>
      </c>
      <c r="F462" s="1" t="s">
        <v>12</v>
      </c>
      <c r="G462" s="1">
        <v>3240.37</v>
      </c>
      <c r="H462" s="1" t="s">
        <v>233</v>
      </c>
      <c r="I462" s="2">
        <v>38826</v>
      </c>
      <c r="J462" s="2">
        <v>44235</v>
      </c>
      <c r="K462" s="1">
        <v>27.44</v>
      </c>
      <c r="L462" s="4">
        <f>G462*K462%</f>
        <v>889.15752800000007</v>
      </c>
      <c r="M462" s="4">
        <f>G462-L462</f>
        <v>2351.2124719999997</v>
      </c>
    </row>
    <row r="463" spans="2:13" x14ac:dyDescent="0.3">
      <c r="B463" s="1">
        <v>1791</v>
      </c>
      <c r="C463" s="2">
        <v>45323</v>
      </c>
      <c r="D463" s="1" t="s">
        <v>14</v>
      </c>
      <c r="E463" s="1" t="s">
        <v>40</v>
      </c>
      <c r="F463" s="1" t="s">
        <v>16</v>
      </c>
      <c r="G463" s="1">
        <v>193.34</v>
      </c>
      <c r="H463" s="1" t="s">
        <v>233</v>
      </c>
      <c r="I463" s="2">
        <v>38826</v>
      </c>
      <c r="J463" s="2">
        <v>45326</v>
      </c>
      <c r="K463" s="1">
        <v>25.31</v>
      </c>
      <c r="L463" s="4">
        <f>G463*K463%</f>
        <v>48.934353999999999</v>
      </c>
      <c r="M463" s="4">
        <f>G463-L463</f>
        <v>144.40564599999999</v>
      </c>
    </row>
    <row r="464" spans="2:13" x14ac:dyDescent="0.3">
      <c r="B464" s="1">
        <v>1446</v>
      </c>
      <c r="C464" s="2">
        <v>45785</v>
      </c>
      <c r="D464" s="1" t="s">
        <v>14</v>
      </c>
      <c r="E464" s="1" t="s">
        <v>30</v>
      </c>
      <c r="F464" s="1" t="s">
        <v>31</v>
      </c>
      <c r="G464" s="1">
        <v>3713.98</v>
      </c>
      <c r="H464" s="1" t="s">
        <v>130</v>
      </c>
      <c r="I464" s="2">
        <v>38750</v>
      </c>
      <c r="J464" s="2">
        <v>45798</v>
      </c>
      <c r="K464" s="1">
        <v>43.09</v>
      </c>
      <c r="L464" s="4">
        <f>G464*K464%</f>
        <v>1600.3539820000003</v>
      </c>
      <c r="M464" s="4">
        <f>G464-L464</f>
        <v>2113.6260179999999</v>
      </c>
    </row>
    <row r="465" spans="2:13" x14ac:dyDescent="0.3">
      <c r="B465" s="1">
        <v>1911</v>
      </c>
      <c r="C465" s="2">
        <v>45354</v>
      </c>
      <c r="D465" s="1" t="s">
        <v>14</v>
      </c>
      <c r="E465" s="1" t="s">
        <v>49</v>
      </c>
      <c r="F465" s="1" t="s">
        <v>12</v>
      </c>
      <c r="G465" s="1">
        <v>2218.13</v>
      </c>
      <c r="H465" s="1" t="s">
        <v>130</v>
      </c>
      <c r="I465" s="2">
        <v>38750</v>
      </c>
      <c r="J465" s="2">
        <v>45361</v>
      </c>
      <c r="K465" s="1">
        <v>42.31</v>
      </c>
      <c r="L465" s="4">
        <f>G465*K465%</f>
        <v>938.49080300000014</v>
      </c>
      <c r="M465" s="4">
        <f>G465-L465</f>
        <v>1279.639197</v>
      </c>
    </row>
    <row r="466" spans="2:13" x14ac:dyDescent="0.3">
      <c r="B466" s="1">
        <v>1335</v>
      </c>
      <c r="C466" s="2">
        <v>44847</v>
      </c>
      <c r="D466" s="1" t="s">
        <v>14</v>
      </c>
      <c r="E466" s="1" t="s">
        <v>38</v>
      </c>
      <c r="F466" s="1" t="s">
        <v>28</v>
      </c>
      <c r="G466" s="1">
        <v>1052.02</v>
      </c>
      <c r="H466" s="1" t="s">
        <v>138</v>
      </c>
      <c r="I466" s="2">
        <v>25948</v>
      </c>
      <c r="J466" s="2">
        <v>44853</v>
      </c>
      <c r="K466" s="1">
        <v>14.14</v>
      </c>
      <c r="L466" s="4">
        <f>G466*K466%</f>
        <v>148.755628</v>
      </c>
      <c r="M466" s="4">
        <f>G466-L466</f>
        <v>903.26437199999998</v>
      </c>
    </row>
    <row r="467" spans="2:13" x14ac:dyDescent="0.3">
      <c r="B467" s="1">
        <v>1498</v>
      </c>
      <c r="C467" s="2">
        <v>44528</v>
      </c>
      <c r="D467" s="1" t="s">
        <v>14</v>
      </c>
      <c r="E467" s="1" t="s">
        <v>18</v>
      </c>
      <c r="F467" s="1" t="s">
        <v>19</v>
      </c>
      <c r="G467" s="1">
        <v>216.97</v>
      </c>
      <c r="H467" s="1" t="s">
        <v>265</v>
      </c>
      <c r="I467" s="2">
        <v>38899</v>
      </c>
      <c r="J467" s="2">
        <v>44537</v>
      </c>
      <c r="K467" s="1">
        <v>41.44</v>
      </c>
      <c r="L467" s="4">
        <f>G467*K467%</f>
        <v>89.912368000000001</v>
      </c>
      <c r="M467" s="4">
        <f>G467-L467</f>
        <v>127.057632</v>
      </c>
    </row>
    <row r="468" spans="2:13" x14ac:dyDescent="0.3">
      <c r="B468" s="1">
        <v>1876</v>
      </c>
      <c r="C468" s="2">
        <v>44153</v>
      </c>
      <c r="D468" s="1" t="s">
        <v>14</v>
      </c>
      <c r="E468" s="1" t="s">
        <v>69</v>
      </c>
      <c r="F468" s="1" t="s">
        <v>12</v>
      </c>
      <c r="G468" s="1">
        <v>4191.99</v>
      </c>
      <c r="H468" s="1" t="s">
        <v>41</v>
      </c>
      <c r="I468" s="2">
        <v>35818</v>
      </c>
      <c r="J468" s="2">
        <v>44157</v>
      </c>
      <c r="K468" s="1">
        <v>49.69</v>
      </c>
      <c r="L468" s="4">
        <f>G468*K468%</f>
        <v>2082.9998309999996</v>
      </c>
      <c r="M468" s="4">
        <f>G468-L468</f>
        <v>2108.9901690000002</v>
      </c>
    </row>
    <row r="469" spans="2:13" x14ac:dyDescent="0.3">
      <c r="B469" s="1">
        <v>1010</v>
      </c>
      <c r="C469" s="2">
        <v>45125</v>
      </c>
      <c r="D469" s="1" t="s">
        <v>14</v>
      </c>
      <c r="E469" s="1" t="s">
        <v>40</v>
      </c>
      <c r="F469" s="1" t="s">
        <v>16</v>
      </c>
      <c r="G469" s="1">
        <v>179.63</v>
      </c>
      <c r="H469" s="1" t="s">
        <v>41</v>
      </c>
      <c r="I469" s="2">
        <v>35818</v>
      </c>
      <c r="J469" s="2">
        <v>45128</v>
      </c>
      <c r="K469" s="1">
        <v>19.760000000000002</v>
      </c>
      <c r="L469" s="4">
        <f>G469*K469%</f>
        <v>35.494888000000003</v>
      </c>
      <c r="M469" s="4">
        <f>G469-L469</f>
        <v>144.13511199999999</v>
      </c>
    </row>
    <row r="470" spans="2:13" x14ac:dyDescent="0.3">
      <c r="B470" s="1">
        <v>1211</v>
      </c>
      <c r="C470" s="2">
        <v>44412</v>
      </c>
      <c r="D470" s="1" t="s">
        <v>14</v>
      </c>
      <c r="E470" s="1" t="s">
        <v>53</v>
      </c>
      <c r="F470" s="1" t="s">
        <v>28</v>
      </c>
      <c r="G470" s="1">
        <v>2135.7600000000002</v>
      </c>
      <c r="H470" s="1" t="s">
        <v>202</v>
      </c>
      <c r="I470" s="2">
        <v>24802</v>
      </c>
      <c r="J470" s="2">
        <v>44426</v>
      </c>
      <c r="K470" s="1">
        <v>38.24</v>
      </c>
      <c r="L470" s="4">
        <f>G470*K470%</f>
        <v>816.71462400000007</v>
      </c>
      <c r="M470" s="4">
        <f>G470-L470</f>
        <v>1319.045376</v>
      </c>
    </row>
    <row r="471" spans="2:13" x14ac:dyDescent="0.3">
      <c r="B471" s="1">
        <v>1458</v>
      </c>
      <c r="C471" s="2">
        <v>45343</v>
      </c>
      <c r="D471" s="1" t="s">
        <v>14</v>
      </c>
      <c r="E471" s="1" t="s">
        <v>55</v>
      </c>
      <c r="F471" s="1" t="s">
        <v>31</v>
      </c>
      <c r="G471" s="1">
        <v>4584.32</v>
      </c>
      <c r="H471" s="1" t="s">
        <v>275</v>
      </c>
      <c r="I471" s="2">
        <v>38510</v>
      </c>
      <c r="J471" s="2">
        <v>45349</v>
      </c>
      <c r="K471" s="1">
        <v>4.4800000000000004</v>
      </c>
      <c r="L471" s="4">
        <f>G471*K471%</f>
        <v>205.37753600000002</v>
      </c>
      <c r="M471" s="4">
        <f>G471-L471</f>
        <v>4378.9424639999997</v>
      </c>
    </row>
    <row r="472" spans="2:13" x14ac:dyDescent="0.3">
      <c r="B472" s="1">
        <v>1734</v>
      </c>
      <c r="C472" s="2">
        <v>45350</v>
      </c>
      <c r="D472" s="1" t="s">
        <v>14</v>
      </c>
      <c r="E472" s="1" t="s">
        <v>58</v>
      </c>
      <c r="F472" s="1" t="s">
        <v>31</v>
      </c>
      <c r="G472" s="1">
        <v>4400.9399999999996</v>
      </c>
      <c r="H472" s="1" t="s">
        <v>275</v>
      </c>
      <c r="I472" s="2">
        <v>38510</v>
      </c>
      <c r="J472" s="2">
        <v>45359</v>
      </c>
      <c r="K472" s="1">
        <v>45.6</v>
      </c>
      <c r="L472" s="4">
        <f>G472*K472%</f>
        <v>2006.82864</v>
      </c>
      <c r="M472" s="4">
        <f>G472-L472</f>
        <v>2394.1113599999999</v>
      </c>
    </row>
    <row r="473" spans="2:13" x14ac:dyDescent="0.3">
      <c r="B473" s="1">
        <v>1804</v>
      </c>
      <c r="C473" s="2">
        <v>44236</v>
      </c>
      <c r="D473" s="1" t="s">
        <v>14</v>
      </c>
      <c r="E473" s="1" t="s">
        <v>69</v>
      </c>
      <c r="F473" s="1" t="s">
        <v>12</v>
      </c>
      <c r="G473" s="1">
        <v>4909.8900000000003</v>
      </c>
      <c r="H473" s="1" t="s">
        <v>169</v>
      </c>
      <c r="I473" s="2">
        <v>37894</v>
      </c>
      <c r="J473" s="2">
        <v>44239</v>
      </c>
      <c r="K473" s="1">
        <v>28.79</v>
      </c>
      <c r="L473" s="4">
        <f>G473*K473%</f>
        <v>1413.557331</v>
      </c>
      <c r="M473" s="4">
        <f>G473-L473</f>
        <v>3496.3326690000004</v>
      </c>
    </row>
    <row r="474" spans="2:13" x14ac:dyDescent="0.3">
      <c r="B474" s="1">
        <v>1365</v>
      </c>
      <c r="C474" s="2">
        <v>44557</v>
      </c>
      <c r="D474" s="1" t="s">
        <v>14</v>
      </c>
      <c r="E474" s="1" t="s">
        <v>30</v>
      </c>
      <c r="F474" s="1" t="s">
        <v>31</v>
      </c>
      <c r="G474" s="1">
        <v>3989.42</v>
      </c>
      <c r="H474" s="1" t="s">
        <v>56</v>
      </c>
      <c r="I474" s="2">
        <v>25712</v>
      </c>
      <c r="J474" s="2">
        <v>44563</v>
      </c>
      <c r="K474" s="1">
        <v>4.76</v>
      </c>
      <c r="L474" s="4">
        <f>G474*K474%</f>
        <v>189.89639199999999</v>
      </c>
      <c r="M474" s="4">
        <f>G474-L474</f>
        <v>3799.523608</v>
      </c>
    </row>
    <row r="475" spans="2:13" x14ac:dyDescent="0.3">
      <c r="B475" s="1">
        <v>1564</v>
      </c>
      <c r="C475" s="2">
        <v>44837</v>
      </c>
      <c r="D475" s="1" t="s">
        <v>14</v>
      </c>
      <c r="E475" s="1" t="s">
        <v>88</v>
      </c>
      <c r="F475" s="1" t="s">
        <v>16</v>
      </c>
      <c r="G475" s="1">
        <v>1713.91</v>
      </c>
      <c r="H475" s="1" t="s">
        <v>56</v>
      </c>
      <c r="I475" s="2">
        <v>25712</v>
      </c>
      <c r="J475" s="2">
        <v>44841</v>
      </c>
      <c r="K475" s="1">
        <v>23.44</v>
      </c>
      <c r="L475" s="4">
        <f>G475*K475%</f>
        <v>401.74050400000004</v>
      </c>
      <c r="M475" s="4">
        <f>G475-L475</f>
        <v>1312.169496</v>
      </c>
    </row>
    <row r="476" spans="2:13" x14ac:dyDescent="0.3">
      <c r="B476" s="1">
        <v>1696</v>
      </c>
      <c r="C476" s="2">
        <v>44546</v>
      </c>
      <c r="D476" s="1" t="s">
        <v>14</v>
      </c>
      <c r="E476" s="1" t="s">
        <v>73</v>
      </c>
      <c r="F476" s="1" t="s">
        <v>28</v>
      </c>
      <c r="G476" s="1">
        <v>4970.46</v>
      </c>
      <c r="H476" s="1" t="s">
        <v>271</v>
      </c>
      <c r="I476" s="2">
        <v>22796</v>
      </c>
      <c r="J476" s="2">
        <v>44554</v>
      </c>
      <c r="K476" s="1">
        <v>7.16</v>
      </c>
      <c r="L476" s="4">
        <f>G476*K476%</f>
        <v>355.88493599999998</v>
      </c>
      <c r="M476" s="4">
        <f>G476-L476</f>
        <v>4614.5750639999997</v>
      </c>
    </row>
    <row r="477" spans="2:13" x14ac:dyDescent="0.3">
      <c r="B477" s="1">
        <v>1831</v>
      </c>
      <c r="C477" s="2">
        <v>45459</v>
      </c>
      <c r="D477" s="1" t="s">
        <v>14</v>
      </c>
      <c r="E477" s="1" t="s">
        <v>65</v>
      </c>
      <c r="F477" s="1" t="s">
        <v>19</v>
      </c>
      <c r="G477" s="1">
        <v>2924.35</v>
      </c>
      <c r="H477" s="1" t="s">
        <v>271</v>
      </c>
      <c r="I477" s="2">
        <v>22796</v>
      </c>
      <c r="J477" s="2">
        <v>45466</v>
      </c>
      <c r="K477" s="1">
        <v>28.88</v>
      </c>
      <c r="L477" s="4">
        <f>G477*K477%</f>
        <v>844.55228</v>
      </c>
      <c r="M477" s="4">
        <f>G477-L477</f>
        <v>2079.79772</v>
      </c>
    </row>
    <row r="478" spans="2:13" x14ac:dyDescent="0.3">
      <c r="B478" s="1">
        <v>1556</v>
      </c>
      <c r="C478" s="2">
        <v>44847</v>
      </c>
      <c r="D478" s="1" t="s">
        <v>14</v>
      </c>
      <c r="E478" s="1" t="s">
        <v>55</v>
      </c>
      <c r="F478" s="1" t="s">
        <v>31</v>
      </c>
      <c r="G478" s="1">
        <v>441.91</v>
      </c>
      <c r="H478" s="1" t="s">
        <v>271</v>
      </c>
      <c r="I478" s="2">
        <v>22796</v>
      </c>
      <c r="J478" s="2">
        <v>44861</v>
      </c>
      <c r="K478" s="1">
        <v>19.23</v>
      </c>
      <c r="L478" s="4">
        <f>G478*K478%</f>
        <v>84.979292999999998</v>
      </c>
      <c r="M478" s="4">
        <f>G478-L478</f>
        <v>356.93070700000004</v>
      </c>
    </row>
    <row r="479" spans="2:13" x14ac:dyDescent="0.3">
      <c r="B479" s="1">
        <v>1061</v>
      </c>
      <c r="C479" s="2">
        <v>45886</v>
      </c>
      <c r="D479" s="1" t="s">
        <v>14</v>
      </c>
      <c r="E479" s="1" t="s">
        <v>58</v>
      </c>
      <c r="F479" s="1" t="s">
        <v>31</v>
      </c>
      <c r="G479" s="1">
        <v>2919.16</v>
      </c>
      <c r="H479" s="1" t="s">
        <v>100</v>
      </c>
      <c r="I479" s="2">
        <v>22100</v>
      </c>
      <c r="J479" s="2">
        <v>45892</v>
      </c>
      <c r="K479" s="1">
        <v>19.739999999999998</v>
      </c>
      <c r="L479" s="4">
        <f>G479*K479%</f>
        <v>576.24218399999995</v>
      </c>
      <c r="M479" s="4">
        <f>G479-L479</f>
        <v>2342.9178160000001</v>
      </c>
    </row>
    <row r="480" spans="2:13" x14ac:dyDescent="0.3">
      <c r="B480" s="1">
        <v>1976</v>
      </c>
      <c r="C480" s="2">
        <v>45528</v>
      </c>
      <c r="D480" s="1" t="s">
        <v>14</v>
      </c>
      <c r="E480" s="1" t="s">
        <v>30</v>
      </c>
      <c r="F480" s="1" t="s">
        <v>31</v>
      </c>
      <c r="G480" s="1">
        <v>1607.63</v>
      </c>
      <c r="H480" s="1" t="s">
        <v>328</v>
      </c>
      <c r="I480" s="2">
        <v>28863</v>
      </c>
      <c r="J480" s="2">
        <v>45536</v>
      </c>
      <c r="K480" s="1">
        <v>25.29</v>
      </c>
      <c r="L480" s="4">
        <f>G480*K480%</f>
        <v>406.56962700000003</v>
      </c>
      <c r="M480" s="4">
        <f>G480-L480</f>
        <v>1201.060373</v>
      </c>
    </row>
    <row r="481" spans="2:13" x14ac:dyDescent="0.3">
      <c r="B481" s="1">
        <v>1272</v>
      </c>
      <c r="C481" s="2">
        <v>45875</v>
      </c>
      <c r="D481" s="1" t="s">
        <v>14</v>
      </c>
      <c r="E481" s="1" t="s">
        <v>47</v>
      </c>
      <c r="F481" s="1" t="s">
        <v>12</v>
      </c>
      <c r="G481" s="1">
        <v>3347.21</v>
      </c>
      <c r="H481" s="1" t="s">
        <v>67</v>
      </c>
      <c r="I481" s="2">
        <v>34016</v>
      </c>
      <c r="J481" s="2">
        <v>45880</v>
      </c>
      <c r="K481" s="1">
        <v>41.7</v>
      </c>
      <c r="L481" s="4">
        <f>G481*K481%</f>
        <v>1395.7865700000002</v>
      </c>
      <c r="M481" s="4">
        <f>G481-L481</f>
        <v>1951.4234299999998</v>
      </c>
    </row>
    <row r="482" spans="2:13" x14ac:dyDescent="0.3">
      <c r="B482" s="1">
        <v>1813</v>
      </c>
      <c r="C482" s="2">
        <v>45559</v>
      </c>
      <c r="D482" s="1" t="s">
        <v>14</v>
      </c>
      <c r="E482" s="1" t="s">
        <v>47</v>
      </c>
      <c r="F482" s="1" t="s">
        <v>12</v>
      </c>
      <c r="G482" s="1">
        <v>2847.95</v>
      </c>
      <c r="H482" s="1" t="s">
        <v>299</v>
      </c>
      <c r="I482" s="2">
        <v>25863</v>
      </c>
      <c r="J482" s="2">
        <v>45563</v>
      </c>
      <c r="K482" s="1">
        <v>10.87</v>
      </c>
      <c r="L482" s="4">
        <f>G482*K482%</f>
        <v>309.57216499999993</v>
      </c>
      <c r="M482" s="4">
        <f>G482-L482</f>
        <v>2538.3778349999998</v>
      </c>
    </row>
    <row r="483" spans="2:13" x14ac:dyDescent="0.3">
      <c r="B483" s="1">
        <v>1798</v>
      </c>
      <c r="C483" s="2">
        <v>44283</v>
      </c>
      <c r="D483" s="1" t="s">
        <v>14</v>
      </c>
      <c r="E483" s="1" t="s">
        <v>53</v>
      </c>
      <c r="F483" s="1" t="s">
        <v>28</v>
      </c>
      <c r="G483" s="1">
        <v>460.63</v>
      </c>
      <c r="H483" s="1" t="s">
        <v>308</v>
      </c>
      <c r="I483" s="2">
        <v>35336</v>
      </c>
      <c r="J483" s="2">
        <v>44285</v>
      </c>
      <c r="K483" s="1">
        <v>23.3</v>
      </c>
      <c r="L483" s="4">
        <f>G483*K483%</f>
        <v>107.32679</v>
      </c>
      <c r="M483" s="4">
        <f>G483-L483</f>
        <v>353.30320999999998</v>
      </c>
    </row>
    <row r="484" spans="2:13" x14ac:dyDescent="0.3">
      <c r="B484" s="1">
        <v>1574</v>
      </c>
      <c r="C484" s="2">
        <v>44420</v>
      </c>
      <c r="D484" s="1" t="s">
        <v>14</v>
      </c>
      <c r="E484" s="1" t="s">
        <v>36</v>
      </c>
      <c r="F484" s="1" t="s">
        <v>28</v>
      </c>
      <c r="G484" s="1">
        <v>3509.16</v>
      </c>
      <c r="H484" s="1" t="s">
        <v>91</v>
      </c>
      <c r="I484" s="2">
        <v>34220</v>
      </c>
      <c r="J484" s="2">
        <v>44431</v>
      </c>
      <c r="K484" s="1">
        <v>45.18</v>
      </c>
      <c r="L484" s="4">
        <f>G484*K484%</f>
        <v>1585.4384879999998</v>
      </c>
      <c r="M484" s="4">
        <f>G484-L484</f>
        <v>1923.7215120000001</v>
      </c>
    </row>
    <row r="485" spans="2:13" x14ac:dyDescent="0.3">
      <c r="B485" s="1">
        <v>1719</v>
      </c>
      <c r="C485" s="2">
        <v>45133</v>
      </c>
      <c r="D485" s="1" t="s">
        <v>14</v>
      </c>
      <c r="E485" s="1" t="s">
        <v>40</v>
      </c>
      <c r="F485" s="1" t="s">
        <v>16</v>
      </c>
      <c r="G485" s="1">
        <v>717.7</v>
      </c>
      <c r="H485" s="1" t="s">
        <v>295</v>
      </c>
      <c r="I485" s="2">
        <v>23369</v>
      </c>
      <c r="J485" s="2">
        <v>45135</v>
      </c>
      <c r="K485" s="1">
        <v>13.77</v>
      </c>
      <c r="L485" s="4">
        <f>G485*K485%</f>
        <v>98.827290000000005</v>
      </c>
      <c r="M485" s="4">
        <f>G485-L485</f>
        <v>618.8727100000001</v>
      </c>
    </row>
    <row r="486" spans="2:13" x14ac:dyDescent="0.3">
      <c r="B486" s="1">
        <v>1826</v>
      </c>
      <c r="C486" s="2">
        <v>45630</v>
      </c>
      <c r="D486" s="1" t="s">
        <v>14</v>
      </c>
      <c r="E486" s="1" t="s">
        <v>73</v>
      </c>
      <c r="F486" s="1" t="s">
        <v>28</v>
      </c>
      <c r="G486" s="1">
        <v>405.71</v>
      </c>
      <c r="H486" s="1" t="s">
        <v>295</v>
      </c>
      <c r="I486" s="2">
        <v>23369</v>
      </c>
      <c r="J486" s="2">
        <v>45632</v>
      </c>
      <c r="K486" s="1">
        <v>40.61</v>
      </c>
      <c r="L486" s="4">
        <f>G486*K486%</f>
        <v>164.75883099999999</v>
      </c>
      <c r="M486" s="4">
        <f>G486-L486</f>
        <v>240.95116899999999</v>
      </c>
    </row>
    <row r="487" spans="2:13" x14ac:dyDescent="0.3">
      <c r="B487" s="1">
        <v>1901</v>
      </c>
      <c r="C487" s="2">
        <v>45510</v>
      </c>
      <c r="D487" s="1" t="s">
        <v>14</v>
      </c>
      <c r="E487" s="1" t="s">
        <v>44</v>
      </c>
      <c r="F487" s="1" t="s">
        <v>16</v>
      </c>
      <c r="G487" s="1">
        <v>1671.46</v>
      </c>
      <c r="H487" s="1" t="s">
        <v>42</v>
      </c>
      <c r="I487" s="2">
        <v>26027</v>
      </c>
      <c r="J487" s="2">
        <v>45523</v>
      </c>
      <c r="K487" s="1">
        <v>12.98</v>
      </c>
      <c r="L487" s="4">
        <f>G487*K487%</f>
        <v>216.95550800000001</v>
      </c>
      <c r="M487" s="4">
        <f>G487-L487</f>
        <v>1454.504492</v>
      </c>
    </row>
    <row r="488" spans="2:13" x14ac:dyDescent="0.3">
      <c r="B488" s="1">
        <v>1413</v>
      </c>
      <c r="C488" s="2">
        <v>45701</v>
      </c>
      <c r="D488" s="1" t="s">
        <v>14</v>
      </c>
      <c r="E488" s="1" t="s">
        <v>102</v>
      </c>
      <c r="F488" s="1" t="s">
        <v>12</v>
      </c>
      <c r="G488" s="1">
        <v>981.46</v>
      </c>
      <c r="H488" s="1" t="s">
        <v>42</v>
      </c>
      <c r="I488" s="2">
        <v>26027</v>
      </c>
      <c r="J488" s="2">
        <v>45707</v>
      </c>
      <c r="K488" s="1">
        <v>36.18</v>
      </c>
      <c r="L488" s="4">
        <f>G488*K488%</f>
        <v>355.09222800000003</v>
      </c>
      <c r="M488" s="4">
        <f>G488-L488</f>
        <v>626.36777200000006</v>
      </c>
    </row>
    <row r="489" spans="2:13" x14ac:dyDescent="0.3">
      <c r="B489" s="1">
        <v>1985</v>
      </c>
      <c r="C489" s="2">
        <v>45108</v>
      </c>
      <c r="D489" s="1" t="s">
        <v>14</v>
      </c>
      <c r="E489" s="1" t="s">
        <v>24</v>
      </c>
      <c r="F489" s="1" t="s">
        <v>19</v>
      </c>
      <c r="G489" s="1">
        <v>2464.46</v>
      </c>
      <c r="H489" s="1" t="s">
        <v>304</v>
      </c>
      <c r="I489" s="2">
        <v>36246</v>
      </c>
      <c r="J489" s="2">
        <v>45111</v>
      </c>
      <c r="K489" s="1">
        <v>20.329999999999998</v>
      </c>
      <c r="L489" s="4">
        <f>G489*K489%</f>
        <v>501.02471799999995</v>
      </c>
      <c r="M489" s="4">
        <f>G489-L489</f>
        <v>1963.4352820000001</v>
      </c>
    </row>
    <row r="490" spans="2:13" x14ac:dyDescent="0.3">
      <c r="B490" s="1">
        <v>1653</v>
      </c>
      <c r="C490" s="2">
        <v>44374</v>
      </c>
      <c r="D490" s="1" t="s">
        <v>14</v>
      </c>
      <c r="E490" s="1" t="s">
        <v>36</v>
      </c>
      <c r="F490" s="1" t="s">
        <v>28</v>
      </c>
      <c r="G490" s="1">
        <v>1898.29</v>
      </c>
      <c r="H490" s="1" t="s">
        <v>304</v>
      </c>
      <c r="I490" s="2">
        <v>36246</v>
      </c>
      <c r="J490" s="2">
        <v>44386</v>
      </c>
      <c r="K490" s="1">
        <v>30.32</v>
      </c>
      <c r="L490" s="4">
        <f>G490*K490%</f>
        <v>575.56152800000007</v>
      </c>
      <c r="M490" s="4">
        <f>G490-L490</f>
        <v>1322.7284719999998</v>
      </c>
    </row>
    <row r="491" spans="2:13" x14ac:dyDescent="0.3">
      <c r="B491" s="1">
        <v>1510</v>
      </c>
      <c r="C491" s="2">
        <v>44078</v>
      </c>
      <c r="D491" s="1" t="s">
        <v>14</v>
      </c>
      <c r="E491" s="1" t="s">
        <v>61</v>
      </c>
      <c r="F491" s="1" t="s">
        <v>19</v>
      </c>
      <c r="G491" s="1">
        <v>948.94</v>
      </c>
      <c r="H491" s="1" t="s">
        <v>173</v>
      </c>
      <c r="I491" s="2">
        <v>22016</v>
      </c>
      <c r="J491" s="2">
        <v>44090</v>
      </c>
      <c r="K491" s="1">
        <v>21.04</v>
      </c>
      <c r="L491" s="4">
        <f>G491*K491%</f>
        <v>199.65697600000001</v>
      </c>
      <c r="M491" s="4">
        <f>G491-L491</f>
        <v>749.28302400000007</v>
      </c>
    </row>
    <row r="492" spans="2:13" x14ac:dyDescent="0.3">
      <c r="B492" s="1">
        <v>1685</v>
      </c>
      <c r="C492" s="2">
        <v>44226</v>
      </c>
      <c r="D492" s="1" t="s">
        <v>14</v>
      </c>
      <c r="E492" s="1" t="s">
        <v>61</v>
      </c>
      <c r="F492" s="1" t="s">
        <v>19</v>
      </c>
      <c r="G492" s="1">
        <v>3971.47</v>
      </c>
      <c r="H492" s="1" t="s">
        <v>309</v>
      </c>
      <c r="I492" s="2">
        <v>23838</v>
      </c>
      <c r="J492" s="2">
        <v>44227</v>
      </c>
      <c r="K492" s="1">
        <v>0.9</v>
      </c>
      <c r="L492" s="4">
        <f>G492*K492%</f>
        <v>35.743230000000004</v>
      </c>
      <c r="M492" s="4">
        <f>G492-L492</f>
        <v>3935.7267699999998</v>
      </c>
    </row>
    <row r="493" spans="2:13" x14ac:dyDescent="0.3">
      <c r="B493" s="1">
        <v>1323</v>
      </c>
      <c r="C493" s="2">
        <v>45155</v>
      </c>
      <c r="D493" s="1" t="s">
        <v>14</v>
      </c>
      <c r="E493" s="1" t="s">
        <v>69</v>
      </c>
      <c r="F493" s="1" t="s">
        <v>31</v>
      </c>
      <c r="G493" s="1">
        <v>4766.46</v>
      </c>
      <c r="H493" s="1" t="s">
        <v>225</v>
      </c>
      <c r="I493" s="2">
        <v>27641</v>
      </c>
      <c r="J493" s="2">
        <v>45160</v>
      </c>
      <c r="K493" s="1">
        <v>45.05</v>
      </c>
      <c r="L493" s="4">
        <f>G493*K493%</f>
        <v>2147.2902299999996</v>
      </c>
      <c r="M493" s="4">
        <f>G493-L493</f>
        <v>2619.1697700000004</v>
      </c>
    </row>
    <row r="494" spans="2:13" x14ac:dyDescent="0.3">
      <c r="B494" s="1">
        <v>1271</v>
      </c>
      <c r="C494" s="2">
        <v>45831</v>
      </c>
      <c r="D494" s="1" t="s">
        <v>14</v>
      </c>
      <c r="E494" s="1" t="s">
        <v>30</v>
      </c>
      <c r="F494" s="1" t="s">
        <v>31</v>
      </c>
      <c r="G494" s="1">
        <v>854.3</v>
      </c>
      <c r="H494" s="1" t="s">
        <v>225</v>
      </c>
      <c r="I494" s="2">
        <v>27641</v>
      </c>
      <c r="J494" s="2">
        <v>45844</v>
      </c>
      <c r="K494" s="1">
        <v>34.979999999999997</v>
      </c>
      <c r="L494" s="4">
        <f>G494*K494%</f>
        <v>298.83413999999993</v>
      </c>
      <c r="M494" s="4">
        <f>G494-L494</f>
        <v>555.46586000000002</v>
      </c>
    </row>
    <row r="495" spans="2:13" x14ac:dyDescent="0.3">
      <c r="B495" s="1">
        <v>1844</v>
      </c>
      <c r="C495" s="2">
        <v>44966</v>
      </c>
      <c r="D495" s="1" t="s">
        <v>14</v>
      </c>
      <c r="E495" s="1" t="s">
        <v>38</v>
      </c>
      <c r="F495" s="1" t="s">
        <v>28</v>
      </c>
      <c r="G495" s="1">
        <v>2212.08</v>
      </c>
      <c r="H495" s="1" t="s">
        <v>97</v>
      </c>
      <c r="I495" s="2">
        <v>24706</v>
      </c>
      <c r="J495" s="2">
        <v>44970</v>
      </c>
      <c r="K495" s="1">
        <v>27.15</v>
      </c>
      <c r="L495" s="4">
        <f>G495*K495%</f>
        <v>600.57971999999995</v>
      </c>
      <c r="M495" s="4">
        <f>G495-L495</f>
        <v>1611.50028</v>
      </c>
    </row>
    <row r="496" spans="2:13" x14ac:dyDescent="0.3">
      <c r="B496" s="1">
        <v>1354</v>
      </c>
      <c r="C496" s="2">
        <v>44391</v>
      </c>
      <c r="D496" s="1" t="s">
        <v>14</v>
      </c>
      <c r="E496" s="1" t="s">
        <v>55</v>
      </c>
      <c r="F496" s="1" t="s">
        <v>31</v>
      </c>
      <c r="G496" s="1">
        <v>4025.33</v>
      </c>
      <c r="H496" s="1" t="s">
        <v>161</v>
      </c>
      <c r="I496" s="2">
        <v>29386</v>
      </c>
      <c r="J496" s="2">
        <v>44403</v>
      </c>
      <c r="K496" s="1">
        <v>18.64</v>
      </c>
      <c r="L496" s="4">
        <f>G496*K496%</f>
        <v>750.32151199999998</v>
      </c>
      <c r="M496" s="4">
        <f>G496-L496</f>
        <v>3275.0084879999999</v>
      </c>
    </row>
    <row r="497" spans="2:13" x14ac:dyDescent="0.3">
      <c r="B497" s="1">
        <v>1147</v>
      </c>
      <c r="C497" s="2">
        <v>44609</v>
      </c>
      <c r="D497" s="1" t="s">
        <v>14</v>
      </c>
      <c r="E497" s="1" t="s">
        <v>69</v>
      </c>
      <c r="F497" s="1" t="s">
        <v>31</v>
      </c>
      <c r="G497" s="1">
        <v>2149.13</v>
      </c>
      <c r="H497" s="1" t="s">
        <v>161</v>
      </c>
      <c r="I497" s="2">
        <v>29386</v>
      </c>
      <c r="J497" s="2">
        <v>44612</v>
      </c>
      <c r="K497" s="1">
        <v>39.03</v>
      </c>
      <c r="L497" s="4">
        <f>G497*K497%</f>
        <v>838.80543900000009</v>
      </c>
      <c r="M497" s="4">
        <f>G497-L497</f>
        <v>1310.3245609999999</v>
      </c>
    </row>
    <row r="498" spans="2:13" x14ac:dyDescent="0.3">
      <c r="B498" s="1">
        <v>1736</v>
      </c>
      <c r="C498" s="2">
        <v>45336</v>
      </c>
      <c r="D498" s="1" t="s">
        <v>14</v>
      </c>
      <c r="E498" s="1" t="s">
        <v>22</v>
      </c>
      <c r="F498" s="1" t="s">
        <v>19</v>
      </c>
      <c r="G498" s="1">
        <v>4708.16</v>
      </c>
      <c r="H498" s="1" t="s">
        <v>249</v>
      </c>
      <c r="I498" s="2">
        <v>28555</v>
      </c>
      <c r="J498" s="2">
        <v>45347</v>
      </c>
      <c r="K498" s="1">
        <v>20.18</v>
      </c>
      <c r="L498" s="4">
        <f>G498*K498%</f>
        <v>950.10668799999996</v>
      </c>
      <c r="M498" s="4">
        <f>G498-L498</f>
        <v>3758.053312</v>
      </c>
    </row>
    <row r="499" spans="2:13" x14ac:dyDescent="0.3">
      <c r="B499" s="1">
        <v>1356</v>
      </c>
      <c r="C499" s="2">
        <v>44231</v>
      </c>
      <c r="D499" s="1" t="s">
        <v>14</v>
      </c>
      <c r="E499" s="1" t="s">
        <v>15</v>
      </c>
      <c r="F499" s="1" t="s">
        <v>16</v>
      </c>
      <c r="G499" s="1">
        <v>3294.52</v>
      </c>
      <c r="H499" s="1" t="s">
        <v>249</v>
      </c>
      <c r="I499" s="2">
        <v>28555</v>
      </c>
      <c r="J499" s="2">
        <v>44243</v>
      </c>
      <c r="K499" s="1">
        <v>5.31</v>
      </c>
      <c r="L499" s="4">
        <f>G499*K499%</f>
        <v>174.93901199999999</v>
      </c>
      <c r="M499" s="4">
        <f>G499-L499</f>
        <v>3119.5809880000002</v>
      </c>
    </row>
    <row r="500" spans="2:13" x14ac:dyDescent="0.3">
      <c r="B500" s="1">
        <v>1943</v>
      </c>
      <c r="C500" s="2">
        <v>44656</v>
      </c>
      <c r="D500" s="1" t="s">
        <v>14</v>
      </c>
      <c r="E500" s="1" t="s">
        <v>53</v>
      </c>
      <c r="F500" s="1" t="s">
        <v>28</v>
      </c>
      <c r="G500" s="1">
        <v>2211.34</v>
      </c>
      <c r="H500" s="1" t="s">
        <v>263</v>
      </c>
      <c r="I500" s="2">
        <v>35629</v>
      </c>
      <c r="J500" s="2">
        <v>44662</v>
      </c>
      <c r="K500" s="1">
        <v>10.82</v>
      </c>
      <c r="L500" s="4">
        <f>G500*K500%</f>
        <v>239.26698800000003</v>
      </c>
      <c r="M500" s="4">
        <f>G500-L500</f>
        <v>1972.0730120000001</v>
      </c>
    </row>
    <row r="501" spans="2:13" x14ac:dyDescent="0.3">
      <c r="B501" s="1">
        <v>1135</v>
      </c>
      <c r="C501" s="2">
        <v>45173</v>
      </c>
      <c r="D501" s="1" t="s">
        <v>14</v>
      </c>
      <c r="E501" s="1" t="s">
        <v>40</v>
      </c>
      <c r="F501" s="1" t="s">
        <v>16</v>
      </c>
      <c r="G501" s="1">
        <v>186.59</v>
      </c>
      <c r="H501" s="1" t="s">
        <v>154</v>
      </c>
      <c r="I501" s="2">
        <v>32146</v>
      </c>
      <c r="J501" s="2">
        <v>45186</v>
      </c>
      <c r="K501" s="1">
        <v>43.06</v>
      </c>
      <c r="L501" s="4">
        <f>G501*K501%</f>
        <v>80.34565400000001</v>
      </c>
      <c r="M501" s="4">
        <f>G501-L501</f>
        <v>106.24434599999999</v>
      </c>
    </row>
    <row r="502" spans="2:13" x14ac:dyDescent="0.3">
      <c r="B502" s="1">
        <v>1100</v>
      </c>
      <c r="C502" s="2">
        <v>45530</v>
      </c>
      <c r="D502" s="1" t="s">
        <v>14</v>
      </c>
      <c r="E502" s="1" t="s">
        <v>11</v>
      </c>
      <c r="F502" s="1" t="s">
        <v>12</v>
      </c>
      <c r="G502" s="1">
        <v>4696</v>
      </c>
      <c r="H502" s="1" t="s">
        <v>128</v>
      </c>
      <c r="I502" s="2">
        <v>37961</v>
      </c>
      <c r="J502" s="2">
        <v>45533</v>
      </c>
      <c r="K502" s="1">
        <v>5.37</v>
      </c>
      <c r="L502" s="4">
        <f>G502*K502%</f>
        <v>252.17519999999999</v>
      </c>
      <c r="M502" s="4">
        <f>G502-L502</f>
        <v>4443.8248000000003</v>
      </c>
    </row>
    <row r="503" spans="2:13" x14ac:dyDescent="0.3">
      <c r="B503" s="1">
        <v>1961</v>
      </c>
      <c r="C503" s="2">
        <v>44600</v>
      </c>
      <c r="D503" s="1" t="s">
        <v>14</v>
      </c>
      <c r="E503" s="1" t="s">
        <v>11</v>
      </c>
      <c r="F503" s="1" t="s">
        <v>12</v>
      </c>
      <c r="G503" s="1">
        <v>1709.59</v>
      </c>
      <c r="H503" s="1" t="s">
        <v>128</v>
      </c>
      <c r="I503" s="2">
        <v>37961</v>
      </c>
      <c r="J503" s="2">
        <v>44604</v>
      </c>
      <c r="K503" s="1">
        <v>47.88</v>
      </c>
      <c r="L503" s="4">
        <f>G503*K503%</f>
        <v>818.551692</v>
      </c>
      <c r="M503" s="4">
        <f>G503-L503</f>
        <v>891.03830799999992</v>
      </c>
    </row>
    <row r="504" spans="2:13" x14ac:dyDescent="0.3">
      <c r="B504" s="1">
        <v>1818</v>
      </c>
      <c r="C504" s="2">
        <v>44499</v>
      </c>
      <c r="D504" s="1" t="s">
        <v>14</v>
      </c>
      <c r="E504" s="1" t="s">
        <v>65</v>
      </c>
      <c r="F504" s="1" t="s">
        <v>19</v>
      </c>
      <c r="G504" s="1">
        <v>791.35</v>
      </c>
      <c r="H504" s="1" t="s">
        <v>128</v>
      </c>
      <c r="I504" s="2">
        <v>37961</v>
      </c>
      <c r="J504" s="2">
        <v>44506</v>
      </c>
      <c r="K504" s="1">
        <v>40.1</v>
      </c>
      <c r="L504" s="4">
        <f>G504*K504%</f>
        <v>317.33135000000004</v>
      </c>
      <c r="M504" s="4">
        <f>G504-L504</f>
        <v>474.01864999999998</v>
      </c>
    </row>
    <row r="505" spans="2:13" x14ac:dyDescent="0.3">
      <c r="B505" s="1">
        <v>1031</v>
      </c>
      <c r="C505" s="2">
        <v>44709</v>
      </c>
      <c r="D505" s="1" t="s">
        <v>14</v>
      </c>
      <c r="E505" s="1" t="s">
        <v>71</v>
      </c>
      <c r="F505" s="1" t="s">
        <v>31</v>
      </c>
      <c r="G505" s="1">
        <v>4139.5600000000004</v>
      </c>
      <c r="H505" s="1" t="s">
        <v>72</v>
      </c>
      <c r="I505" s="2">
        <v>32992</v>
      </c>
      <c r="J505" s="2">
        <v>44715</v>
      </c>
      <c r="K505" s="1">
        <v>22.24</v>
      </c>
      <c r="L505" s="4">
        <f>G505*K505%</f>
        <v>920.63814400000001</v>
      </c>
      <c r="M505" s="4">
        <f>G505-L505</f>
        <v>3218.9218560000004</v>
      </c>
    </row>
    <row r="506" spans="2:13" x14ac:dyDescent="0.3">
      <c r="B506" s="1">
        <v>1080</v>
      </c>
      <c r="C506" s="2">
        <v>44967</v>
      </c>
      <c r="D506" s="1" t="s">
        <v>14</v>
      </c>
      <c r="E506" s="1" t="s">
        <v>27</v>
      </c>
      <c r="F506" s="1" t="s">
        <v>28</v>
      </c>
      <c r="G506" s="1">
        <v>2009.76</v>
      </c>
      <c r="H506" s="1" t="s">
        <v>72</v>
      </c>
      <c r="I506" s="2">
        <v>32992</v>
      </c>
      <c r="J506" s="2">
        <v>44971</v>
      </c>
      <c r="K506" s="1">
        <v>13.06</v>
      </c>
      <c r="L506" s="4">
        <f>G506*K506%</f>
        <v>262.47465599999998</v>
      </c>
      <c r="M506" s="4">
        <f>G506-L506</f>
        <v>1747.2853439999999</v>
      </c>
    </row>
    <row r="507" spans="2:13" x14ac:dyDescent="0.3">
      <c r="B507" s="1">
        <v>1168</v>
      </c>
      <c r="C507" s="2">
        <v>45093</v>
      </c>
      <c r="D507" s="1" t="s">
        <v>14</v>
      </c>
      <c r="E507" s="1" t="s">
        <v>44</v>
      </c>
      <c r="F507" s="1" t="s">
        <v>16</v>
      </c>
      <c r="G507" s="1">
        <v>2529.54</v>
      </c>
      <c r="H507" s="1" t="s">
        <v>72</v>
      </c>
      <c r="I507" s="2">
        <v>32992</v>
      </c>
      <c r="J507" s="2">
        <v>45094</v>
      </c>
      <c r="K507" s="1">
        <v>35.01</v>
      </c>
      <c r="L507" s="4">
        <f>G507*K507%</f>
        <v>885.59195399999987</v>
      </c>
      <c r="M507" s="4">
        <f>G507-L507</f>
        <v>1643.948046</v>
      </c>
    </row>
    <row r="508" spans="2:13" x14ac:dyDescent="0.3">
      <c r="B508" s="1">
        <v>1220</v>
      </c>
      <c r="C508" s="2">
        <v>45194</v>
      </c>
      <c r="D508" s="1" t="s">
        <v>14</v>
      </c>
      <c r="E508" s="1" t="s">
        <v>65</v>
      </c>
      <c r="F508" s="1" t="s">
        <v>19</v>
      </c>
      <c r="G508" s="1">
        <v>3956.75</v>
      </c>
      <c r="H508" s="1" t="s">
        <v>206</v>
      </c>
      <c r="I508" s="2">
        <v>34011</v>
      </c>
      <c r="J508" s="2">
        <v>45205</v>
      </c>
      <c r="K508" s="1">
        <v>1.67</v>
      </c>
      <c r="L508" s="4">
        <f>G508*K508%</f>
        <v>66.077725000000001</v>
      </c>
      <c r="M508" s="4">
        <f>G508-L508</f>
        <v>3890.6722749999999</v>
      </c>
    </row>
    <row r="509" spans="2:13" x14ac:dyDescent="0.3">
      <c r="B509" s="1">
        <v>1414</v>
      </c>
      <c r="C509" s="2">
        <v>44253</v>
      </c>
      <c r="D509" s="1" t="s">
        <v>14</v>
      </c>
      <c r="E509" s="1" t="s">
        <v>27</v>
      </c>
      <c r="F509" s="1" t="s">
        <v>28</v>
      </c>
      <c r="G509" s="1">
        <v>2570.37</v>
      </c>
      <c r="H509" s="1" t="s">
        <v>262</v>
      </c>
      <c r="I509" s="2">
        <v>36590</v>
      </c>
      <c r="J509" s="2">
        <v>44256</v>
      </c>
      <c r="K509" s="1">
        <v>12.84</v>
      </c>
      <c r="L509" s="4">
        <f>G509*K509%</f>
        <v>330.03550799999994</v>
      </c>
      <c r="M509" s="4">
        <f>G509-L509</f>
        <v>2240.334492</v>
      </c>
    </row>
    <row r="510" spans="2:13" x14ac:dyDescent="0.3">
      <c r="B510" s="1">
        <v>1350</v>
      </c>
      <c r="C510" s="2">
        <v>45834</v>
      </c>
      <c r="D510" s="1" t="s">
        <v>14</v>
      </c>
      <c r="E510" s="1" t="s">
        <v>69</v>
      </c>
      <c r="F510" s="1" t="s">
        <v>12</v>
      </c>
      <c r="G510" s="1">
        <v>1668.13</v>
      </c>
      <c r="H510" s="1" t="s">
        <v>234</v>
      </c>
      <c r="I510" s="2">
        <v>24368</v>
      </c>
      <c r="J510" s="2">
        <v>45845</v>
      </c>
      <c r="K510" s="1">
        <v>2.87</v>
      </c>
      <c r="L510" s="4">
        <f>G510*K510%</f>
        <v>47.875331000000003</v>
      </c>
      <c r="M510" s="4">
        <f>G510-L510</f>
        <v>1620.2546690000001</v>
      </c>
    </row>
    <row r="511" spans="2:13" x14ac:dyDescent="0.3">
      <c r="B511" s="1">
        <v>1294</v>
      </c>
      <c r="C511" s="2">
        <v>45335</v>
      </c>
      <c r="D511" s="1" t="s">
        <v>14</v>
      </c>
      <c r="E511" s="1" t="s">
        <v>30</v>
      </c>
      <c r="F511" s="1" t="s">
        <v>31</v>
      </c>
      <c r="G511" s="1">
        <v>714.22</v>
      </c>
      <c r="H511" s="1" t="s">
        <v>234</v>
      </c>
      <c r="I511" s="2">
        <v>24368</v>
      </c>
      <c r="J511" s="2">
        <v>45340</v>
      </c>
      <c r="K511" s="1">
        <v>40.56</v>
      </c>
      <c r="L511" s="4">
        <f>G511*K511%</f>
        <v>289.68763200000001</v>
      </c>
      <c r="M511" s="4">
        <f>G511-L511</f>
        <v>424.53236800000002</v>
      </c>
    </row>
    <row r="512" spans="2:13" x14ac:dyDescent="0.3">
      <c r="B512" s="1">
        <v>1488</v>
      </c>
      <c r="C512" s="2">
        <v>45427</v>
      </c>
      <c r="D512" s="1" t="s">
        <v>14</v>
      </c>
      <c r="E512" s="1" t="s">
        <v>49</v>
      </c>
      <c r="F512" s="1" t="s">
        <v>12</v>
      </c>
      <c r="G512" s="1">
        <v>2543.13</v>
      </c>
      <c r="H512" s="1" t="s">
        <v>63</v>
      </c>
      <c r="I512" s="2">
        <v>25430</v>
      </c>
      <c r="J512" s="2">
        <v>45441</v>
      </c>
      <c r="K512" s="1">
        <v>15.97</v>
      </c>
      <c r="L512" s="4">
        <f>G512*K512%</f>
        <v>406.13786100000004</v>
      </c>
      <c r="M512" s="4">
        <f>G512-L512</f>
        <v>2136.992139</v>
      </c>
    </row>
    <row r="513" spans="2:13" x14ac:dyDescent="0.3">
      <c r="B513" s="1">
        <v>1107</v>
      </c>
      <c r="C513" s="2">
        <v>45028</v>
      </c>
      <c r="D513" s="1" t="s">
        <v>14</v>
      </c>
      <c r="E513" s="1" t="s">
        <v>47</v>
      </c>
      <c r="F513" s="1" t="s">
        <v>12</v>
      </c>
      <c r="G513" s="1">
        <v>1943.78</v>
      </c>
      <c r="H513" s="1" t="s">
        <v>63</v>
      </c>
      <c r="I513" s="2">
        <v>25430</v>
      </c>
      <c r="J513" s="2">
        <v>45041</v>
      </c>
      <c r="K513" s="1">
        <v>6.56</v>
      </c>
      <c r="L513" s="4">
        <f>G513*K513%</f>
        <v>127.51196799999998</v>
      </c>
      <c r="M513" s="4">
        <f>G513-L513</f>
        <v>1816.2680319999999</v>
      </c>
    </row>
    <row r="514" spans="2:13" x14ac:dyDescent="0.3">
      <c r="B514" s="1">
        <v>1066</v>
      </c>
      <c r="C514" s="2">
        <v>44121</v>
      </c>
      <c r="D514" s="1" t="s">
        <v>14</v>
      </c>
      <c r="E514" s="1" t="s">
        <v>30</v>
      </c>
      <c r="F514" s="1" t="s">
        <v>31</v>
      </c>
      <c r="G514" s="1">
        <v>3022.63</v>
      </c>
      <c r="H514" s="1" t="s">
        <v>104</v>
      </c>
      <c r="I514" s="2">
        <v>24852</v>
      </c>
      <c r="J514" s="2">
        <v>44124</v>
      </c>
      <c r="K514" s="1">
        <v>15.46</v>
      </c>
      <c r="L514" s="4">
        <f>G514*K514%</f>
        <v>467.29859800000008</v>
      </c>
      <c r="M514" s="4">
        <f>G514-L514</f>
        <v>2555.3314019999998</v>
      </c>
    </row>
    <row r="515" spans="2:13" x14ac:dyDescent="0.3">
      <c r="B515" s="1">
        <v>1172</v>
      </c>
      <c r="C515" s="2">
        <v>44617</v>
      </c>
      <c r="D515" s="1" t="s">
        <v>14</v>
      </c>
      <c r="E515" s="1" t="s">
        <v>55</v>
      </c>
      <c r="F515" s="1" t="s">
        <v>31</v>
      </c>
      <c r="G515" s="1">
        <v>3804.2</v>
      </c>
      <c r="H515" s="1" t="s">
        <v>167</v>
      </c>
      <c r="I515" s="2">
        <v>24672</v>
      </c>
      <c r="J515" s="2">
        <v>44620</v>
      </c>
      <c r="K515" s="1">
        <v>27.88</v>
      </c>
      <c r="L515" s="4">
        <f>G515*K515%</f>
        <v>1060.61096</v>
      </c>
      <c r="M515" s="4">
        <f>G515-L515</f>
        <v>2743.5890399999998</v>
      </c>
    </row>
    <row r="516" spans="2:13" x14ac:dyDescent="0.3">
      <c r="B516" s="1">
        <v>1096</v>
      </c>
      <c r="C516" s="2">
        <v>44322</v>
      </c>
      <c r="D516" s="1" t="s">
        <v>14</v>
      </c>
      <c r="E516" s="1" t="s">
        <v>22</v>
      </c>
      <c r="F516" s="1" t="s">
        <v>19</v>
      </c>
      <c r="G516" s="1">
        <v>494.78</v>
      </c>
      <c r="H516" s="1" t="s">
        <v>125</v>
      </c>
      <c r="I516" s="2">
        <v>28830</v>
      </c>
      <c r="J516" s="2">
        <v>44331</v>
      </c>
      <c r="K516" s="1">
        <v>35.520000000000003</v>
      </c>
      <c r="L516" s="4">
        <f>G516*K516%</f>
        <v>175.745856</v>
      </c>
      <c r="M516" s="4">
        <f>G516-L516</f>
        <v>319.03414399999997</v>
      </c>
    </row>
    <row r="517" spans="2:13" x14ac:dyDescent="0.3">
      <c r="B517" s="1">
        <v>1952</v>
      </c>
      <c r="C517" s="2">
        <v>45575</v>
      </c>
      <c r="D517" s="1" t="s">
        <v>14</v>
      </c>
      <c r="E517" s="1" t="s">
        <v>49</v>
      </c>
      <c r="F517" s="1" t="s">
        <v>12</v>
      </c>
      <c r="G517" s="1">
        <v>2503.42</v>
      </c>
      <c r="H517" s="1" t="s">
        <v>142</v>
      </c>
      <c r="I517" s="2">
        <v>29541</v>
      </c>
      <c r="J517" s="2">
        <v>45580</v>
      </c>
      <c r="K517" s="1">
        <v>5.45</v>
      </c>
      <c r="L517" s="4">
        <f>G517*K517%</f>
        <v>136.43639000000002</v>
      </c>
      <c r="M517" s="4">
        <f>G517-L517</f>
        <v>2366.9836100000002</v>
      </c>
    </row>
    <row r="518" spans="2:13" x14ac:dyDescent="0.3">
      <c r="B518" s="1">
        <v>1625</v>
      </c>
      <c r="C518" s="2">
        <v>45113</v>
      </c>
      <c r="D518" s="1" t="s">
        <v>14</v>
      </c>
      <c r="E518" s="1" t="s">
        <v>61</v>
      </c>
      <c r="F518" s="1" t="s">
        <v>19</v>
      </c>
      <c r="G518" s="1">
        <v>4914.7</v>
      </c>
      <c r="H518" s="1" t="s">
        <v>141</v>
      </c>
      <c r="I518" s="2">
        <v>35559</v>
      </c>
      <c r="J518" s="2">
        <v>45127</v>
      </c>
      <c r="K518" s="1">
        <v>31.73</v>
      </c>
      <c r="L518" s="4">
        <f>G518*K518%</f>
        <v>1559.4343100000001</v>
      </c>
      <c r="M518" s="4">
        <f>G518-L518</f>
        <v>3355.2656899999997</v>
      </c>
    </row>
    <row r="519" spans="2:13" x14ac:dyDescent="0.3">
      <c r="B519" s="1">
        <v>1242</v>
      </c>
      <c r="C519" s="2">
        <v>44800</v>
      </c>
      <c r="D519" s="1" t="s">
        <v>14</v>
      </c>
      <c r="E519" s="1" t="s">
        <v>40</v>
      </c>
      <c r="F519" s="1" t="s">
        <v>16</v>
      </c>
      <c r="G519" s="1">
        <v>2727.83</v>
      </c>
      <c r="H519" s="1" t="s">
        <v>103</v>
      </c>
      <c r="I519" s="2">
        <v>30923</v>
      </c>
      <c r="J519" s="2">
        <v>44805</v>
      </c>
      <c r="K519" s="1">
        <v>11.22</v>
      </c>
      <c r="L519" s="4">
        <f>G519*K519%</f>
        <v>306.06252599999999</v>
      </c>
      <c r="M519" s="4">
        <f>G519-L519</f>
        <v>2421.7674739999998</v>
      </c>
    </row>
    <row r="520" spans="2:13" x14ac:dyDescent="0.3">
      <c r="B520" s="1">
        <v>1482</v>
      </c>
      <c r="C520" s="2">
        <v>44567</v>
      </c>
      <c r="D520" s="1" t="s">
        <v>14</v>
      </c>
      <c r="E520" s="1" t="s">
        <v>58</v>
      </c>
      <c r="F520" s="1" t="s">
        <v>31</v>
      </c>
      <c r="G520" s="1">
        <v>4964.8</v>
      </c>
      <c r="H520" s="1" t="s">
        <v>216</v>
      </c>
      <c r="I520" s="2">
        <v>31419</v>
      </c>
      <c r="J520" s="2">
        <v>44577</v>
      </c>
      <c r="K520" s="1">
        <v>23.65</v>
      </c>
      <c r="L520" s="4">
        <f>G520*K520%</f>
        <v>1174.1751999999999</v>
      </c>
      <c r="M520" s="4">
        <f>G520-L520</f>
        <v>3790.6248000000005</v>
      </c>
    </row>
    <row r="521" spans="2:13" x14ac:dyDescent="0.3">
      <c r="B521" s="1">
        <v>1152</v>
      </c>
      <c r="C521" s="2">
        <v>45518</v>
      </c>
      <c r="D521" s="1" t="s">
        <v>14</v>
      </c>
      <c r="E521" s="1" t="s">
        <v>88</v>
      </c>
      <c r="F521" s="1" t="s">
        <v>16</v>
      </c>
      <c r="G521" s="1">
        <v>4403.59</v>
      </c>
      <c r="H521" s="1" t="s">
        <v>166</v>
      </c>
      <c r="I521" s="2">
        <v>27879</v>
      </c>
      <c r="J521" s="2">
        <v>45526</v>
      </c>
      <c r="K521" s="1">
        <v>20.79</v>
      </c>
      <c r="L521" s="4">
        <f>G521*K521%</f>
        <v>915.50636100000008</v>
      </c>
      <c r="M521" s="4">
        <f>G521-L521</f>
        <v>3488.0836389999999</v>
      </c>
    </row>
    <row r="522" spans="2:13" x14ac:dyDescent="0.3">
      <c r="B522" s="1">
        <v>1001</v>
      </c>
      <c r="C522" s="2">
        <v>44531</v>
      </c>
      <c r="D522" s="1" t="s">
        <v>14</v>
      </c>
      <c r="E522" s="1" t="s">
        <v>15</v>
      </c>
      <c r="F522" s="1" t="s">
        <v>16</v>
      </c>
      <c r="G522" s="1">
        <v>2524.6</v>
      </c>
      <c r="H522" s="1" t="s">
        <v>17</v>
      </c>
      <c r="I522" s="2">
        <v>26484</v>
      </c>
      <c r="J522" s="2">
        <v>44540</v>
      </c>
      <c r="K522" s="1">
        <v>32.72</v>
      </c>
      <c r="L522" s="4">
        <f>G522*K522%</f>
        <v>826.0491199999999</v>
      </c>
      <c r="M522" s="4">
        <f>G522-L522</f>
        <v>1698.55088</v>
      </c>
    </row>
    <row r="523" spans="2:13" x14ac:dyDescent="0.3">
      <c r="B523" s="1">
        <v>1661</v>
      </c>
      <c r="C523" s="2">
        <v>45816</v>
      </c>
      <c r="D523" s="1" t="s">
        <v>14</v>
      </c>
      <c r="E523" s="1" t="s">
        <v>22</v>
      </c>
      <c r="F523" s="1" t="s">
        <v>19</v>
      </c>
      <c r="G523" s="1">
        <v>4672.3599999999997</v>
      </c>
      <c r="H523" s="1" t="s">
        <v>189</v>
      </c>
      <c r="I523" s="2">
        <v>34164</v>
      </c>
      <c r="J523" s="2">
        <v>45827</v>
      </c>
      <c r="K523" s="1">
        <v>14.4</v>
      </c>
      <c r="L523" s="4">
        <f>G523*K523%</f>
        <v>672.81984</v>
      </c>
      <c r="M523" s="4">
        <f>G523-L523</f>
        <v>3999.5401599999996</v>
      </c>
    </row>
    <row r="524" spans="2:13" x14ac:dyDescent="0.3">
      <c r="B524" s="1">
        <v>1177</v>
      </c>
      <c r="C524" s="2">
        <v>44469</v>
      </c>
      <c r="D524" s="1" t="s">
        <v>14</v>
      </c>
      <c r="E524" s="1" t="s">
        <v>30</v>
      </c>
      <c r="F524" s="1" t="s">
        <v>31</v>
      </c>
      <c r="G524" s="1">
        <v>2760.09</v>
      </c>
      <c r="H524" s="1" t="s">
        <v>178</v>
      </c>
      <c r="I524" s="2">
        <v>23890</v>
      </c>
      <c r="J524" s="2">
        <v>44481</v>
      </c>
      <c r="K524" s="1">
        <v>45.94</v>
      </c>
      <c r="L524" s="4">
        <f>G524*K524%</f>
        <v>1267.9853459999999</v>
      </c>
      <c r="M524" s="4">
        <f>G524-L524</f>
        <v>1492.1046540000002</v>
      </c>
    </row>
    <row r="525" spans="2:13" x14ac:dyDescent="0.3">
      <c r="B525" s="1">
        <v>1293</v>
      </c>
      <c r="C525" s="2">
        <v>45221</v>
      </c>
      <c r="D525" s="1" t="s">
        <v>14</v>
      </c>
      <c r="E525" s="1" t="s">
        <v>49</v>
      </c>
      <c r="F525" s="1" t="s">
        <v>12</v>
      </c>
      <c r="G525" s="1">
        <v>1475.57</v>
      </c>
      <c r="H525" s="1" t="s">
        <v>178</v>
      </c>
      <c r="I525" s="2">
        <v>23890</v>
      </c>
      <c r="J525" s="2">
        <v>45229</v>
      </c>
      <c r="K525" s="1">
        <v>32.5</v>
      </c>
      <c r="L525" s="4">
        <f>G525*K525%</f>
        <v>479.56025</v>
      </c>
      <c r="M525" s="4">
        <f>G525-L525</f>
        <v>996.00974999999994</v>
      </c>
    </row>
    <row r="526" spans="2:13" x14ac:dyDescent="0.3">
      <c r="B526" s="1">
        <v>1165</v>
      </c>
      <c r="C526" s="2">
        <v>45742</v>
      </c>
      <c r="D526" s="1" t="s">
        <v>14</v>
      </c>
      <c r="E526" s="1" t="s">
        <v>15</v>
      </c>
      <c r="F526" s="1" t="s">
        <v>16</v>
      </c>
      <c r="G526" s="1">
        <v>2790.45</v>
      </c>
      <c r="H526" s="1" t="s">
        <v>157</v>
      </c>
      <c r="I526" s="2">
        <v>37189</v>
      </c>
      <c r="J526" s="2">
        <v>45752</v>
      </c>
      <c r="K526" s="1">
        <v>6.5</v>
      </c>
      <c r="L526" s="4">
        <f>G526*K526%</f>
        <v>181.37924999999998</v>
      </c>
      <c r="M526" s="4">
        <f>G526-L526</f>
        <v>2609.0707499999999</v>
      </c>
    </row>
    <row r="527" spans="2:13" x14ac:dyDescent="0.3">
      <c r="B527" s="1">
        <v>1725</v>
      </c>
      <c r="C527" s="2">
        <v>44333</v>
      </c>
      <c r="D527" s="1" t="s">
        <v>14</v>
      </c>
      <c r="E527" s="1" t="s">
        <v>47</v>
      </c>
      <c r="F527" s="1" t="s">
        <v>12</v>
      </c>
      <c r="G527" s="1">
        <v>1874.15</v>
      </c>
      <c r="H527" s="1" t="s">
        <v>157</v>
      </c>
      <c r="I527" s="2">
        <v>37189</v>
      </c>
      <c r="J527" s="2">
        <v>44339</v>
      </c>
      <c r="K527" s="1">
        <v>4.95</v>
      </c>
      <c r="L527" s="4">
        <f>G527*K527%</f>
        <v>92.770425000000003</v>
      </c>
      <c r="M527" s="4">
        <f>G527-L527</f>
        <v>1781.3795750000002</v>
      </c>
    </row>
    <row r="528" spans="2:13" x14ac:dyDescent="0.3">
      <c r="B528" s="1">
        <v>1711</v>
      </c>
      <c r="C528" s="2">
        <v>44813</v>
      </c>
      <c r="D528" s="1" t="s">
        <v>14</v>
      </c>
      <c r="E528" s="1" t="s">
        <v>44</v>
      </c>
      <c r="F528" s="1" t="s">
        <v>16</v>
      </c>
      <c r="G528" s="1">
        <v>2860.6</v>
      </c>
      <c r="H528" s="1" t="s">
        <v>174</v>
      </c>
      <c r="I528" s="2">
        <v>38118</v>
      </c>
      <c r="J528" s="2">
        <v>44826</v>
      </c>
      <c r="K528" s="1">
        <v>25.1</v>
      </c>
      <c r="L528" s="4">
        <f>G528*K528%</f>
        <v>718.01059999999995</v>
      </c>
      <c r="M528" s="4">
        <f>G528-L528</f>
        <v>2142.5893999999998</v>
      </c>
    </row>
    <row r="529" spans="2:13" x14ac:dyDescent="0.3">
      <c r="B529" s="1">
        <v>1104</v>
      </c>
      <c r="C529" s="2">
        <v>44951</v>
      </c>
      <c r="D529" s="1" t="s">
        <v>14</v>
      </c>
      <c r="E529" s="1" t="s">
        <v>61</v>
      </c>
      <c r="F529" s="1" t="s">
        <v>19</v>
      </c>
      <c r="G529" s="1">
        <v>1079.68</v>
      </c>
      <c r="H529" s="1" t="s">
        <v>89</v>
      </c>
      <c r="I529" s="2">
        <v>37141</v>
      </c>
      <c r="J529" s="2">
        <v>44956</v>
      </c>
      <c r="K529" s="1">
        <v>43.99</v>
      </c>
      <c r="L529" s="4">
        <f>G529*K529%</f>
        <v>474.95123200000006</v>
      </c>
      <c r="M529" s="4">
        <f>G529-L529</f>
        <v>604.72876799999995</v>
      </c>
    </row>
    <row r="530" spans="2:13" x14ac:dyDescent="0.3">
      <c r="B530" s="1">
        <v>1301</v>
      </c>
      <c r="C530" s="2">
        <v>45060</v>
      </c>
      <c r="D530" s="1" t="s">
        <v>14</v>
      </c>
      <c r="E530" s="1" t="s">
        <v>33</v>
      </c>
      <c r="F530" s="1" t="s">
        <v>16</v>
      </c>
      <c r="G530" s="1">
        <v>2137.69</v>
      </c>
      <c r="H530" s="1" t="s">
        <v>236</v>
      </c>
      <c r="I530" s="2">
        <v>36099</v>
      </c>
      <c r="J530" s="2">
        <v>45074</v>
      </c>
      <c r="K530" s="1">
        <v>25.33</v>
      </c>
      <c r="L530" s="4">
        <f>G530*K530%</f>
        <v>541.47687699999994</v>
      </c>
      <c r="M530" s="4">
        <f>G530-L530</f>
        <v>1596.213123</v>
      </c>
    </row>
    <row r="531" spans="2:13" x14ac:dyDescent="0.3">
      <c r="B531" s="1">
        <v>1493</v>
      </c>
      <c r="C531" s="2">
        <v>44415</v>
      </c>
      <c r="D531" s="1" t="s">
        <v>14</v>
      </c>
      <c r="E531" s="1" t="s">
        <v>38</v>
      </c>
      <c r="F531" s="1" t="s">
        <v>28</v>
      </c>
      <c r="G531" s="1">
        <v>4476.6400000000003</v>
      </c>
      <c r="H531" s="1" t="s">
        <v>221</v>
      </c>
      <c r="I531" s="2">
        <v>35658</v>
      </c>
      <c r="J531" s="2">
        <v>44417</v>
      </c>
      <c r="K531" s="1">
        <v>13.84</v>
      </c>
      <c r="L531" s="4">
        <f>G531*K531%</f>
        <v>619.56697600000007</v>
      </c>
      <c r="M531" s="4">
        <f>G531-L531</f>
        <v>3857.0730240000003</v>
      </c>
    </row>
    <row r="532" spans="2:13" x14ac:dyDescent="0.3">
      <c r="B532" s="1">
        <v>1784</v>
      </c>
      <c r="C532" s="2">
        <v>45793</v>
      </c>
      <c r="D532" s="1" t="s">
        <v>14</v>
      </c>
      <c r="E532" s="1" t="s">
        <v>33</v>
      </c>
      <c r="F532" s="1" t="s">
        <v>16</v>
      </c>
      <c r="G532" s="1">
        <v>2041.7</v>
      </c>
      <c r="H532" s="1" t="s">
        <v>221</v>
      </c>
      <c r="I532" s="2">
        <v>35658</v>
      </c>
      <c r="J532" s="2">
        <v>45802</v>
      </c>
      <c r="K532" s="1">
        <v>47.56</v>
      </c>
      <c r="L532" s="4">
        <f>G532*K532%</f>
        <v>971.03252000000009</v>
      </c>
      <c r="M532" s="4">
        <f>G532-L532</f>
        <v>1070.6674800000001</v>
      </c>
    </row>
    <row r="533" spans="2:13" x14ac:dyDescent="0.3">
      <c r="B533" s="1">
        <v>1142</v>
      </c>
      <c r="C533" s="2">
        <v>44208</v>
      </c>
      <c r="D533" s="1" t="s">
        <v>14</v>
      </c>
      <c r="E533" s="1" t="s">
        <v>61</v>
      </c>
      <c r="F533" s="1" t="s">
        <v>19</v>
      </c>
      <c r="G533" s="1">
        <v>1853.63</v>
      </c>
      <c r="H533" s="1" t="s">
        <v>158</v>
      </c>
      <c r="I533" s="2">
        <v>34871</v>
      </c>
      <c r="J533" s="2">
        <v>44219</v>
      </c>
      <c r="K533" s="1">
        <v>22.73</v>
      </c>
      <c r="L533" s="4">
        <f>G533*K533%</f>
        <v>421.33009900000002</v>
      </c>
      <c r="M533" s="4">
        <f>G533-L533</f>
        <v>1432.2999010000001</v>
      </c>
    </row>
    <row r="534" spans="2:13" x14ac:dyDescent="0.3">
      <c r="B534" s="1">
        <v>1228</v>
      </c>
      <c r="C534" s="2">
        <v>45107</v>
      </c>
      <c r="D534" s="1" t="s">
        <v>14</v>
      </c>
      <c r="E534" s="1" t="s">
        <v>44</v>
      </c>
      <c r="F534" s="1" t="s">
        <v>16</v>
      </c>
      <c r="G534" s="1">
        <v>2971.52</v>
      </c>
      <c r="H534" s="1" t="s">
        <v>209</v>
      </c>
      <c r="I534" s="2">
        <v>28522</v>
      </c>
      <c r="J534" s="2">
        <v>45119</v>
      </c>
      <c r="K534" s="1">
        <v>24.69</v>
      </c>
      <c r="L534" s="4">
        <f>G534*K534%</f>
        <v>733.66828800000008</v>
      </c>
      <c r="M534" s="4">
        <f>G534-L534</f>
        <v>2237.8517119999997</v>
      </c>
    </row>
    <row r="535" spans="2:13" x14ac:dyDescent="0.3">
      <c r="B535" s="1">
        <v>1689</v>
      </c>
      <c r="C535" s="2">
        <v>44624</v>
      </c>
      <c r="D535" s="1" t="s">
        <v>14</v>
      </c>
      <c r="E535" s="1" t="s">
        <v>53</v>
      </c>
      <c r="F535" s="1" t="s">
        <v>28</v>
      </c>
      <c r="G535" s="1">
        <v>2762.66</v>
      </c>
      <c r="H535" s="1" t="s">
        <v>310</v>
      </c>
      <c r="I535" s="2">
        <v>23309</v>
      </c>
      <c r="J535" s="2">
        <v>44631</v>
      </c>
      <c r="K535" s="1">
        <v>21.79</v>
      </c>
      <c r="L535" s="4">
        <f>G535*K535%</f>
        <v>601.98361399999987</v>
      </c>
      <c r="M535" s="4">
        <f>G535-L535</f>
        <v>2160.6763860000001</v>
      </c>
    </row>
    <row r="536" spans="2:13" x14ac:dyDescent="0.3">
      <c r="B536" s="1">
        <v>1802</v>
      </c>
      <c r="C536" s="2">
        <v>44594</v>
      </c>
      <c r="D536" s="1" t="s">
        <v>14</v>
      </c>
      <c r="E536" s="1" t="s">
        <v>18</v>
      </c>
      <c r="F536" s="1" t="s">
        <v>19</v>
      </c>
      <c r="G536" s="1">
        <v>4233.68</v>
      </c>
      <c r="H536" s="1" t="s">
        <v>288</v>
      </c>
      <c r="I536" s="2">
        <v>29810</v>
      </c>
      <c r="J536" s="2">
        <v>44595</v>
      </c>
      <c r="K536" s="1">
        <v>28.97</v>
      </c>
      <c r="L536" s="4">
        <f>G536*K536%</f>
        <v>1226.4970960000001</v>
      </c>
      <c r="M536" s="4">
        <f>G536-L536</f>
        <v>3007.1829040000002</v>
      </c>
    </row>
    <row r="537" spans="2:13" x14ac:dyDescent="0.3">
      <c r="B537" s="1">
        <v>1854</v>
      </c>
      <c r="C537" s="2">
        <v>44775</v>
      </c>
      <c r="D537" s="1" t="s">
        <v>14</v>
      </c>
      <c r="E537" s="1" t="s">
        <v>102</v>
      </c>
      <c r="F537" s="1" t="s">
        <v>12</v>
      </c>
      <c r="G537" s="1">
        <v>1515.6</v>
      </c>
      <c r="H537" s="1" t="s">
        <v>288</v>
      </c>
      <c r="I537" s="2">
        <v>29810</v>
      </c>
      <c r="J537" s="2">
        <v>44776</v>
      </c>
      <c r="K537" s="1">
        <v>41.79</v>
      </c>
      <c r="L537" s="4">
        <f>G537*K537%</f>
        <v>633.36923999999999</v>
      </c>
      <c r="M537" s="4">
        <f>G537-L537</f>
        <v>882.23075999999992</v>
      </c>
    </row>
    <row r="538" spans="2:13" x14ac:dyDescent="0.3">
      <c r="B538" s="1">
        <v>1046</v>
      </c>
      <c r="C538" s="2">
        <v>45878</v>
      </c>
      <c r="D538" s="1" t="s">
        <v>14</v>
      </c>
      <c r="E538" s="1" t="s">
        <v>55</v>
      </c>
      <c r="F538" s="1" t="s">
        <v>31</v>
      </c>
      <c r="G538" s="1">
        <v>4425.8100000000004</v>
      </c>
      <c r="H538" s="1" t="s">
        <v>86</v>
      </c>
      <c r="I538" s="2">
        <v>37858</v>
      </c>
      <c r="J538" s="2">
        <v>45886</v>
      </c>
      <c r="K538" s="1">
        <v>25.08</v>
      </c>
      <c r="L538" s="4">
        <f>G538*K538%</f>
        <v>1109.993148</v>
      </c>
      <c r="M538" s="4">
        <f>G538-L538</f>
        <v>3315.8168520000004</v>
      </c>
    </row>
    <row r="539" spans="2:13" x14ac:dyDescent="0.3">
      <c r="B539" s="1">
        <v>1004</v>
      </c>
      <c r="C539" s="2">
        <v>44906</v>
      </c>
      <c r="D539" s="1" t="s">
        <v>14</v>
      </c>
      <c r="E539" s="1" t="s">
        <v>24</v>
      </c>
      <c r="F539" s="1" t="s">
        <v>19</v>
      </c>
      <c r="G539" s="1">
        <v>3730.38</v>
      </c>
      <c r="H539" s="1" t="s">
        <v>25</v>
      </c>
      <c r="I539" s="2">
        <v>33386</v>
      </c>
      <c r="J539" s="2">
        <v>44915</v>
      </c>
      <c r="K539" s="1">
        <v>39.65</v>
      </c>
      <c r="L539" s="4">
        <f>G539*K539%</f>
        <v>1479.0956699999999</v>
      </c>
      <c r="M539" s="4">
        <f>G539-L539</f>
        <v>2251.2843300000004</v>
      </c>
    </row>
    <row r="540" spans="2:13" x14ac:dyDescent="0.3">
      <c r="B540" s="1">
        <v>1116</v>
      </c>
      <c r="C540" s="2">
        <v>45044</v>
      </c>
      <c r="D540" s="1" t="s">
        <v>14</v>
      </c>
      <c r="E540" s="1" t="s">
        <v>65</v>
      </c>
      <c r="F540" s="1" t="s">
        <v>19</v>
      </c>
      <c r="G540" s="1">
        <v>2449</v>
      </c>
      <c r="H540" s="1" t="s">
        <v>139</v>
      </c>
      <c r="I540" s="2">
        <v>29381</v>
      </c>
      <c r="J540" s="2">
        <v>45056</v>
      </c>
      <c r="K540" s="1">
        <v>22.98</v>
      </c>
      <c r="L540" s="4">
        <f>G540*K540%</f>
        <v>562.78020000000004</v>
      </c>
      <c r="M540" s="4">
        <f>G540-L540</f>
        <v>1886.2197999999999</v>
      </c>
    </row>
    <row r="541" spans="2:13" x14ac:dyDescent="0.3">
      <c r="B541" s="1">
        <v>1221</v>
      </c>
      <c r="C541" s="2">
        <v>45465</v>
      </c>
      <c r="D541" s="1" t="s">
        <v>14</v>
      </c>
      <c r="E541" s="1" t="s">
        <v>53</v>
      </c>
      <c r="F541" s="1" t="s">
        <v>28</v>
      </c>
      <c r="G541" s="1">
        <v>3130.27</v>
      </c>
      <c r="H541" s="1" t="s">
        <v>139</v>
      </c>
      <c r="I541" s="2">
        <v>29381</v>
      </c>
      <c r="J541" s="2">
        <v>45478</v>
      </c>
      <c r="K541" s="1">
        <v>44.53</v>
      </c>
      <c r="L541" s="4">
        <f>G541*K541%</f>
        <v>1393.9092310000001</v>
      </c>
      <c r="M541" s="4">
        <f>G541-L541</f>
        <v>1736.3607689999999</v>
      </c>
    </row>
    <row r="542" spans="2:13" x14ac:dyDescent="0.3">
      <c r="B542" s="1">
        <v>1727</v>
      </c>
      <c r="C542" s="2">
        <v>45086</v>
      </c>
      <c r="D542" s="1" t="s">
        <v>14</v>
      </c>
      <c r="E542" s="1" t="s">
        <v>18</v>
      </c>
      <c r="F542" s="1" t="s">
        <v>19</v>
      </c>
      <c r="G542" s="1">
        <v>3947.62</v>
      </c>
      <c r="H542" s="1" t="s">
        <v>150</v>
      </c>
      <c r="I542" s="2">
        <v>31231</v>
      </c>
      <c r="J542" s="2">
        <v>45090</v>
      </c>
      <c r="K542" s="1">
        <v>19.93</v>
      </c>
      <c r="L542" s="4">
        <f>G542*K542%</f>
        <v>786.76066600000001</v>
      </c>
      <c r="M542" s="4">
        <f>G542-L542</f>
        <v>3160.8593339999998</v>
      </c>
    </row>
    <row r="543" spans="2:13" x14ac:dyDescent="0.3">
      <c r="B543" s="1">
        <v>1131</v>
      </c>
      <c r="C543" s="2">
        <v>44404</v>
      </c>
      <c r="D543" s="1" t="s">
        <v>14</v>
      </c>
      <c r="E543" s="1" t="s">
        <v>102</v>
      </c>
      <c r="F543" s="1" t="s">
        <v>12</v>
      </c>
      <c r="G543" s="1">
        <v>1177.53</v>
      </c>
      <c r="H543" s="1" t="s">
        <v>150</v>
      </c>
      <c r="I543" s="2">
        <v>31231</v>
      </c>
      <c r="J543" s="2">
        <v>44418</v>
      </c>
      <c r="K543" s="1">
        <v>25.34</v>
      </c>
      <c r="L543" s="4">
        <f>G543*K543%</f>
        <v>298.38610199999999</v>
      </c>
      <c r="M543" s="4">
        <f>G543-L543</f>
        <v>879.14389800000004</v>
      </c>
    </row>
    <row r="544" spans="2:13" x14ac:dyDescent="0.3">
      <c r="B544" s="1">
        <v>1715</v>
      </c>
      <c r="C544" s="2">
        <v>45049</v>
      </c>
      <c r="D544" s="1" t="s">
        <v>14</v>
      </c>
      <c r="E544" s="1" t="s">
        <v>11</v>
      </c>
      <c r="F544" s="1" t="s">
        <v>12</v>
      </c>
      <c r="G544" s="1">
        <v>2679.23</v>
      </c>
      <c r="H544" s="1" t="s">
        <v>113</v>
      </c>
      <c r="I544" s="2">
        <v>25579</v>
      </c>
      <c r="J544" s="2">
        <v>45059</v>
      </c>
      <c r="K544" s="1">
        <v>19.5</v>
      </c>
      <c r="L544" s="4">
        <f>G544*K544%</f>
        <v>522.44984999999997</v>
      </c>
      <c r="M544" s="4">
        <f>G544-L544</f>
        <v>2156.78015</v>
      </c>
    </row>
    <row r="545" spans="2:13" x14ac:dyDescent="0.3">
      <c r="B545" s="1">
        <v>1712</v>
      </c>
      <c r="C545" s="2">
        <v>44722</v>
      </c>
      <c r="D545" s="1" t="s">
        <v>14</v>
      </c>
      <c r="E545" s="1" t="s">
        <v>69</v>
      </c>
      <c r="F545" s="1" t="s">
        <v>31</v>
      </c>
      <c r="G545" s="1">
        <v>202.8</v>
      </c>
      <c r="H545" s="1" t="s">
        <v>311</v>
      </c>
      <c r="I545" s="2">
        <v>29242</v>
      </c>
      <c r="J545" s="2">
        <v>44728</v>
      </c>
      <c r="K545" s="1">
        <v>48.41</v>
      </c>
      <c r="L545" s="4">
        <f>G545*K545%</f>
        <v>98.175480000000007</v>
      </c>
      <c r="M545" s="4">
        <f>G545-L545</f>
        <v>104.62452</v>
      </c>
    </row>
    <row r="546" spans="2:13" x14ac:dyDescent="0.3">
      <c r="B546" s="1">
        <v>1002</v>
      </c>
      <c r="C546" s="2">
        <v>45090</v>
      </c>
      <c r="D546" s="1" t="s">
        <v>14</v>
      </c>
      <c r="E546" s="1" t="s">
        <v>18</v>
      </c>
      <c r="F546" s="1" t="s">
        <v>19</v>
      </c>
      <c r="G546" s="1">
        <v>4796.1499999999996</v>
      </c>
      <c r="H546" s="1" t="s">
        <v>20</v>
      </c>
      <c r="I546" s="2">
        <v>24232</v>
      </c>
      <c r="J546" s="2">
        <v>45100</v>
      </c>
      <c r="K546" s="1">
        <v>37.94</v>
      </c>
      <c r="L546" s="4">
        <f>G546*K546%</f>
        <v>1819.6593099999998</v>
      </c>
      <c r="M546" s="4">
        <f>G546-L546</f>
        <v>2976.4906899999996</v>
      </c>
    </row>
    <row r="547" spans="2:13" x14ac:dyDescent="0.3">
      <c r="B547" s="1">
        <v>1998</v>
      </c>
      <c r="C547" s="2">
        <v>45399</v>
      </c>
      <c r="D547" s="1" t="s">
        <v>14</v>
      </c>
      <c r="E547" s="1" t="s">
        <v>18</v>
      </c>
      <c r="F547" s="1" t="s">
        <v>19</v>
      </c>
      <c r="G547" s="1">
        <v>2405.3000000000002</v>
      </c>
      <c r="H547" s="1" t="s">
        <v>20</v>
      </c>
      <c r="I547" s="2">
        <v>24232</v>
      </c>
      <c r="J547" s="2">
        <v>45405</v>
      </c>
      <c r="K547" s="1">
        <v>14.82</v>
      </c>
      <c r="L547" s="4">
        <f>G547*K547%</f>
        <v>356.46546000000001</v>
      </c>
      <c r="M547" s="4">
        <f>G547-L547</f>
        <v>2048.8345400000003</v>
      </c>
    </row>
    <row r="548" spans="2:13" x14ac:dyDescent="0.3">
      <c r="B548" s="1">
        <v>1078</v>
      </c>
      <c r="C548" s="2">
        <v>44790</v>
      </c>
      <c r="D548" s="1" t="s">
        <v>14</v>
      </c>
      <c r="E548" s="1" t="s">
        <v>55</v>
      </c>
      <c r="F548" s="1" t="s">
        <v>31</v>
      </c>
      <c r="G548" s="1">
        <v>1059.23</v>
      </c>
      <c r="H548" s="1" t="s">
        <v>20</v>
      </c>
      <c r="I548" s="2">
        <v>24232</v>
      </c>
      <c r="J548" s="2">
        <v>44795</v>
      </c>
      <c r="K548" s="1">
        <v>37.99</v>
      </c>
      <c r="L548" s="4">
        <f>G548*K548%</f>
        <v>402.401477</v>
      </c>
      <c r="M548" s="4">
        <f>G548-L548</f>
        <v>656.82852300000002</v>
      </c>
    </row>
    <row r="549" spans="2:13" x14ac:dyDescent="0.3">
      <c r="B549" s="1">
        <v>1027</v>
      </c>
      <c r="C549" s="2">
        <v>45397</v>
      </c>
      <c r="D549" s="1" t="s">
        <v>14</v>
      </c>
      <c r="E549" s="1" t="s">
        <v>65</v>
      </c>
      <c r="F549" s="1" t="s">
        <v>19</v>
      </c>
      <c r="G549" s="1">
        <v>1759.25</v>
      </c>
      <c r="H549" s="1" t="s">
        <v>66</v>
      </c>
      <c r="I549" s="2">
        <v>33192</v>
      </c>
      <c r="J549" s="2">
        <v>45401</v>
      </c>
      <c r="K549" s="1">
        <v>5.46</v>
      </c>
      <c r="L549" s="4">
        <f>G549*K549%</f>
        <v>96.055050000000008</v>
      </c>
      <c r="M549" s="4">
        <f>G549-L549</f>
        <v>1663.1949500000001</v>
      </c>
    </row>
    <row r="550" spans="2:13" x14ac:dyDescent="0.3">
      <c r="B550" s="1">
        <v>1129</v>
      </c>
      <c r="C550" s="2">
        <v>45034</v>
      </c>
      <c r="D550" s="1" t="s">
        <v>14</v>
      </c>
      <c r="E550" s="1" t="s">
        <v>69</v>
      </c>
      <c r="F550" s="1" t="s">
        <v>31</v>
      </c>
      <c r="G550" s="1">
        <v>585.54999999999995</v>
      </c>
      <c r="H550" s="1" t="s">
        <v>54</v>
      </c>
      <c r="I550" s="2">
        <v>31082</v>
      </c>
      <c r="J550" s="2">
        <v>45038</v>
      </c>
      <c r="K550" s="1">
        <v>49.91</v>
      </c>
      <c r="L550" s="4">
        <f>G550*K550%</f>
        <v>292.24800499999998</v>
      </c>
      <c r="M550" s="4">
        <f>G550-L550</f>
        <v>293.30199499999998</v>
      </c>
    </row>
    <row r="551" spans="2:13" x14ac:dyDescent="0.3">
      <c r="B551" s="1">
        <v>1702</v>
      </c>
      <c r="C551" s="2">
        <v>44907</v>
      </c>
      <c r="D551" s="1" t="s">
        <v>14</v>
      </c>
      <c r="E551" s="1" t="s">
        <v>61</v>
      </c>
      <c r="F551" s="1" t="s">
        <v>19</v>
      </c>
      <c r="G551" s="1">
        <v>1928.08</v>
      </c>
      <c r="H551" s="1" t="s">
        <v>13</v>
      </c>
      <c r="I551" s="2">
        <v>24348</v>
      </c>
      <c r="J551" s="2">
        <v>44908</v>
      </c>
      <c r="K551" s="1">
        <v>2.2200000000000002</v>
      </c>
      <c r="L551" s="4">
        <f>G551*K551%</f>
        <v>42.803376</v>
      </c>
      <c r="M551" s="4">
        <f>G551-L551</f>
        <v>1885.2766239999999</v>
      </c>
    </row>
    <row r="552" spans="2:13" x14ac:dyDescent="0.3">
      <c r="B552" s="1">
        <v>1755</v>
      </c>
      <c r="C552" s="2">
        <v>45562</v>
      </c>
      <c r="D552" s="1" t="s">
        <v>14</v>
      </c>
      <c r="E552" s="1" t="s">
        <v>69</v>
      </c>
      <c r="F552" s="1" t="s">
        <v>12</v>
      </c>
      <c r="G552" s="1">
        <v>3026.11</v>
      </c>
      <c r="H552" s="1" t="s">
        <v>318</v>
      </c>
      <c r="I552" s="2">
        <v>29040</v>
      </c>
      <c r="J552" s="2">
        <v>45567</v>
      </c>
      <c r="K552" s="1">
        <v>16.989999999999998</v>
      </c>
      <c r="L552" s="4">
        <f>G552*K552%</f>
        <v>514.13608899999997</v>
      </c>
      <c r="M552" s="4">
        <f>G552-L552</f>
        <v>2511.973911</v>
      </c>
    </row>
    <row r="553" spans="2:13" x14ac:dyDescent="0.3">
      <c r="B553" s="1">
        <v>1479</v>
      </c>
      <c r="C553" s="2">
        <v>45434</v>
      </c>
      <c r="D553" s="1" t="s">
        <v>14</v>
      </c>
      <c r="E553" s="1" t="s">
        <v>30</v>
      </c>
      <c r="F553" s="1" t="s">
        <v>31</v>
      </c>
      <c r="G553" s="1">
        <v>1196.3599999999999</v>
      </c>
      <c r="H553" s="1" t="s">
        <v>179</v>
      </c>
      <c r="I553" s="2">
        <v>30356</v>
      </c>
      <c r="J553" s="2">
        <v>45447</v>
      </c>
      <c r="K553" s="1">
        <v>23.7</v>
      </c>
      <c r="L553" s="4">
        <f>G553*K553%</f>
        <v>283.53731999999997</v>
      </c>
      <c r="M553" s="4">
        <f>G553-L553</f>
        <v>912.82267999999999</v>
      </c>
    </row>
    <row r="554" spans="2:13" x14ac:dyDescent="0.3">
      <c r="B554" s="1">
        <v>1894</v>
      </c>
      <c r="C554" s="2">
        <v>45044</v>
      </c>
      <c r="D554" s="1" t="s">
        <v>14</v>
      </c>
      <c r="E554" s="1" t="s">
        <v>47</v>
      </c>
      <c r="F554" s="1" t="s">
        <v>12</v>
      </c>
      <c r="G554" s="1">
        <v>1348.53</v>
      </c>
      <c r="H554" s="1" t="s">
        <v>127</v>
      </c>
      <c r="I554" s="2">
        <v>31846</v>
      </c>
      <c r="J554" s="2">
        <v>45058</v>
      </c>
      <c r="K554" s="1">
        <v>37.67</v>
      </c>
      <c r="L554" s="4">
        <f>G554*K554%</f>
        <v>507.99125100000003</v>
      </c>
      <c r="M554" s="4">
        <f>G554-L554</f>
        <v>840.53874899999994</v>
      </c>
    </row>
    <row r="555" spans="2:13" x14ac:dyDescent="0.3">
      <c r="B555" s="1">
        <v>1194</v>
      </c>
      <c r="C555" s="2">
        <v>45746</v>
      </c>
      <c r="D555" s="1" t="s">
        <v>14</v>
      </c>
      <c r="E555" s="1" t="s">
        <v>65</v>
      </c>
      <c r="F555" s="1" t="s">
        <v>19</v>
      </c>
      <c r="G555" s="1">
        <v>4434.63</v>
      </c>
      <c r="H555" s="1" t="s">
        <v>191</v>
      </c>
      <c r="I555" s="2">
        <v>37495</v>
      </c>
      <c r="J555" s="2">
        <v>45750</v>
      </c>
      <c r="K555" s="1">
        <v>35.770000000000003</v>
      </c>
      <c r="L555" s="4">
        <f>G555*K555%</f>
        <v>1586.267151</v>
      </c>
      <c r="M555" s="4">
        <f>G555-L555</f>
        <v>2848.3628490000001</v>
      </c>
    </row>
    <row r="556" spans="2:13" x14ac:dyDescent="0.3">
      <c r="B556" s="1">
        <v>1888</v>
      </c>
      <c r="C556" s="2">
        <v>45855</v>
      </c>
      <c r="D556" s="1" t="s">
        <v>14</v>
      </c>
      <c r="E556" s="1" t="s">
        <v>36</v>
      </c>
      <c r="F556" s="1" t="s">
        <v>28</v>
      </c>
      <c r="G556" s="1">
        <v>2568.29</v>
      </c>
      <c r="H556" s="1" t="s">
        <v>92</v>
      </c>
      <c r="I556" s="2">
        <v>24544</v>
      </c>
      <c r="J556" s="2">
        <v>45856</v>
      </c>
      <c r="K556" s="1">
        <v>45.28</v>
      </c>
      <c r="L556" s="4">
        <f>G556*K556%</f>
        <v>1162.9217120000001</v>
      </c>
      <c r="M556" s="4">
        <f>G556-L556</f>
        <v>1405.3682879999999</v>
      </c>
    </row>
    <row r="557" spans="2:13" x14ac:dyDescent="0.3">
      <c r="B557" s="1">
        <v>1836</v>
      </c>
      <c r="C557" s="2">
        <v>44353</v>
      </c>
      <c r="D557" s="1" t="s">
        <v>14</v>
      </c>
      <c r="E557" s="1" t="s">
        <v>18</v>
      </c>
      <c r="F557" s="1" t="s">
        <v>19</v>
      </c>
      <c r="G557" s="1">
        <v>1358.61</v>
      </c>
      <c r="H557" s="1" t="s">
        <v>92</v>
      </c>
      <c r="I557" s="2">
        <v>24544</v>
      </c>
      <c r="J557" s="2">
        <v>44355</v>
      </c>
      <c r="K557" s="1">
        <v>34.119999999999997</v>
      </c>
      <c r="L557" s="4">
        <f>G557*K557%</f>
        <v>463.55773199999987</v>
      </c>
      <c r="M557" s="4">
        <f>G557-L557</f>
        <v>895.05226800000003</v>
      </c>
    </row>
    <row r="558" spans="2:13" x14ac:dyDescent="0.3">
      <c r="B558" s="1">
        <v>1905</v>
      </c>
      <c r="C558" s="2">
        <v>44945</v>
      </c>
      <c r="D558" s="1" t="s">
        <v>14</v>
      </c>
      <c r="E558" s="1" t="s">
        <v>53</v>
      </c>
      <c r="F558" s="1" t="s">
        <v>28</v>
      </c>
      <c r="G558" s="1">
        <v>4965.43</v>
      </c>
      <c r="H558" s="1" t="s">
        <v>324</v>
      </c>
      <c r="I558" s="2">
        <v>28747</v>
      </c>
      <c r="J558" s="2">
        <v>44956</v>
      </c>
      <c r="K558" s="1">
        <v>23.85</v>
      </c>
      <c r="L558" s="4">
        <f>G558*K558%</f>
        <v>1184.2550550000001</v>
      </c>
      <c r="M558" s="4">
        <f>G558-L558</f>
        <v>3781.1749450000002</v>
      </c>
    </row>
    <row r="559" spans="2:13" x14ac:dyDescent="0.3">
      <c r="B559" s="1">
        <v>1340</v>
      </c>
      <c r="C559" s="2">
        <v>44612</v>
      </c>
      <c r="D559" s="1" t="s">
        <v>14</v>
      </c>
      <c r="E559" s="1" t="s">
        <v>33</v>
      </c>
      <c r="F559" s="1" t="s">
        <v>16</v>
      </c>
      <c r="G559" s="1">
        <v>3840.17</v>
      </c>
      <c r="H559" s="1" t="s">
        <v>245</v>
      </c>
      <c r="I559" s="2">
        <v>32205</v>
      </c>
      <c r="J559" s="2">
        <v>44622</v>
      </c>
      <c r="K559" s="1">
        <v>29.9</v>
      </c>
      <c r="L559" s="4">
        <f>G559*K559%</f>
        <v>1148.21083</v>
      </c>
      <c r="M559" s="4">
        <f>G559-L559</f>
        <v>2691.9591700000001</v>
      </c>
    </row>
    <row r="560" spans="2:13" x14ac:dyDescent="0.3">
      <c r="B560" s="1">
        <v>1772</v>
      </c>
      <c r="C560" s="2">
        <v>44233</v>
      </c>
      <c r="D560" s="1" t="s">
        <v>14</v>
      </c>
      <c r="E560" s="1" t="s">
        <v>15</v>
      </c>
      <c r="F560" s="1" t="s">
        <v>16</v>
      </c>
      <c r="G560" s="1">
        <v>390.05</v>
      </c>
      <c r="H560" s="1" t="s">
        <v>79</v>
      </c>
      <c r="I560" s="2">
        <v>28675</v>
      </c>
      <c r="J560" s="2">
        <v>44235</v>
      </c>
      <c r="K560" s="1">
        <v>34.19</v>
      </c>
      <c r="L560" s="4">
        <f>G560*K560%</f>
        <v>133.35809499999999</v>
      </c>
      <c r="M560" s="4">
        <f>G560-L560</f>
        <v>256.69190500000002</v>
      </c>
    </row>
    <row r="561" spans="2:13" x14ac:dyDescent="0.3">
      <c r="B561" s="1">
        <v>1368</v>
      </c>
      <c r="C561" s="2">
        <v>44920</v>
      </c>
      <c r="D561" s="1" t="s">
        <v>14</v>
      </c>
      <c r="E561" s="1" t="s">
        <v>18</v>
      </c>
      <c r="F561" s="1" t="s">
        <v>19</v>
      </c>
      <c r="G561" s="1">
        <v>631.92999999999995</v>
      </c>
      <c r="H561" s="1" t="s">
        <v>251</v>
      </c>
      <c r="I561" s="2">
        <v>25440</v>
      </c>
      <c r="J561" s="2">
        <v>44932</v>
      </c>
      <c r="K561" s="1">
        <v>11.71</v>
      </c>
      <c r="L561" s="4">
        <f>G561*K561%</f>
        <v>73.999003000000002</v>
      </c>
      <c r="M561" s="4">
        <f>G561-L561</f>
        <v>557.93099699999993</v>
      </c>
    </row>
    <row r="562" spans="2:13" x14ac:dyDescent="0.3">
      <c r="B562" s="1">
        <v>1457</v>
      </c>
      <c r="C562" s="2">
        <v>44901</v>
      </c>
      <c r="D562" s="1" t="s">
        <v>14</v>
      </c>
      <c r="E562" s="1" t="s">
        <v>49</v>
      </c>
      <c r="F562" s="1" t="s">
        <v>12</v>
      </c>
      <c r="G562" s="1">
        <v>4913.41</v>
      </c>
      <c r="H562" s="1" t="s">
        <v>70</v>
      </c>
      <c r="I562" s="2">
        <v>30887</v>
      </c>
      <c r="J562" s="2">
        <v>44903</v>
      </c>
      <c r="K562" s="1">
        <v>20.73</v>
      </c>
      <c r="L562" s="4">
        <f>G562*K562%</f>
        <v>1018.549893</v>
      </c>
      <c r="M562" s="4">
        <f>G562-L562</f>
        <v>3894.860107</v>
      </c>
    </row>
    <row r="563" spans="2:13" x14ac:dyDescent="0.3">
      <c r="B563" s="1">
        <v>1939</v>
      </c>
      <c r="C563" s="2">
        <v>44974</v>
      </c>
      <c r="D563" s="1" t="s">
        <v>14</v>
      </c>
      <c r="E563" s="1" t="s">
        <v>61</v>
      </c>
      <c r="F563" s="1" t="s">
        <v>19</v>
      </c>
      <c r="G563" s="1">
        <v>4649.03</v>
      </c>
      <c r="H563" s="1" t="s">
        <v>70</v>
      </c>
      <c r="I563" s="2">
        <v>30887</v>
      </c>
      <c r="J563" s="2">
        <v>44983</v>
      </c>
      <c r="K563" s="1">
        <v>18.34</v>
      </c>
      <c r="L563" s="4">
        <f>G563*K563%</f>
        <v>852.63210200000003</v>
      </c>
      <c r="M563" s="4">
        <f>G563-L563</f>
        <v>3796.3978979999997</v>
      </c>
    </row>
    <row r="564" spans="2:13" x14ac:dyDescent="0.3">
      <c r="B564" s="1">
        <v>1887</v>
      </c>
      <c r="C564" s="2">
        <v>44535</v>
      </c>
      <c r="D564" s="1" t="s">
        <v>14</v>
      </c>
      <c r="E564" s="1" t="s">
        <v>33</v>
      </c>
      <c r="F564" s="1" t="s">
        <v>16</v>
      </c>
      <c r="G564" s="1">
        <v>3116.12</v>
      </c>
      <c r="H564" s="1" t="s">
        <v>105</v>
      </c>
      <c r="I564" s="2">
        <v>35889</v>
      </c>
      <c r="J564" s="2">
        <v>44548</v>
      </c>
      <c r="K564" s="1">
        <v>2.15</v>
      </c>
      <c r="L564" s="4">
        <f>G564*K564%</f>
        <v>66.996579999999994</v>
      </c>
      <c r="M564" s="4">
        <f>G564-L564</f>
        <v>3049.1234199999999</v>
      </c>
    </row>
    <row r="565" spans="2:13" x14ac:dyDescent="0.3">
      <c r="B565" s="1">
        <v>1329</v>
      </c>
      <c r="C565" s="2">
        <v>44234</v>
      </c>
      <c r="D565" s="1" t="s">
        <v>14</v>
      </c>
      <c r="E565" s="1" t="s">
        <v>69</v>
      </c>
      <c r="F565" s="1" t="s">
        <v>12</v>
      </c>
      <c r="G565" s="1">
        <v>2244.02</v>
      </c>
      <c r="H565" s="1" t="s">
        <v>105</v>
      </c>
      <c r="I565" s="2">
        <v>35889</v>
      </c>
      <c r="J565" s="2">
        <v>44237</v>
      </c>
      <c r="K565" s="1">
        <v>47.16</v>
      </c>
      <c r="L565" s="4">
        <f>G565*K565%</f>
        <v>1058.2798319999999</v>
      </c>
      <c r="M565" s="4">
        <f>G565-L565</f>
        <v>1185.740168</v>
      </c>
    </row>
    <row r="566" spans="2:13" x14ac:dyDescent="0.3">
      <c r="B566" s="1">
        <v>1067</v>
      </c>
      <c r="C566" s="2">
        <v>44633</v>
      </c>
      <c r="D566" s="1" t="s">
        <v>14</v>
      </c>
      <c r="E566" s="1" t="s">
        <v>61</v>
      </c>
      <c r="F566" s="1" t="s">
        <v>19</v>
      </c>
      <c r="G566" s="1">
        <v>1227.01</v>
      </c>
      <c r="H566" s="1" t="s">
        <v>105</v>
      </c>
      <c r="I566" s="2">
        <v>35889</v>
      </c>
      <c r="J566" s="2">
        <v>44635</v>
      </c>
      <c r="K566" s="1">
        <v>10.28</v>
      </c>
      <c r="L566" s="4">
        <f>G566*K566%</f>
        <v>126.13662799999999</v>
      </c>
      <c r="M566" s="4">
        <f>G566-L566</f>
        <v>1100.873372</v>
      </c>
    </row>
    <row r="567" spans="2:13" x14ac:dyDescent="0.3">
      <c r="B567" s="1">
        <v>1738</v>
      </c>
      <c r="C567" s="2">
        <v>45705</v>
      </c>
      <c r="D567" s="1" t="s">
        <v>14</v>
      </c>
      <c r="E567" s="1" t="s">
        <v>24</v>
      </c>
      <c r="F567" s="1" t="s">
        <v>19</v>
      </c>
      <c r="G567" s="1">
        <v>1103.3499999999999</v>
      </c>
      <c r="H567" s="1" t="s">
        <v>105</v>
      </c>
      <c r="I567" s="2">
        <v>35889</v>
      </c>
      <c r="J567" s="2">
        <v>45716</v>
      </c>
      <c r="K567" s="1">
        <v>37.68</v>
      </c>
      <c r="L567" s="4">
        <f>G567*K567%</f>
        <v>415.74227999999999</v>
      </c>
      <c r="M567" s="4">
        <f>G567-L567</f>
        <v>687.60771999999997</v>
      </c>
    </row>
    <row r="568" spans="2:13" x14ac:dyDescent="0.3">
      <c r="B568" s="1">
        <v>1948</v>
      </c>
      <c r="C568" s="2">
        <v>45669</v>
      </c>
      <c r="D568" s="1" t="s">
        <v>14</v>
      </c>
      <c r="E568" s="1" t="s">
        <v>65</v>
      </c>
      <c r="F568" s="1" t="s">
        <v>19</v>
      </c>
      <c r="G568" s="1">
        <v>3714.34</v>
      </c>
      <c r="H568" s="1" t="s">
        <v>78</v>
      </c>
      <c r="I568" s="2">
        <v>25099</v>
      </c>
      <c r="J568" s="2">
        <v>45670</v>
      </c>
      <c r="K568" s="1">
        <v>47.5</v>
      </c>
      <c r="L568" s="4">
        <f>G568*K568%</f>
        <v>1764.3115</v>
      </c>
      <c r="M568" s="4">
        <f>G568-L568</f>
        <v>1950.0285000000001</v>
      </c>
    </row>
    <row r="569" spans="2:13" x14ac:dyDescent="0.3">
      <c r="B569" s="1">
        <v>1090</v>
      </c>
      <c r="C569" s="2">
        <v>45589</v>
      </c>
      <c r="D569" s="1" t="s">
        <v>14</v>
      </c>
      <c r="E569" s="1" t="s">
        <v>71</v>
      </c>
      <c r="F569" s="1" t="s">
        <v>31</v>
      </c>
      <c r="G569" s="1">
        <v>4552.96</v>
      </c>
      <c r="H569" s="1" t="s">
        <v>122</v>
      </c>
      <c r="I569" s="2">
        <v>29720</v>
      </c>
      <c r="J569" s="2">
        <v>45598</v>
      </c>
      <c r="K569" s="1">
        <v>45.91</v>
      </c>
      <c r="L569" s="4">
        <f>G569*K569%</f>
        <v>2090.2639359999998</v>
      </c>
      <c r="M569" s="4">
        <f>G569-L569</f>
        <v>2462.6960640000002</v>
      </c>
    </row>
    <row r="570" spans="2:13" x14ac:dyDescent="0.3">
      <c r="B570" s="1">
        <v>1249</v>
      </c>
      <c r="C570" s="2">
        <v>45218</v>
      </c>
      <c r="D570" s="1" t="s">
        <v>14</v>
      </c>
      <c r="E570" s="1" t="s">
        <v>73</v>
      </c>
      <c r="F570" s="1" t="s">
        <v>28</v>
      </c>
      <c r="G570" s="1">
        <v>1780.78</v>
      </c>
      <c r="H570" s="1" t="s">
        <v>217</v>
      </c>
      <c r="I570" s="2">
        <v>36951</v>
      </c>
      <c r="J570" s="2">
        <v>45232</v>
      </c>
      <c r="K570" s="1">
        <v>43.61</v>
      </c>
      <c r="L570" s="4">
        <f>G570*K570%</f>
        <v>776.59815800000001</v>
      </c>
      <c r="M570" s="4">
        <f>G570-L570</f>
        <v>1004.181842</v>
      </c>
    </row>
    <row r="571" spans="2:13" x14ac:dyDescent="0.3">
      <c r="B571" s="1">
        <v>1919</v>
      </c>
      <c r="C571" s="2">
        <v>44270</v>
      </c>
      <c r="D571" s="1" t="s">
        <v>14</v>
      </c>
      <c r="E571" s="1" t="s">
        <v>22</v>
      </c>
      <c r="F571" s="1" t="s">
        <v>19</v>
      </c>
      <c r="G571" s="1">
        <v>651.54</v>
      </c>
      <c r="H571" s="1" t="s">
        <v>217</v>
      </c>
      <c r="I571" s="2">
        <v>36951</v>
      </c>
      <c r="J571" s="2">
        <v>44273</v>
      </c>
      <c r="K571" s="1">
        <v>13.56</v>
      </c>
      <c r="L571" s="4">
        <f>G571*K571%</f>
        <v>88.348823999999993</v>
      </c>
      <c r="M571" s="4">
        <f>G571-L571</f>
        <v>563.19117599999993</v>
      </c>
    </row>
    <row r="572" spans="2:13" x14ac:dyDescent="0.3">
      <c r="B572" s="1">
        <v>1531</v>
      </c>
      <c r="C572" s="2">
        <v>45495</v>
      </c>
      <c r="D572" s="1" t="s">
        <v>14</v>
      </c>
      <c r="E572" s="1" t="s">
        <v>36</v>
      </c>
      <c r="F572" s="1" t="s">
        <v>28</v>
      </c>
      <c r="G572" s="1">
        <v>1451.33</v>
      </c>
      <c r="H572" s="1" t="s">
        <v>149</v>
      </c>
      <c r="I572" s="2">
        <v>26155</v>
      </c>
      <c r="J572" s="2">
        <v>45498</v>
      </c>
      <c r="K572" s="1">
        <v>13.34</v>
      </c>
      <c r="L572" s="4">
        <f>G572*K572%</f>
        <v>193.60742199999999</v>
      </c>
      <c r="M572" s="4">
        <f>G572-L572</f>
        <v>1257.7225779999999</v>
      </c>
    </row>
    <row r="573" spans="2:13" x14ac:dyDescent="0.3">
      <c r="B573" s="1">
        <v>1664</v>
      </c>
      <c r="C573" s="2">
        <v>45789</v>
      </c>
      <c r="D573" s="1" t="s">
        <v>14</v>
      </c>
      <c r="E573" s="1" t="s">
        <v>27</v>
      </c>
      <c r="F573" s="1" t="s">
        <v>28</v>
      </c>
      <c r="G573" s="1">
        <v>209.13</v>
      </c>
      <c r="H573" s="1" t="s">
        <v>149</v>
      </c>
      <c r="I573" s="2">
        <v>26155</v>
      </c>
      <c r="J573" s="2">
        <v>45793</v>
      </c>
      <c r="K573" s="1">
        <v>19.75</v>
      </c>
      <c r="L573" s="4">
        <f>G573*K573%</f>
        <v>41.303175000000003</v>
      </c>
      <c r="M573" s="4">
        <f>G573-L573</f>
        <v>167.82682499999999</v>
      </c>
    </row>
    <row r="574" spans="2:13" x14ac:dyDescent="0.3">
      <c r="B574" s="1">
        <v>1313</v>
      </c>
      <c r="C574" s="2">
        <v>45745</v>
      </c>
      <c r="D574" s="1" t="s">
        <v>14</v>
      </c>
      <c r="E574" s="1" t="s">
        <v>15</v>
      </c>
      <c r="F574" s="1" t="s">
        <v>16</v>
      </c>
      <c r="G574" s="1">
        <v>725.6</v>
      </c>
      <c r="H574" s="1" t="s">
        <v>240</v>
      </c>
      <c r="I574" s="2">
        <v>38478</v>
      </c>
      <c r="J574" s="2">
        <v>45758</v>
      </c>
      <c r="K574" s="1">
        <v>6.26</v>
      </c>
      <c r="L574" s="4">
        <f>G574*K574%</f>
        <v>45.422560000000004</v>
      </c>
      <c r="M574" s="4">
        <f>G574-L574</f>
        <v>680.17744000000005</v>
      </c>
    </row>
    <row r="575" spans="2:13" x14ac:dyDescent="0.3">
      <c r="B575" s="1">
        <v>1710</v>
      </c>
      <c r="C575" s="2">
        <v>44386</v>
      </c>
      <c r="D575" s="1" t="s">
        <v>14</v>
      </c>
      <c r="E575" s="1" t="s">
        <v>36</v>
      </c>
      <c r="F575" s="1" t="s">
        <v>28</v>
      </c>
      <c r="G575" s="1">
        <v>4680.0200000000004</v>
      </c>
      <c r="H575" s="1" t="s">
        <v>230</v>
      </c>
      <c r="I575" s="2">
        <v>35642</v>
      </c>
      <c r="J575" s="2">
        <v>44400</v>
      </c>
      <c r="K575" s="1">
        <v>13.82</v>
      </c>
      <c r="L575" s="4">
        <f>G575*K575%</f>
        <v>646.77876400000002</v>
      </c>
      <c r="M575" s="4">
        <f>G575-L575</f>
        <v>4033.2412360000003</v>
      </c>
    </row>
    <row r="576" spans="2:13" x14ac:dyDescent="0.3">
      <c r="B576" s="1">
        <v>1769</v>
      </c>
      <c r="C576" s="2">
        <v>45072</v>
      </c>
      <c r="D576" s="1" t="s">
        <v>14</v>
      </c>
      <c r="E576" s="1" t="s">
        <v>36</v>
      </c>
      <c r="F576" s="1" t="s">
        <v>28</v>
      </c>
      <c r="G576" s="1">
        <v>2238.04</v>
      </c>
      <c r="H576" s="1" t="s">
        <v>230</v>
      </c>
      <c r="I576" s="2">
        <v>35642</v>
      </c>
      <c r="J576" s="2">
        <v>45086</v>
      </c>
      <c r="K576" s="1">
        <v>11.51</v>
      </c>
      <c r="L576" s="4">
        <f>G576*K576%</f>
        <v>257.59840399999996</v>
      </c>
      <c r="M576" s="4">
        <f>G576-L576</f>
        <v>1980.4415960000001</v>
      </c>
    </row>
    <row r="577" spans="2:13" x14ac:dyDescent="0.3">
      <c r="B577" s="1">
        <v>1781</v>
      </c>
      <c r="C577" s="2">
        <v>44278</v>
      </c>
      <c r="D577" s="1" t="s">
        <v>14</v>
      </c>
      <c r="E577" s="1" t="s">
        <v>33</v>
      </c>
      <c r="F577" s="1" t="s">
        <v>16</v>
      </c>
      <c r="G577" s="1">
        <v>3877.12</v>
      </c>
      <c r="H577" s="1" t="s">
        <v>185</v>
      </c>
      <c r="I577" s="2">
        <v>36384</v>
      </c>
      <c r="J577" s="2">
        <v>44282</v>
      </c>
      <c r="K577" s="1">
        <v>2.7</v>
      </c>
      <c r="L577" s="4">
        <f>G577*K577%</f>
        <v>104.68224000000001</v>
      </c>
      <c r="M577" s="4">
        <f>G577-L577</f>
        <v>3772.4377599999998</v>
      </c>
    </row>
    <row r="578" spans="2:13" x14ac:dyDescent="0.3">
      <c r="B578" s="1">
        <v>1995</v>
      </c>
      <c r="C578" s="2">
        <v>44137</v>
      </c>
      <c r="D578" s="1" t="s">
        <v>14</v>
      </c>
      <c r="E578" s="1" t="s">
        <v>38</v>
      </c>
      <c r="F578" s="1" t="s">
        <v>28</v>
      </c>
      <c r="G578" s="1">
        <v>2082.8000000000002</v>
      </c>
      <c r="H578" s="1" t="s">
        <v>75</v>
      </c>
      <c r="I578" s="2">
        <v>25853</v>
      </c>
      <c r="J578" s="2">
        <v>44146</v>
      </c>
      <c r="K578" s="1">
        <v>30.49</v>
      </c>
      <c r="L578" s="4">
        <f>G578*K578%</f>
        <v>635.04572000000007</v>
      </c>
      <c r="M578" s="4">
        <f>G578-L578</f>
        <v>1447.7542800000001</v>
      </c>
    </row>
    <row r="579" spans="2:13" x14ac:dyDescent="0.3">
      <c r="B579" s="1">
        <v>1217</v>
      </c>
      <c r="C579" s="2">
        <v>44521</v>
      </c>
      <c r="D579" s="1" t="s">
        <v>14</v>
      </c>
      <c r="E579" s="1" t="s">
        <v>73</v>
      </c>
      <c r="F579" s="1" t="s">
        <v>28</v>
      </c>
      <c r="G579" s="1">
        <v>2237.83</v>
      </c>
      <c r="H579" s="1" t="s">
        <v>137</v>
      </c>
      <c r="I579" s="2">
        <v>36905</v>
      </c>
      <c r="J579" s="2">
        <v>44524</v>
      </c>
      <c r="K579" s="1">
        <v>4.8600000000000003</v>
      </c>
      <c r="L579" s="4">
        <f>G579*K579%</f>
        <v>108.758538</v>
      </c>
      <c r="M579" s="4">
        <f>G579-L579</f>
        <v>2129.0714619999999</v>
      </c>
    </row>
    <row r="580" spans="2:13" x14ac:dyDescent="0.3">
      <c r="B580" s="1">
        <v>1113</v>
      </c>
      <c r="C580" s="2">
        <v>44853</v>
      </c>
      <c r="D580" s="1" t="s">
        <v>14</v>
      </c>
      <c r="E580" s="1" t="s">
        <v>33</v>
      </c>
      <c r="F580" s="1" t="s">
        <v>16</v>
      </c>
      <c r="G580" s="1">
        <v>3348.99</v>
      </c>
      <c r="H580" s="1" t="s">
        <v>137</v>
      </c>
      <c r="I580" s="2">
        <v>36905</v>
      </c>
      <c r="J580" s="2">
        <v>44857</v>
      </c>
      <c r="K580" s="1">
        <v>40.46</v>
      </c>
      <c r="L580" s="4">
        <f>G580*K580%</f>
        <v>1355.001354</v>
      </c>
      <c r="M580" s="4">
        <f>G580-L580</f>
        <v>1993.9886459999998</v>
      </c>
    </row>
    <row r="581" spans="2:13" x14ac:dyDescent="0.3">
      <c r="B581" s="1">
        <v>1703</v>
      </c>
      <c r="C581" s="2">
        <v>44329</v>
      </c>
      <c r="D581" s="1" t="s">
        <v>14</v>
      </c>
      <c r="E581" s="1" t="s">
        <v>55</v>
      </c>
      <c r="F581" s="1" t="s">
        <v>31</v>
      </c>
      <c r="G581" s="1">
        <v>710.4</v>
      </c>
      <c r="H581" s="1" t="s">
        <v>137</v>
      </c>
      <c r="I581" s="2">
        <v>36905</v>
      </c>
      <c r="J581" s="2">
        <v>44333</v>
      </c>
      <c r="K581" s="1">
        <v>6.09</v>
      </c>
      <c r="L581" s="4">
        <f>G581*K581%</f>
        <v>43.263359999999999</v>
      </c>
      <c r="M581" s="4">
        <f>G581-L581</f>
        <v>667.13663999999994</v>
      </c>
    </row>
    <row r="582" spans="2:13" x14ac:dyDescent="0.3">
      <c r="B582" s="1">
        <v>1709</v>
      </c>
      <c r="C582" s="2">
        <v>45795</v>
      </c>
      <c r="D582" s="1" t="s">
        <v>14</v>
      </c>
      <c r="E582" s="1" t="s">
        <v>71</v>
      </c>
      <c r="F582" s="1" t="s">
        <v>31</v>
      </c>
      <c r="G582" s="1">
        <v>549.34</v>
      </c>
      <c r="H582" s="1" t="s">
        <v>81</v>
      </c>
      <c r="I582" s="2">
        <v>38350</v>
      </c>
      <c r="J582" s="2">
        <v>45807</v>
      </c>
      <c r="K582" s="1">
        <v>10.1</v>
      </c>
      <c r="L582" s="4">
        <f>G582*K582%</f>
        <v>55.483339999999998</v>
      </c>
      <c r="M582" s="4">
        <f>G582-L582</f>
        <v>493.85666000000003</v>
      </c>
    </row>
    <row r="583" spans="2:13" x14ac:dyDescent="0.3">
      <c r="B583" s="1">
        <v>1185</v>
      </c>
      <c r="C583" s="2">
        <v>44174</v>
      </c>
      <c r="D583" s="1" t="s">
        <v>14</v>
      </c>
      <c r="E583" s="1" t="s">
        <v>33</v>
      </c>
      <c r="F583" s="1" t="s">
        <v>16</v>
      </c>
      <c r="G583" s="1">
        <v>3301.51</v>
      </c>
      <c r="H583" s="1" t="s">
        <v>184</v>
      </c>
      <c r="I583" s="2">
        <v>29547</v>
      </c>
      <c r="J583" s="2">
        <v>44180</v>
      </c>
      <c r="K583" s="1">
        <v>14.54</v>
      </c>
      <c r="L583" s="4">
        <f>G583*K583%</f>
        <v>480.03955400000001</v>
      </c>
      <c r="M583" s="4">
        <f>G583-L583</f>
        <v>2821.4704460000003</v>
      </c>
    </row>
    <row r="584" spans="2:13" x14ac:dyDescent="0.3">
      <c r="B584" s="1">
        <v>1175</v>
      </c>
      <c r="C584" s="2">
        <v>44844</v>
      </c>
      <c r="D584" s="1" t="s">
        <v>14</v>
      </c>
      <c r="E584" s="1" t="s">
        <v>49</v>
      </c>
      <c r="F584" s="1" t="s">
        <v>12</v>
      </c>
      <c r="G584" s="1">
        <v>4240.53</v>
      </c>
      <c r="H584" s="1" t="s">
        <v>176</v>
      </c>
      <c r="I584" s="2">
        <v>33282</v>
      </c>
      <c r="J584" s="2">
        <v>44856</v>
      </c>
      <c r="K584" s="1">
        <v>1.84</v>
      </c>
      <c r="L584" s="4">
        <f>G584*K584%</f>
        <v>78.025751999999997</v>
      </c>
      <c r="M584" s="4">
        <f>G584-L584</f>
        <v>4162.5042480000002</v>
      </c>
    </row>
    <row r="585" spans="2:13" x14ac:dyDescent="0.3">
      <c r="B585" s="1">
        <v>1425</v>
      </c>
      <c r="C585" s="2">
        <v>45191</v>
      </c>
      <c r="D585" s="1" t="s">
        <v>14</v>
      </c>
      <c r="E585" s="1" t="s">
        <v>69</v>
      </c>
      <c r="F585" s="1" t="s">
        <v>12</v>
      </c>
      <c r="G585" s="1">
        <v>1466.2</v>
      </c>
      <c r="H585" s="1" t="s">
        <v>176</v>
      </c>
      <c r="I585" s="2">
        <v>33282</v>
      </c>
      <c r="J585" s="2">
        <v>45199</v>
      </c>
      <c r="K585" s="1">
        <v>47.85</v>
      </c>
      <c r="L585" s="4">
        <f>G585*K585%</f>
        <v>701.57670000000007</v>
      </c>
      <c r="M585" s="4">
        <f>G585-L585</f>
        <v>764.62329999999997</v>
      </c>
    </row>
    <row r="586" spans="2:13" x14ac:dyDescent="0.3">
      <c r="B586" s="1">
        <v>1049</v>
      </c>
      <c r="C586" s="2">
        <v>44339</v>
      </c>
      <c r="D586" s="1" t="s">
        <v>14</v>
      </c>
      <c r="E586" s="1" t="s">
        <v>24</v>
      </c>
      <c r="F586" s="1" t="s">
        <v>19</v>
      </c>
      <c r="G586" s="1">
        <v>2194.81</v>
      </c>
      <c r="H586" s="1" t="s">
        <v>90</v>
      </c>
      <c r="I586" s="2">
        <v>29348</v>
      </c>
      <c r="J586" s="2">
        <v>44343</v>
      </c>
      <c r="K586" s="1">
        <v>31.26</v>
      </c>
      <c r="L586" s="4">
        <f>G586*K586%</f>
        <v>686.09760599999993</v>
      </c>
      <c r="M586" s="4">
        <f>G586-L586</f>
        <v>1508.7123940000001</v>
      </c>
    </row>
    <row r="587" spans="2:13" x14ac:dyDescent="0.3">
      <c r="B587" s="1">
        <v>1690</v>
      </c>
      <c r="C587" s="2">
        <v>44526</v>
      </c>
      <c r="D587" s="1" t="s">
        <v>14</v>
      </c>
      <c r="E587" s="1" t="s">
        <v>24</v>
      </c>
      <c r="F587" s="1" t="s">
        <v>19</v>
      </c>
      <c r="G587" s="1">
        <v>2795.54</v>
      </c>
      <c r="H587" s="1" t="s">
        <v>32</v>
      </c>
      <c r="I587" s="2">
        <v>27166</v>
      </c>
      <c r="J587" s="2">
        <v>44537</v>
      </c>
      <c r="K587" s="1">
        <v>14.81</v>
      </c>
      <c r="L587" s="4">
        <f>G587*K587%</f>
        <v>414.019474</v>
      </c>
      <c r="M587" s="4">
        <f>G587-L587</f>
        <v>2381.5205259999998</v>
      </c>
    </row>
    <row r="588" spans="2:13" x14ac:dyDescent="0.3">
      <c r="B588" s="1">
        <v>1095</v>
      </c>
      <c r="C588" s="2">
        <v>44895</v>
      </c>
      <c r="D588" s="1" t="s">
        <v>14</v>
      </c>
      <c r="E588" s="1" t="s">
        <v>36</v>
      </c>
      <c r="F588" s="1" t="s">
        <v>28</v>
      </c>
      <c r="G588" s="1">
        <v>3199.23</v>
      </c>
      <c r="H588" s="1" t="s">
        <v>124</v>
      </c>
      <c r="I588" s="2">
        <v>30786</v>
      </c>
      <c r="J588" s="2">
        <v>44905</v>
      </c>
      <c r="K588" s="1">
        <v>33.99</v>
      </c>
      <c r="L588" s="4">
        <f>G588*K588%</f>
        <v>1087.4182770000002</v>
      </c>
      <c r="M588" s="4">
        <f>G588-L588</f>
        <v>2111.8117229999998</v>
      </c>
    </row>
    <row r="589" spans="2:13" x14ac:dyDescent="0.3">
      <c r="B589" s="1">
        <v>1814</v>
      </c>
      <c r="C589" s="2">
        <v>44257</v>
      </c>
      <c r="D589" s="1" t="s">
        <v>14</v>
      </c>
      <c r="E589" s="1" t="s">
        <v>69</v>
      </c>
      <c r="F589" s="1" t="s">
        <v>31</v>
      </c>
      <c r="G589" s="1">
        <v>4804.79</v>
      </c>
      <c r="H589" s="1" t="s">
        <v>111</v>
      </c>
      <c r="I589" s="2">
        <v>34704</v>
      </c>
      <c r="J589" s="2">
        <v>44264</v>
      </c>
      <c r="K589" s="1">
        <v>2.2000000000000002</v>
      </c>
      <c r="L589" s="4">
        <f>G589*K589%</f>
        <v>105.70538000000001</v>
      </c>
      <c r="M589" s="4">
        <f>G589-L589</f>
        <v>4699.0846199999996</v>
      </c>
    </row>
    <row r="590" spans="2:13" x14ac:dyDescent="0.3">
      <c r="B590" s="1">
        <v>1470</v>
      </c>
      <c r="C590" s="2">
        <v>45209</v>
      </c>
      <c r="D590" s="1" t="s">
        <v>14</v>
      </c>
      <c r="E590" s="1" t="s">
        <v>36</v>
      </c>
      <c r="F590" s="1" t="s">
        <v>28</v>
      </c>
      <c r="G590" s="1">
        <v>1541</v>
      </c>
      <c r="H590" s="1" t="s">
        <v>111</v>
      </c>
      <c r="I590" s="2">
        <v>34704</v>
      </c>
      <c r="J590" s="2">
        <v>45222</v>
      </c>
      <c r="K590" s="1">
        <v>33.85</v>
      </c>
      <c r="L590" s="4">
        <f>G590*K590%</f>
        <v>521.62850000000003</v>
      </c>
      <c r="M590" s="4">
        <f>G590-L590</f>
        <v>1019.3715</v>
      </c>
    </row>
    <row r="591" spans="2:13" x14ac:dyDescent="0.3">
      <c r="B591" s="1">
        <v>1145</v>
      </c>
      <c r="C591" s="2">
        <v>44771</v>
      </c>
      <c r="D591" s="1" t="s">
        <v>14</v>
      </c>
      <c r="E591" s="1" t="s">
        <v>11</v>
      </c>
      <c r="F591" s="1" t="s">
        <v>12</v>
      </c>
      <c r="G591" s="1">
        <v>527.39</v>
      </c>
      <c r="H591" s="1" t="s">
        <v>59</v>
      </c>
      <c r="I591" s="2">
        <v>25166</v>
      </c>
      <c r="J591" s="2">
        <v>44780</v>
      </c>
      <c r="K591" s="1">
        <v>14.21</v>
      </c>
      <c r="L591" s="4">
        <f>G591*K591%</f>
        <v>74.942119000000005</v>
      </c>
      <c r="M591" s="4">
        <f>G591-L591</f>
        <v>452.447881</v>
      </c>
    </row>
    <row r="592" spans="2:13" x14ac:dyDescent="0.3">
      <c r="B592" s="1">
        <v>1718</v>
      </c>
      <c r="C592" s="2">
        <v>45287</v>
      </c>
      <c r="D592" s="1" t="s">
        <v>21</v>
      </c>
      <c r="E592" s="1" t="s">
        <v>22</v>
      </c>
      <c r="F592" s="1" t="s">
        <v>19</v>
      </c>
      <c r="G592" s="1">
        <v>3131.27</v>
      </c>
      <c r="H592" s="1" t="s">
        <v>145</v>
      </c>
      <c r="I592" s="2">
        <v>23470</v>
      </c>
      <c r="J592" s="2">
        <v>45298</v>
      </c>
      <c r="K592" s="1">
        <v>45.69</v>
      </c>
      <c r="L592" s="4">
        <f>G592*K592%</f>
        <v>1430.6772629999998</v>
      </c>
      <c r="M592" s="4">
        <f>G592-L592</f>
        <v>1700.5927370000002</v>
      </c>
    </row>
    <row r="593" spans="2:13" x14ac:dyDescent="0.3">
      <c r="B593" s="1">
        <v>1361</v>
      </c>
      <c r="C593" s="2">
        <v>44141</v>
      </c>
      <c r="D593" s="1" t="s">
        <v>21</v>
      </c>
      <c r="E593" s="1" t="s">
        <v>30</v>
      </c>
      <c r="F593" s="1" t="s">
        <v>31</v>
      </c>
      <c r="G593" s="1">
        <v>140.26</v>
      </c>
      <c r="H593" s="1" t="s">
        <v>145</v>
      </c>
      <c r="I593" s="2">
        <v>23470</v>
      </c>
      <c r="J593" s="2">
        <v>44149</v>
      </c>
      <c r="K593" s="1">
        <v>41.53</v>
      </c>
      <c r="L593" s="4">
        <f>G593*K593%</f>
        <v>58.249977999999999</v>
      </c>
      <c r="M593" s="4">
        <f>G593-L593</f>
        <v>82.010021999999992</v>
      </c>
    </row>
    <row r="594" spans="2:13" x14ac:dyDescent="0.3">
      <c r="B594" s="1">
        <v>1602</v>
      </c>
      <c r="C594" s="2">
        <v>45090</v>
      </c>
      <c r="D594" s="1" t="s">
        <v>21</v>
      </c>
      <c r="E594" s="1" t="s">
        <v>22</v>
      </c>
      <c r="F594" s="1" t="s">
        <v>19</v>
      </c>
      <c r="G594" s="1">
        <v>3353.57</v>
      </c>
      <c r="H594" s="1" t="s">
        <v>118</v>
      </c>
      <c r="I594" s="2">
        <v>22599</v>
      </c>
      <c r="J594" s="2">
        <v>45095</v>
      </c>
      <c r="K594" s="1">
        <v>37.700000000000003</v>
      </c>
      <c r="L594" s="4">
        <f>G594*K594%</f>
        <v>1264.2958900000001</v>
      </c>
      <c r="M594" s="4">
        <f>G594-L594</f>
        <v>2089.2741100000003</v>
      </c>
    </row>
    <row r="595" spans="2:13" x14ac:dyDescent="0.3">
      <c r="B595" s="1">
        <v>1771</v>
      </c>
      <c r="C595" s="2">
        <v>45843</v>
      </c>
      <c r="D595" s="1" t="s">
        <v>21</v>
      </c>
      <c r="E595" s="1" t="s">
        <v>49</v>
      </c>
      <c r="F595" s="1" t="s">
        <v>12</v>
      </c>
      <c r="G595" s="1">
        <v>960.47</v>
      </c>
      <c r="H595" s="1" t="s">
        <v>241</v>
      </c>
      <c r="I595" s="2">
        <v>31880</v>
      </c>
      <c r="J595" s="2">
        <v>45847</v>
      </c>
      <c r="K595" s="1">
        <v>2.1800000000000002</v>
      </c>
      <c r="L595" s="4">
        <f>G595*K595%</f>
        <v>20.938245999999999</v>
      </c>
      <c r="M595" s="4">
        <f>G595-L595</f>
        <v>939.53175399999998</v>
      </c>
    </row>
    <row r="596" spans="2:13" x14ac:dyDescent="0.3">
      <c r="B596" s="1">
        <v>1043</v>
      </c>
      <c r="C596" s="2">
        <v>45566</v>
      </c>
      <c r="D596" s="1" t="s">
        <v>21</v>
      </c>
      <c r="E596" s="1" t="s">
        <v>71</v>
      </c>
      <c r="F596" s="1" t="s">
        <v>31</v>
      </c>
      <c r="G596" s="1">
        <v>2567.7399999999998</v>
      </c>
      <c r="H596" s="1" t="s">
        <v>84</v>
      </c>
      <c r="I596" s="2">
        <v>26472</v>
      </c>
      <c r="J596" s="2">
        <v>45578</v>
      </c>
      <c r="K596" s="1">
        <v>43.1</v>
      </c>
      <c r="L596" s="4">
        <f>G596*K596%</f>
        <v>1106.6959399999998</v>
      </c>
      <c r="M596" s="4">
        <f>G596-L596</f>
        <v>1461.0440599999999</v>
      </c>
    </row>
    <row r="597" spans="2:13" x14ac:dyDescent="0.3">
      <c r="B597" s="1">
        <v>1289</v>
      </c>
      <c r="C597" s="2">
        <v>44768</v>
      </c>
      <c r="D597" s="1" t="s">
        <v>21</v>
      </c>
      <c r="E597" s="1" t="s">
        <v>53</v>
      </c>
      <c r="F597" s="1" t="s">
        <v>28</v>
      </c>
      <c r="G597" s="1">
        <v>746.65</v>
      </c>
      <c r="H597" s="1" t="s">
        <v>129</v>
      </c>
      <c r="I597" s="2">
        <v>25933</v>
      </c>
      <c r="J597" s="2">
        <v>44773</v>
      </c>
      <c r="K597" s="1">
        <v>22.2</v>
      </c>
      <c r="L597" s="4">
        <f>G597*K597%</f>
        <v>165.75630000000001</v>
      </c>
      <c r="M597" s="4">
        <f>G597-L597</f>
        <v>580.89369999999997</v>
      </c>
    </row>
    <row r="598" spans="2:13" x14ac:dyDescent="0.3">
      <c r="B598" s="1">
        <v>1162</v>
      </c>
      <c r="C598" s="2">
        <v>45352</v>
      </c>
      <c r="D598" s="1" t="s">
        <v>21</v>
      </c>
      <c r="E598" s="1" t="s">
        <v>49</v>
      </c>
      <c r="F598" s="1" t="s">
        <v>12</v>
      </c>
      <c r="G598" s="1">
        <v>4145.6899999999996</v>
      </c>
      <c r="H598" s="1" t="s">
        <v>96</v>
      </c>
      <c r="I598" s="2">
        <v>36236</v>
      </c>
      <c r="J598" s="2">
        <v>45365</v>
      </c>
      <c r="K598" s="1">
        <v>14.43</v>
      </c>
      <c r="L598" s="4">
        <f>G598*K598%</f>
        <v>598.2230669999999</v>
      </c>
      <c r="M598" s="4">
        <f>G598-L598</f>
        <v>3547.4669329999997</v>
      </c>
    </row>
    <row r="599" spans="2:13" x14ac:dyDescent="0.3">
      <c r="B599" s="1">
        <v>1886</v>
      </c>
      <c r="C599" s="2">
        <v>44555</v>
      </c>
      <c r="D599" s="1" t="s">
        <v>21</v>
      </c>
      <c r="E599" s="1" t="s">
        <v>102</v>
      </c>
      <c r="F599" s="1" t="s">
        <v>12</v>
      </c>
      <c r="G599" s="1">
        <v>4477.01</v>
      </c>
      <c r="H599" s="1" t="s">
        <v>276</v>
      </c>
      <c r="I599" s="2">
        <v>33394</v>
      </c>
      <c r="J599" s="2">
        <v>44566</v>
      </c>
      <c r="K599" s="1">
        <v>47.62</v>
      </c>
      <c r="L599" s="4">
        <f>G599*K599%</f>
        <v>2131.952162</v>
      </c>
      <c r="M599" s="4">
        <f>G599-L599</f>
        <v>2345.0578380000002</v>
      </c>
    </row>
    <row r="600" spans="2:13" x14ac:dyDescent="0.3">
      <c r="B600" s="1">
        <v>1687</v>
      </c>
      <c r="C600" s="2">
        <v>45763</v>
      </c>
      <c r="D600" s="1" t="s">
        <v>21</v>
      </c>
      <c r="E600" s="1" t="s">
        <v>69</v>
      </c>
      <c r="F600" s="1" t="s">
        <v>12</v>
      </c>
      <c r="G600" s="1">
        <v>2262.52</v>
      </c>
      <c r="H600" s="1" t="s">
        <v>303</v>
      </c>
      <c r="I600" s="2">
        <v>30474</v>
      </c>
      <c r="J600" s="2">
        <v>45775</v>
      </c>
      <c r="K600" s="1">
        <v>4.95</v>
      </c>
      <c r="L600" s="4">
        <f>G600*K600%</f>
        <v>111.99474000000001</v>
      </c>
      <c r="M600" s="4">
        <f>G600-L600</f>
        <v>2150.5252599999999</v>
      </c>
    </row>
    <row r="601" spans="2:13" x14ac:dyDescent="0.3">
      <c r="B601" s="1">
        <v>1397</v>
      </c>
      <c r="C601" s="2">
        <v>45467</v>
      </c>
      <c r="D601" s="1" t="s">
        <v>21</v>
      </c>
      <c r="E601" s="1" t="s">
        <v>33</v>
      </c>
      <c r="F601" s="1" t="s">
        <v>16</v>
      </c>
      <c r="G601" s="1">
        <v>2922.55</v>
      </c>
      <c r="H601" s="1" t="s">
        <v>170</v>
      </c>
      <c r="I601" s="2">
        <v>34205</v>
      </c>
      <c r="J601" s="2">
        <v>45481</v>
      </c>
      <c r="K601" s="1">
        <v>25.17</v>
      </c>
      <c r="L601" s="4">
        <f>G601*K601%</f>
        <v>735.60583500000018</v>
      </c>
      <c r="M601" s="4">
        <f>G601-L601</f>
        <v>2186.9441649999999</v>
      </c>
    </row>
    <row r="602" spans="2:13" x14ac:dyDescent="0.3">
      <c r="B602" s="1">
        <v>1345</v>
      </c>
      <c r="C602" s="2">
        <v>44608</v>
      </c>
      <c r="D602" s="1" t="s">
        <v>21</v>
      </c>
      <c r="E602" s="1" t="s">
        <v>102</v>
      </c>
      <c r="F602" s="1" t="s">
        <v>12</v>
      </c>
      <c r="G602" s="1">
        <v>3013.18</v>
      </c>
      <c r="H602" s="1" t="s">
        <v>170</v>
      </c>
      <c r="I602" s="2">
        <v>34205</v>
      </c>
      <c r="J602" s="2">
        <v>44616</v>
      </c>
      <c r="K602" s="1">
        <v>30.1</v>
      </c>
      <c r="L602" s="4">
        <f>G602*K602%</f>
        <v>906.96717999999987</v>
      </c>
      <c r="M602" s="4">
        <f>G602-L602</f>
        <v>2106.2128199999997</v>
      </c>
    </row>
    <row r="603" spans="2:13" x14ac:dyDescent="0.3">
      <c r="B603" s="1">
        <v>1214</v>
      </c>
      <c r="C603" s="2">
        <v>45507</v>
      </c>
      <c r="D603" s="1" t="s">
        <v>21</v>
      </c>
      <c r="E603" s="1" t="s">
        <v>22</v>
      </c>
      <c r="F603" s="1" t="s">
        <v>19</v>
      </c>
      <c r="G603" s="1">
        <v>3022.9</v>
      </c>
      <c r="H603" s="1" t="s">
        <v>170</v>
      </c>
      <c r="I603" s="2">
        <v>34205</v>
      </c>
      <c r="J603" s="2">
        <v>45521</v>
      </c>
      <c r="K603" s="1">
        <v>47.72</v>
      </c>
      <c r="L603" s="4">
        <f>G603*K603%</f>
        <v>1442.5278800000001</v>
      </c>
      <c r="M603" s="4">
        <f>G603-L603</f>
        <v>1580.37212</v>
      </c>
    </row>
    <row r="604" spans="2:13" x14ac:dyDescent="0.3">
      <c r="B604" s="1">
        <v>1799</v>
      </c>
      <c r="C604" s="2">
        <v>44246</v>
      </c>
      <c r="D604" s="1" t="s">
        <v>21</v>
      </c>
      <c r="E604" s="1" t="s">
        <v>36</v>
      </c>
      <c r="F604" s="1" t="s">
        <v>28</v>
      </c>
      <c r="G604" s="1">
        <v>3103.07</v>
      </c>
      <c r="H604" s="1" t="s">
        <v>121</v>
      </c>
      <c r="I604" s="2">
        <v>24580</v>
      </c>
      <c r="J604" s="2">
        <v>44260</v>
      </c>
      <c r="K604" s="1">
        <v>7.78</v>
      </c>
      <c r="L604" s="4">
        <f>G604*K604%</f>
        <v>241.41884600000003</v>
      </c>
      <c r="M604" s="4">
        <f>G604-L604</f>
        <v>2861.6511540000001</v>
      </c>
    </row>
    <row r="605" spans="2:13" x14ac:dyDescent="0.3">
      <c r="B605" s="1">
        <v>1615</v>
      </c>
      <c r="C605" s="2">
        <v>44232</v>
      </c>
      <c r="D605" s="1" t="s">
        <v>21</v>
      </c>
      <c r="E605" s="1" t="s">
        <v>22</v>
      </c>
      <c r="F605" s="1" t="s">
        <v>19</v>
      </c>
      <c r="G605" s="1">
        <v>4743.6499999999996</v>
      </c>
      <c r="H605" s="1" t="s">
        <v>62</v>
      </c>
      <c r="I605" s="2">
        <v>22870</v>
      </c>
      <c r="J605" s="2">
        <v>44246</v>
      </c>
      <c r="K605" s="1">
        <v>6.24</v>
      </c>
      <c r="L605" s="4">
        <f>G605*K605%</f>
        <v>296.00376</v>
      </c>
      <c r="M605" s="4">
        <f>G605-L605</f>
        <v>4447.64624</v>
      </c>
    </row>
    <row r="606" spans="2:13" x14ac:dyDescent="0.3">
      <c r="B606" s="1">
        <v>1828</v>
      </c>
      <c r="C606" s="2">
        <v>44512</v>
      </c>
      <c r="D606" s="1" t="s">
        <v>21</v>
      </c>
      <c r="E606" s="1" t="s">
        <v>24</v>
      </c>
      <c r="F606" s="1" t="s">
        <v>19</v>
      </c>
      <c r="G606" s="1">
        <v>4628.91</v>
      </c>
      <c r="H606" s="1" t="s">
        <v>62</v>
      </c>
      <c r="I606" s="2">
        <v>22870</v>
      </c>
      <c r="J606" s="2">
        <v>44524</v>
      </c>
      <c r="K606" s="1">
        <v>34.04</v>
      </c>
      <c r="L606" s="4">
        <f>G606*K606%</f>
        <v>1575.6809639999999</v>
      </c>
      <c r="M606" s="4">
        <f>G606-L606</f>
        <v>3053.2290359999997</v>
      </c>
    </row>
    <row r="607" spans="2:13" x14ac:dyDescent="0.3">
      <c r="B607" s="1">
        <v>1024</v>
      </c>
      <c r="C607" s="2">
        <v>45385</v>
      </c>
      <c r="D607" s="1" t="s">
        <v>21</v>
      </c>
      <c r="E607" s="1" t="s">
        <v>61</v>
      </c>
      <c r="F607" s="1" t="s">
        <v>19</v>
      </c>
      <c r="G607" s="1">
        <v>923.98</v>
      </c>
      <c r="H607" s="1" t="s">
        <v>62</v>
      </c>
      <c r="I607" s="2">
        <v>22870</v>
      </c>
      <c r="J607" s="2">
        <v>45387</v>
      </c>
      <c r="K607" s="1">
        <v>1.62</v>
      </c>
      <c r="L607" s="4">
        <f>G607*K607%</f>
        <v>14.968476000000003</v>
      </c>
      <c r="M607" s="4">
        <f>G607-L607</f>
        <v>909.01152400000001</v>
      </c>
    </row>
    <row r="608" spans="2:13" x14ac:dyDescent="0.3">
      <c r="B608" s="1">
        <v>1597</v>
      </c>
      <c r="C608" s="2">
        <v>45427</v>
      </c>
      <c r="D608" s="1" t="s">
        <v>21</v>
      </c>
      <c r="E608" s="1" t="s">
        <v>27</v>
      </c>
      <c r="F608" s="1" t="s">
        <v>28</v>
      </c>
      <c r="G608" s="1">
        <v>4720</v>
      </c>
      <c r="H608" s="1" t="s">
        <v>119</v>
      </c>
      <c r="I608" s="2">
        <v>34954</v>
      </c>
      <c r="J608" s="2">
        <v>45439</v>
      </c>
      <c r="K608" s="1">
        <v>0.59</v>
      </c>
      <c r="L608" s="4">
        <f>G608*K608%</f>
        <v>27.847999999999999</v>
      </c>
      <c r="M608" s="4">
        <f>G608-L608</f>
        <v>4692.152</v>
      </c>
    </row>
    <row r="609" spans="2:13" x14ac:dyDescent="0.3">
      <c r="B609" s="1">
        <v>1261</v>
      </c>
      <c r="C609" s="2">
        <v>44437</v>
      </c>
      <c r="D609" s="1" t="s">
        <v>21</v>
      </c>
      <c r="E609" s="1" t="s">
        <v>61</v>
      </c>
      <c r="F609" s="1" t="s">
        <v>19</v>
      </c>
      <c r="G609" s="1">
        <v>2814.81</v>
      </c>
      <c r="H609" s="1" t="s">
        <v>119</v>
      </c>
      <c r="I609" s="2">
        <v>34954</v>
      </c>
      <c r="J609" s="2">
        <v>44444</v>
      </c>
      <c r="K609" s="1">
        <v>36.85</v>
      </c>
      <c r="L609" s="4">
        <f>G609*K609%</f>
        <v>1037.2574849999999</v>
      </c>
      <c r="M609" s="4">
        <f>G609-L609</f>
        <v>1777.5525150000001</v>
      </c>
    </row>
    <row r="610" spans="2:13" x14ac:dyDescent="0.3">
      <c r="B610" s="1">
        <v>1827</v>
      </c>
      <c r="C610" s="2">
        <v>45011</v>
      </c>
      <c r="D610" s="1" t="s">
        <v>21</v>
      </c>
      <c r="E610" s="1" t="s">
        <v>44</v>
      </c>
      <c r="F610" s="1" t="s">
        <v>16</v>
      </c>
      <c r="G610" s="1">
        <v>3345.58</v>
      </c>
      <c r="H610" s="1" t="s">
        <v>74</v>
      </c>
      <c r="I610" s="2">
        <v>31224</v>
      </c>
      <c r="J610" s="2">
        <v>45019</v>
      </c>
      <c r="K610" s="1">
        <v>17.25</v>
      </c>
      <c r="L610" s="4">
        <f>G610*K610%</f>
        <v>577.11254999999994</v>
      </c>
      <c r="M610" s="4">
        <f>G610-L610</f>
        <v>2768.4674500000001</v>
      </c>
    </row>
    <row r="611" spans="2:13" x14ac:dyDescent="0.3">
      <c r="B611" s="1">
        <v>1539</v>
      </c>
      <c r="C611" s="2">
        <v>44926</v>
      </c>
      <c r="D611" s="1" t="s">
        <v>21</v>
      </c>
      <c r="E611" s="1" t="s">
        <v>55</v>
      </c>
      <c r="F611" s="1" t="s">
        <v>31</v>
      </c>
      <c r="G611" s="1">
        <v>1595.77</v>
      </c>
      <c r="H611" s="1" t="s">
        <v>74</v>
      </c>
      <c r="I611" s="2">
        <v>31224</v>
      </c>
      <c r="J611" s="2">
        <v>44933</v>
      </c>
      <c r="K611" s="1">
        <v>47.83</v>
      </c>
      <c r="L611" s="4">
        <f>G611*K611%</f>
        <v>763.25679100000002</v>
      </c>
      <c r="M611" s="4">
        <f>G611-L611</f>
        <v>832.51320899999996</v>
      </c>
    </row>
    <row r="612" spans="2:13" x14ac:dyDescent="0.3">
      <c r="B612" s="1">
        <v>1663</v>
      </c>
      <c r="C612" s="2">
        <v>44120</v>
      </c>
      <c r="D612" s="1" t="s">
        <v>21</v>
      </c>
      <c r="E612" s="1" t="s">
        <v>88</v>
      </c>
      <c r="F612" s="1" t="s">
        <v>16</v>
      </c>
      <c r="G612" s="1">
        <v>1174.31</v>
      </c>
      <c r="H612" s="1" t="s">
        <v>300</v>
      </c>
      <c r="I612" s="2">
        <v>24322</v>
      </c>
      <c r="J612" s="2">
        <v>44129</v>
      </c>
      <c r="K612" s="1">
        <v>14.95</v>
      </c>
      <c r="L612" s="4">
        <f>G612*K612%</f>
        <v>175.55934499999998</v>
      </c>
      <c r="M612" s="4">
        <f>G612-L612</f>
        <v>998.75065499999994</v>
      </c>
    </row>
    <row r="613" spans="2:13" x14ac:dyDescent="0.3">
      <c r="B613" s="1">
        <v>1765</v>
      </c>
      <c r="C613" s="2">
        <v>45761</v>
      </c>
      <c r="D613" s="1" t="s">
        <v>21</v>
      </c>
      <c r="E613" s="1" t="s">
        <v>102</v>
      </c>
      <c r="F613" s="1" t="s">
        <v>12</v>
      </c>
      <c r="G613" s="1">
        <v>371.15</v>
      </c>
      <c r="H613" s="1" t="s">
        <v>218</v>
      </c>
      <c r="I613" s="2">
        <v>29792</v>
      </c>
      <c r="J613" s="2">
        <v>45764</v>
      </c>
      <c r="K613" s="1">
        <v>13.58</v>
      </c>
      <c r="L613" s="4">
        <f>G613*K613%</f>
        <v>50.402169999999998</v>
      </c>
      <c r="M613" s="4">
        <f>G613-L613</f>
        <v>320.74782999999996</v>
      </c>
    </row>
    <row r="614" spans="2:13" x14ac:dyDescent="0.3">
      <c r="B614" s="1">
        <v>1848</v>
      </c>
      <c r="C614" s="2">
        <v>44156</v>
      </c>
      <c r="D614" s="1" t="s">
        <v>21</v>
      </c>
      <c r="E614" s="1" t="s">
        <v>18</v>
      </c>
      <c r="F614" s="1" t="s">
        <v>19</v>
      </c>
      <c r="G614" s="1">
        <v>3719.38</v>
      </c>
      <c r="H614" s="1" t="s">
        <v>264</v>
      </c>
      <c r="I614" s="2">
        <v>30232</v>
      </c>
      <c r="J614" s="2">
        <v>44169</v>
      </c>
      <c r="K614" s="1">
        <v>11</v>
      </c>
      <c r="L614" s="4">
        <f>G614*K614%</f>
        <v>409.1318</v>
      </c>
      <c r="M614" s="4">
        <f>G614-L614</f>
        <v>3310.2482</v>
      </c>
    </row>
    <row r="615" spans="2:13" x14ac:dyDescent="0.3">
      <c r="B615" s="1">
        <v>1423</v>
      </c>
      <c r="C615" s="2">
        <v>44794</v>
      </c>
      <c r="D615" s="1" t="s">
        <v>21</v>
      </c>
      <c r="E615" s="1" t="s">
        <v>11</v>
      </c>
      <c r="F615" s="1" t="s">
        <v>12</v>
      </c>
      <c r="G615" s="1">
        <v>3839.42</v>
      </c>
      <c r="H615" s="1" t="s">
        <v>264</v>
      </c>
      <c r="I615" s="2">
        <v>30232</v>
      </c>
      <c r="J615" s="2">
        <v>44795</v>
      </c>
      <c r="K615" s="1">
        <v>15.27</v>
      </c>
      <c r="L615" s="4">
        <f>G615*K615%</f>
        <v>586.27943400000004</v>
      </c>
      <c r="M615" s="4">
        <f>G615-L615</f>
        <v>3253.140566</v>
      </c>
    </row>
    <row r="616" spans="2:13" x14ac:dyDescent="0.3">
      <c r="B616" s="1">
        <v>1495</v>
      </c>
      <c r="C616" s="2">
        <v>45829</v>
      </c>
      <c r="D616" s="1" t="s">
        <v>21</v>
      </c>
      <c r="E616" s="1" t="s">
        <v>11</v>
      </c>
      <c r="F616" s="1" t="s">
        <v>12</v>
      </c>
      <c r="G616" s="1">
        <v>4164.7700000000004</v>
      </c>
      <c r="H616" s="1" t="s">
        <v>264</v>
      </c>
      <c r="I616" s="2">
        <v>30232</v>
      </c>
      <c r="J616" s="2">
        <v>45832</v>
      </c>
      <c r="K616" s="1">
        <v>40.119999999999997</v>
      </c>
      <c r="L616" s="4">
        <f>G616*K616%</f>
        <v>1670.9057240000002</v>
      </c>
      <c r="M616" s="4">
        <f>G616-L616</f>
        <v>2493.8642760000002</v>
      </c>
    </row>
    <row r="617" spans="2:13" x14ac:dyDescent="0.3">
      <c r="B617" s="1">
        <v>1691</v>
      </c>
      <c r="C617" s="2">
        <v>44396</v>
      </c>
      <c r="D617" s="1" t="s">
        <v>21</v>
      </c>
      <c r="E617" s="1" t="s">
        <v>61</v>
      </c>
      <c r="F617" s="1" t="s">
        <v>19</v>
      </c>
      <c r="G617" s="1">
        <v>2136.2600000000002</v>
      </c>
      <c r="H617" s="1" t="s">
        <v>264</v>
      </c>
      <c r="I617" s="2">
        <v>30232</v>
      </c>
      <c r="J617" s="2">
        <v>44404</v>
      </c>
      <c r="K617" s="1">
        <v>4</v>
      </c>
      <c r="L617" s="4">
        <f>G617*K617%</f>
        <v>85.450400000000016</v>
      </c>
      <c r="M617" s="4">
        <f>G617-L617</f>
        <v>2050.8096</v>
      </c>
    </row>
    <row r="618" spans="2:13" x14ac:dyDescent="0.3">
      <c r="B618" s="1">
        <v>1634</v>
      </c>
      <c r="C618" s="2">
        <v>44307</v>
      </c>
      <c r="D618" s="1" t="s">
        <v>21</v>
      </c>
      <c r="E618" s="1" t="s">
        <v>36</v>
      </c>
      <c r="F618" s="1" t="s">
        <v>28</v>
      </c>
      <c r="G618" s="1">
        <v>2036.85</v>
      </c>
      <c r="H618" s="1" t="s">
        <v>264</v>
      </c>
      <c r="I618" s="2">
        <v>30232</v>
      </c>
      <c r="J618" s="2">
        <v>44315</v>
      </c>
      <c r="K618" s="1">
        <v>45.65</v>
      </c>
      <c r="L618" s="4">
        <f>G618*K618%</f>
        <v>929.82202499999983</v>
      </c>
      <c r="M618" s="4">
        <f>G618-L618</f>
        <v>1107.027975</v>
      </c>
    </row>
    <row r="619" spans="2:13" x14ac:dyDescent="0.3">
      <c r="B619" s="1">
        <v>1635</v>
      </c>
      <c r="C619" s="2">
        <v>44704</v>
      </c>
      <c r="D619" s="1" t="s">
        <v>21</v>
      </c>
      <c r="E619" s="1" t="s">
        <v>73</v>
      </c>
      <c r="F619" s="1" t="s">
        <v>28</v>
      </c>
      <c r="G619" s="1">
        <v>792.31</v>
      </c>
      <c r="H619" s="1" t="s">
        <v>46</v>
      </c>
      <c r="I619" s="2">
        <v>24670</v>
      </c>
      <c r="J619" s="2">
        <v>44713</v>
      </c>
      <c r="K619" s="1">
        <v>10.91</v>
      </c>
      <c r="L619" s="4">
        <f>G619*K619%</f>
        <v>86.441020999999992</v>
      </c>
      <c r="M619" s="4">
        <f>G619-L619</f>
        <v>705.86897899999997</v>
      </c>
    </row>
    <row r="620" spans="2:13" x14ac:dyDescent="0.3">
      <c r="B620" s="1">
        <v>1491</v>
      </c>
      <c r="C620" s="2">
        <v>44682</v>
      </c>
      <c r="D620" s="1" t="s">
        <v>21</v>
      </c>
      <c r="E620" s="1" t="s">
        <v>24</v>
      </c>
      <c r="F620" s="1" t="s">
        <v>19</v>
      </c>
      <c r="G620" s="1">
        <v>2268.23</v>
      </c>
      <c r="H620" s="1" t="s">
        <v>226</v>
      </c>
      <c r="I620" s="2">
        <v>33332</v>
      </c>
      <c r="J620" s="2">
        <v>44689</v>
      </c>
      <c r="K620" s="1">
        <v>40.47</v>
      </c>
      <c r="L620" s="4">
        <f>G620*K620%</f>
        <v>917.95268099999998</v>
      </c>
      <c r="M620" s="4">
        <f>G620-L620</f>
        <v>1350.277319</v>
      </c>
    </row>
    <row r="621" spans="2:13" x14ac:dyDescent="0.3">
      <c r="B621" s="1">
        <v>1085</v>
      </c>
      <c r="C621" s="2">
        <v>44713</v>
      </c>
      <c r="D621" s="1" t="s">
        <v>21</v>
      </c>
      <c r="E621" s="1" t="s">
        <v>49</v>
      </c>
      <c r="F621" s="1" t="s">
        <v>12</v>
      </c>
      <c r="G621" s="1">
        <v>4470.8599999999997</v>
      </c>
      <c r="H621" s="1" t="s">
        <v>117</v>
      </c>
      <c r="I621" s="2">
        <v>23513</v>
      </c>
      <c r="J621" s="2">
        <v>44727</v>
      </c>
      <c r="K621" s="1">
        <v>32.76</v>
      </c>
      <c r="L621" s="4">
        <f>G621*K621%</f>
        <v>1464.653736</v>
      </c>
      <c r="M621" s="4">
        <f>G621-L621</f>
        <v>3006.2062639999995</v>
      </c>
    </row>
    <row r="622" spans="2:13" x14ac:dyDescent="0.3">
      <c r="B622" s="1">
        <v>1363</v>
      </c>
      <c r="C622" s="2">
        <v>45148</v>
      </c>
      <c r="D622" s="1" t="s">
        <v>21</v>
      </c>
      <c r="E622" s="1" t="s">
        <v>102</v>
      </c>
      <c r="F622" s="1" t="s">
        <v>12</v>
      </c>
      <c r="G622" s="1">
        <v>688.58</v>
      </c>
      <c r="H622" s="1" t="s">
        <v>117</v>
      </c>
      <c r="I622" s="2">
        <v>23513</v>
      </c>
      <c r="J622" s="2">
        <v>45159</v>
      </c>
      <c r="K622" s="1">
        <v>24.61</v>
      </c>
      <c r="L622" s="4">
        <f>G622*K622%</f>
        <v>169.45953800000001</v>
      </c>
      <c r="M622" s="4">
        <f>G622-L622</f>
        <v>519.12046200000009</v>
      </c>
    </row>
    <row r="623" spans="2:13" x14ac:dyDescent="0.3">
      <c r="B623" s="1">
        <v>1507</v>
      </c>
      <c r="C623" s="2">
        <v>45596</v>
      </c>
      <c r="D623" s="1" t="s">
        <v>21</v>
      </c>
      <c r="E623" s="1" t="s">
        <v>33</v>
      </c>
      <c r="F623" s="1" t="s">
        <v>16</v>
      </c>
      <c r="G623" s="1">
        <v>308.79000000000002</v>
      </c>
      <c r="H623" s="1" t="s">
        <v>117</v>
      </c>
      <c r="I623" s="2">
        <v>23513</v>
      </c>
      <c r="J623" s="2">
        <v>45603</v>
      </c>
      <c r="K623" s="1">
        <v>15.92</v>
      </c>
      <c r="L623" s="4">
        <f>G623*K623%</f>
        <v>49.159368000000008</v>
      </c>
      <c r="M623" s="4">
        <f>G623-L623</f>
        <v>259.63063199999999</v>
      </c>
    </row>
    <row r="624" spans="2:13" x14ac:dyDescent="0.3">
      <c r="B624" s="1">
        <v>1810</v>
      </c>
      <c r="C624" s="2">
        <v>45867</v>
      </c>
      <c r="D624" s="1" t="s">
        <v>21</v>
      </c>
      <c r="E624" s="1" t="s">
        <v>33</v>
      </c>
      <c r="F624" s="1" t="s">
        <v>16</v>
      </c>
      <c r="G624" s="1">
        <v>3858.01</v>
      </c>
      <c r="H624" s="1" t="s">
        <v>181</v>
      </c>
      <c r="I624" s="2">
        <v>25222</v>
      </c>
      <c r="J624" s="2">
        <v>45876</v>
      </c>
      <c r="K624" s="1">
        <v>24.94</v>
      </c>
      <c r="L624" s="4">
        <f>G624*K624%</f>
        <v>962.18769400000008</v>
      </c>
      <c r="M624" s="4">
        <f>G624-L624</f>
        <v>2895.822306</v>
      </c>
    </row>
    <row r="625" spans="2:13" x14ac:dyDescent="0.3">
      <c r="B625" s="1">
        <v>1993</v>
      </c>
      <c r="C625" s="2">
        <v>44395</v>
      </c>
      <c r="D625" s="1" t="s">
        <v>21</v>
      </c>
      <c r="E625" s="1" t="s">
        <v>58</v>
      </c>
      <c r="F625" s="1" t="s">
        <v>31</v>
      </c>
      <c r="G625" s="1">
        <v>2747.73</v>
      </c>
      <c r="H625" s="1" t="s">
        <v>193</v>
      </c>
      <c r="I625" s="2">
        <v>26082</v>
      </c>
      <c r="J625" s="2">
        <v>44409</v>
      </c>
      <c r="K625" s="1">
        <v>27.71</v>
      </c>
      <c r="L625" s="4">
        <f>G625*K625%</f>
        <v>761.395983</v>
      </c>
      <c r="M625" s="4">
        <f>G625-L625</f>
        <v>1986.3340170000001</v>
      </c>
    </row>
    <row r="626" spans="2:13" x14ac:dyDescent="0.3">
      <c r="B626" s="1">
        <v>1859</v>
      </c>
      <c r="C626" s="2">
        <v>45255</v>
      </c>
      <c r="D626" s="1" t="s">
        <v>21</v>
      </c>
      <c r="E626" s="1" t="s">
        <v>30</v>
      </c>
      <c r="F626" s="1" t="s">
        <v>31</v>
      </c>
      <c r="G626" s="1">
        <v>3361.27</v>
      </c>
      <c r="H626" s="1" t="s">
        <v>152</v>
      </c>
      <c r="I626" s="2">
        <v>24792</v>
      </c>
      <c r="J626" s="2">
        <v>45261</v>
      </c>
      <c r="K626" s="1">
        <v>19.77</v>
      </c>
      <c r="L626" s="4">
        <f>G626*K626%</f>
        <v>664.52307899999994</v>
      </c>
      <c r="M626" s="4">
        <f>G626-L626</f>
        <v>2696.7469209999999</v>
      </c>
    </row>
    <row r="627" spans="2:13" x14ac:dyDescent="0.3">
      <c r="B627" s="1">
        <v>1251</v>
      </c>
      <c r="C627" s="2">
        <v>45121</v>
      </c>
      <c r="D627" s="1" t="s">
        <v>21</v>
      </c>
      <c r="E627" s="1" t="s">
        <v>38</v>
      </c>
      <c r="F627" s="1" t="s">
        <v>28</v>
      </c>
      <c r="G627" s="1">
        <v>898.44</v>
      </c>
      <c r="H627" s="1" t="s">
        <v>152</v>
      </c>
      <c r="I627" s="2">
        <v>24792</v>
      </c>
      <c r="J627" s="2">
        <v>45128</v>
      </c>
      <c r="K627" s="1">
        <v>19.48</v>
      </c>
      <c r="L627" s="4">
        <f>G627*K627%</f>
        <v>175.01611200000002</v>
      </c>
      <c r="M627" s="4">
        <f>G627-L627</f>
        <v>723.42388800000003</v>
      </c>
    </row>
    <row r="628" spans="2:13" x14ac:dyDescent="0.3">
      <c r="B628" s="1">
        <v>1233</v>
      </c>
      <c r="C628" s="2">
        <v>44730</v>
      </c>
      <c r="D628" s="1" t="s">
        <v>21</v>
      </c>
      <c r="E628" s="1" t="s">
        <v>69</v>
      </c>
      <c r="F628" s="1" t="s">
        <v>12</v>
      </c>
      <c r="G628" s="1">
        <v>325.3</v>
      </c>
      <c r="H628" s="1" t="s">
        <v>152</v>
      </c>
      <c r="I628" s="2">
        <v>24792</v>
      </c>
      <c r="J628" s="2">
        <v>44736</v>
      </c>
      <c r="K628" s="1">
        <v>9.27</v>
      </c>
      <c r="L628" s="4">
        <f>G628*K628%</f>
        <v>30.155309999999997</v>
      </c>
      <c r="M628" s="4">
        <f>G628-L628</f>
        <v>295.14469000000003</v>
      </c>
    </row>
    <row r="629" spans="2:13" x14ac:dyDescent="0.3">
      <c r="B629" s="1">
        <v>1992</v>
      </c>
      <c r="C629" s="2">
        <v>45185</v>
      </c>
      <c r="D629" s="1" t="s">
        <v>21</v>
      </c>
      <c r="E629" s="1" t="s">
        <v>27</v>
      </c>
      <c r="F629" s="1" t="s">
        <v>28</v>
      </c>
      <c r="G629" s="1">
        <v>810.89</v>
      </c>
      <c r="H629" s="1" t="s">
        <v>198</v>
      </c>
      <c r="I629" s="2">
        <v>31598</v>
      </c>
      <c r="J629" s="2">
        <v>45196</v>
      </c>
      <c r="K629" s="1">
        <v>1.1100000000000001</v>
      </c>
      <c r="L629" s="4">
        <f>G629*K629%</f>
        <v>9.0008789999999994</v>
      </c>
      <c r="M629" s="4">
        <f>G629-L629</f>
        <v>801.88912099999993</v>
      </c>
    </row>
    <row r="630" spans="2:13" x14ac:dyDescent="0.3">
      <c r="B630" s="1">
        <v>1515</v>
      </c>
      <c r="C630" s="2">
        <v>44823</v>
      </c>
      <c r="D630" s="1" t="s">
        <v>21</v>
      </c>
      <c r="E630" s="1" t="s">
        <v>11</v>
      </c>
      <c r="F630" s="1" t="s">
        <v>12</v>
      </c>
      <c r="G630" s="1">
        <v>1005.2</v>
      </c>
      <c r="H630" s="1" t="s">
        <v>286</v>
      </c>
      <c r="I630" s="2">
        <v>33430</v>
      </c>
      <c r="J630" s="2">
        <v>44828</v>
      </c>
      <c r="K630" s="1">
        <v>17.05</v>
      </c>
      <c r="L630" s="4">
        <f>G630*K630%</f>
        <v>171.38660000000002</v>
      </c>
      <c r="M630" s="4">
        <f>G630-L630</f>
        <v>833.8134</v>
      </c>
    </row>
    <row r="631" spans="2:13" x14ac:dyDescent="0.3">
      <c r="B631" s="1">
        <v>1897</v>
      </c>
      <c r="C631" s="2">
        <v>44225</v>
      </c>
      <c r="D631" s="1" t="s">
        <v>21</v>
      </c>
      <c r="E631" s="1" t="s">
        <v>65</v>
      </c>
      <c r="F631" s="1" t="s">
        <v>19</v>
      </c>
      <c r="G631" s="1">
        <v>2668.25</v>
      </c>
      <c r="H631" s="1" t="s">
        <v>188</v>
      </c>
      <c r="I631" s="2">
        <v>31467</v>
      </c>
      <c r="J631" s="2">
        <v>44232</v>
      </c>
      <c r="K631" s="1">
        <v>16.52</v>
      </c>
      <c r="L631" s="4">
        <f>G631*K631%</f>
        <v>440.79489999999998</v>
      </c>
      <c r="M631" s="4">
        <f>G631-L631</f>
        <v>2227.4551000000001</v>
      </c>
    </row>
    <row r="632" spans="2:13" x14ac:dyDescent="0.3">
      <c r="B632" s="1">
        <v>1529</v>
      </c>
      <c r="C632" s="2">
        <v>44511</v>
      </c>
      <c r="D632" s="1" t="s">
        <v>21</v>
      </c>
      <c r="E632" s="1" t="s">
        <v>30</v>
      </c>
      <c r="F632" s="1" t="s">
        <v>31</v>
      </c>
      <c r="G632" s="1">
        <v>620.05999999999995</v>
      </c>
      <c r="H632" s="1" t="s">
        <v>188</v>
      </c>
      <c r="I632" s="2">
        <v>31467</v>
      </c>
      <c r="J632" s="2">
        <v>44514</v>
      </c>
      <c r="K632" s="1">
        <v>43.35</v>
      </c>
      <c r="L632" s="4">
        <f>G632*K632%</f>
        <v>268.79600999999997</v>
      </c>
      <c r="M632" s="4">
        <f>G632-L632</f>
        <v>351.26398999999998</v>
      </c>
    </row>
    <row r="633" spans="2:13" x14ac:dyDescent="0.3">
      <c r="B633" s="1">
        <v>1692</v>
      </c>
      <c r="C633" s="2">
        <v>45302</v>
      </c>
      <c r="D633" s="1" t="s">
        <v>21</v>
      </c>
      <c r="E633" s="1" t="s">
        <v>40</v>
      </c>
      <c r="F633" s="1" t="s">
        <v>16</v>
      </c>
      <c r="G633" s="1">
        <v>4150.93</v>
      </c>
      <c r="H633" s="1" t="s">
        <v>223</v>
      </c>
      <c r="I633" s="2">
        <v>35407</v>
      </c>
      <c r="J633" s="2">
        <v>45315</v>
      </c>
      <c r="K633" s="1">
        <v>46.04</v>
      </c>
      <c r="L633" s="4">
        <f>G633*K633%</f>
        <v>1911.088172</v>
      </c>
      <c r="M633" s="4">
        <f>G633-L633</f>
        <v>2239.8418280000005</v>
      </c>
    </row>
    <row r="634" spans="2:13" x14ac:dyDescent="0.3">
      <c r="B634" s="1">
        <v>1967</v>
      </c>
      <c r="C634" s="2">
        <v>44316</v>
      </c>
      <c r="D634" s="1" t="s">
        <v>21</v>
      </c>
      <c r="E634" s="1" t="s">
        <v>15</v>
      </c>
      <c r="F634" s="1" t="s">
        <v>16</v>
      </c>
      <c r="G634" s="1">
        <v>2148.19</v>
      </c>
      <c r="H634" s="1" t="s">
        <v>223</v>
      </c>
      <c r="I634" s="2">
        <v>35407</v>
      </c>
      <c r="J634" s="2">
        <v>44324</v>
      </c>
      <c r="K634" s="1">
        <v>31.44</v>
      </c>
      <c r="L634" s="4">
        <f>G634*K634%</f>
        <v>675.39093600000001</v>
      </c>
      <c r="M634" s="4">
        <f>G634-L634</f>
        <v>1472.799064</v>
      </c>
    </row>
    <row r="635" spans="2:13" x14ac:dyDescent="0.3">
      <c r="B635" s="1">
        <v>1759</v>
      </c>
      <c r="C635" s="2">
        <v>44527</v>
      </c>
      <c r="D635" s="1" t="s">
        <v>21</v>
      </c>
      <c r="E635" s="1" t="s">
        <v>49</v>
      </c>
      <c r="F635" s="1" t="s">
        <v>12</v>
      </c>
      <c r="G635" s="1">
        <v>2663.45</v>
      </c>
      <c r="H635" s="1" t="s">
        <v>29</v>
      </c>
      <c r="I635" s="2">
        <v>24033</v>
      </c>
      <c r="J635" s="2">
        <v>44539</v>
      </c>
      <c r="K635" s="1">
        <v>22.44</v>
      </c>
      <c r="L635" s="4">
        <f>G635*K635%</f>
        <v>597.67818</v>
      </c>
      <c r="M635" s="4">
        <f>G635-L635</f>
        <v>2065.7718199999999</v>
      </c>
    </row>
    <row r="636" spans="2:13" x14ac:dyDescent="0.3">
      <c r="B636" s="1">
        <v>1756</v>
      </c>
      <c r="C636" s="2">
        <v>44801</v>
      </c>
      <c r="D636" s="1" t="s">
        <v>21</v>
      </c>
      <c r="E636" s="1" t="s">
        <v>53</v>
      </c>
      <c r="F636" s="1" t="s">
        <v>28</v>
      </c>
      <c r="G636" s="1">
        <v>3805.23</v>
      </c>
      <c r="H636" s="1" t="s">
        <v>319</v>
      </c>
      <c r="I636" s="2">
        <v>36068</v>
      </c>
      <c r="J636" s="2">
        <v>44803</v>
      </c>
      <c r="K636" s="1">
        <v>27.67</v>
      </c>
      <c r="L636" s="4">
        <f>G636*K636%</f>
        <v>1052.9071409999999</v>
      </c>
      <c r="M636" s="4">
        <f>G636-L636</f>
        <v>2752.3228589999999</v>
      </c>
    </row>
    <row r="637" spans="2:13" x14ac:dyDescent="0.3">
      <c r="B637" s="1">
        <v>1154</v>
      </c>
      <c r="C637" s="2">
        <v>45488</v>
      </c>
      <c r="D637" s="1" t="s">
        <v>21</v>
      </c>
      <c r="E637" s="1" t="s">
        <v>27</v>
      </c>
      <c r="F637" s="1" t="s">
        <v>28</v>
      </c>
      <c r="G637" s="1">
        <v>2638.14</v>
      </c>
      <c r="H637" s="1" t="s">
        <v>168</v>
      </c>
      <c r="I637" s="2">
        <v>37674</v>
      </c>
      <c r="J637" s="2">
        <v>45496</v>
      </c>
      <c r="K637" s="1">
        <v>39.82</v>
      </c>
      <c r="L637" s="4">
        <f>G637*K637%</f>
        <v>1050.5073479999999</v>
      </c>
      <c r="M637" s="4">
        <f>G637-L637</f>
        <v>1587.632652</v>
      </c>
    </row>
    <row r="638" spans="2:13" x14ac:dyDescent="0.3">
      <c r="B638" s="1">
        <v>1918</v>
      </c>
      <c r="C638" s="2">
        <v>45298</v>
      </c>
      <c r="D638" s="1" t="s">
        <v>21</v>
      </c>
      <c r="E638" s="1" t="s">
        <v>53</v>
      </c>
      <c r="F638" s="1" t="s">
        <v>28</v>
      </c>
      <c r="G638" s="1">
        <v>4280.42</v>
      </c>
      <c r="H638" s="1" t="s">
        <v>182</v>
      </c>
      <c r="I638" s="2">
        <v>24719</v>
      </c>
      <c r="J638" s="2">
        <v>45300</v>
      </c>
      <c r="K638" s="1">
        <v>45.87</v>
      </c>
      <c r="L638" s="4">
        <f>G638*K638%</f>
        <v>1963.4286540000001</v>
      </c>
      <c r="M638" s="4">
        <f>G638-L638</f>
        <v>2316.9913459999998</v>
      </c>
    </row>
    <row r="639" spans="2:13" x14ac:dyDescent="0.3">
      <c r="B639" s="1">
        <v>1324</v>
      </c>
      <c r="C639" s="2">
        <v>45150</v>
      </c>
      <c r="D639" s="1" t="s">
        <v>21</v>
      </c>
      <c r="E639" s="1" t="s">
        <v>38</v>
      </c>
      <c r="F639" s="1" t="s">
        <v>28</v>
      </c>
      <c r="G639" s="1">
        <v>4884.1400000000003</v>
      </c>
      <c r="H639" s="1" t="s">
        <v>23</v>
      </c>
      <c r="I639" s="2">
        <v>38378</v>
      </c>
      <c r="J639" s="2">
        <v>45152</v>
      </c>
      <c r="K639" s="1">
        <v>28.02</v>
      </c>
      <c r="L639" s="4">
        <f>G639*K639%</f>
        <v>1368.5360280000002</v>
      </c>
      <c r="M639" s="4">
        <f>G639-L639</f>
        <v>3515.6039719999999</v>
      </c>
    </row>
    <row r="640" spans="2:13" x14ac:dyDescent="0.3">
      <c r="B640" s="1">
        <v>1003</v>
      </c>
      <c r="C640" s="2">
        <v>45255</v>
      </c>
      <c r="D640" s="1" t="s">
        <v>21</v>
      </c>
      <c r="E640" s="1" t="s">
        <v>22</v>
      </c>
      <c r="F640" s="1" t="s">
        <v>19</v>
      </c>
      <c r="G640" s="1">
        <v>2768.66</v>
      </c>
      <c r="H640" s="1" t="s">
        <v>23</v>
      </c>
      <c r="I640" s="2">
        <v>38378</v>
      </c>
      <c r="J640" s="2">
        <v>45261</v>
      </c>
      <c r="K640" s="1">
        <v>2.4500000000000002</v>
      </c>
      <c r="L640" s="4">
        <f>G640*K640%</f>
        <v>67.832170000000005</v>
      </c>
      <c r="M640" s="4">
        <f>G640-L640</f>
        <v>2700.8278299999997</v>
      </c>
    </row>
    <row r="641" spans="2:13" x14ac:dyDescent="0.3">
      <c r="B641" s="1">
        <v>1320</v>
      </c>
      <c r="C641" s="2">
        <v>44290</v>
      </c>
      <c r="D641" s="1" t="s">
        <v>21</v>
      </c>
      <c r="E641" s="1" t="s">
        <v>47</v>
      </c>
      <c r="F641" s="1" t="s">
        <v>12</v>
      </c>
      <c r="G641" s="1">
        <v>2972.21</v>
      </c>
      <c r="H641" s="1" t="s">
        <v>23</v>
      </c>
      <c r="I641" s="2">
        <v>38378</v>
      </c>
      <c r="J641" s="2">
        <v>44304</v>
      </c>
      <c r="K641" s="1">
        <v>22.8</v>
      </c>
      <c r="L641" s="4">
        <f>G641*K641%</f>
        <v>677.66388000000006</v>
      </c>
      <c r="M641" s="4">
        <f>G641-L641</f>
        <v>2294.54612</v>
      </c>
    </row>
    <row r="642" spans="2:13" x14ac:dyDescent="0.3">
      <c r="B642" s="1">
        <v>1399</v>
      </c>
      <c r="C642" s="2">
        <v>44519</v>
      </c>
      <c r="D642" s="1" t="s">
        <v>21</v>
      </c>
      <c r="E642" s="1" t="s">
        <v>73</v>
      </c>
      <c r="F642" s="1" t="s">
        <v>28</v>
      </c>
      <c r="G642" s="1">
        <v>2050.44</v>
      </c>
      <c r="H642" s="1" t="s">
        <v>257</v>
      </c>
      <c r="I642" s="2">
        <v>31685</v>
      </c>
      <c r="J642" s="2">
        <v>44524</v>
      </c>
      <c r="K642" s="1">
        <v>25.46</v>
      </c>
      <c r="L642" s="4">
        <f>G642*K642%</f>
        <v>522.04202399999997</v>
      </c>
      <c r="M642" s="4">
        <f>G642-L642</f>
        <v>1528.3979760000002</v>
      </c>
    </row>
    <row r="643" spans="2:13" x14ac:dyDescent="0.3">
      <c r="B643" s="1">
        <v>1321</v>
      </c>
      <c r="C643" s="2">
        <v>44915</v>
      </c>
      <c r="D643" s="1" t="s">
        <v>21</v>
      </c>
      <c r="E643" s="1" t="s">
        <v>53</v>
      </c>
      <c r="F643" s="1" t="s">
        <v>28</v>
      </c>
      <c r="G643" s="1">
        <v>4855.2</v>
      </c>
      <c r="H643" s="1" t="s">
        <v>37</v>
      </c>
      <c r="I643" s="2">
        <v>27534</v>
      </c>
      <c r="J643" s="2">
        <v>44921</v>
      </c>
      <c r="K643" s="1">
        <v>48.03</v>
      </c>
      <c r="L643" s="4">
        <f>G643*K643%</f>
        <v>2331.9525599999997</v>
      </c>
      <c r="M643" s="4">
        <f>G643-L643</f>
        <v>2523.2474400000001</v>
      </c>
    </row>
    <row r="644" spans="2:13" x14ac:dyDescent="0.3">
      <c r="B644" s="1">
        <v>1770</v>
      </c>
      <c r="C644" s="2">
        <v>45391</v>
      </c>
      <c r="D644" s="1" t="s">
        <v>21</v>
      </c>
      <c r="E644" s="1" t="s">
        <v>11</v>
      </c>
      <c r="F644" s="1" t="s">
        <v>12</v>
      </c>
      <c r="G644" s="1">
        <v>2417.52</v>
      </c>
      <c r="H644" s="1" t="s">
        <v>37</v>
      </c>
      <c r="I644" s="2">
        <v>27534</v>
      </c>
      <c r="J644" s="2">
        <v>45393</v>
      </c>
      <c r="K644" s="1">
        <v>25.77</v>
      </c>
      <c r="L644" s="4">
        <f>G644*K644%</f>
        <v>622.99490399999991</v>
      </c>
      <c r="M644" s="4">
        <f>G644-L644</f>
        <v>1794.5250960000001</v>
      </c>
    </row>
    <row r="645" spans="2:13" x14ac:dyDescent="0.3">
      <c r="B645" s="1">
        <v>1723</v>
      </c>
      <c r="C645" s="2">
        <v>45657</v>
      </c>
      <c r="D645" s="1" t="s">
        <v>21</v>
      </c>
      <c r="E645" s="1" t="s">
        <v>36</v>
      </c>
      <c r="F645" s="1" t="s">
        <v>28</v>
      </c>
      <c r="G645" s="1">
        <v>3158.37</v>
      </c>
      <c r="H645" s="1" t="s">
        <v>37</v>
      </c>
      <c r="I645" s="2">
        <v>27534</v>
      </c>
      <c r="J645" s="2">
        <v>45666</v>
      </c>
      <c r="K645" s="1">
        <v>49.54</v>
      </c>
      <c r="L645" s="4">
        <f>G645*K645%</f>
        <v>1564.6564980000001</v>
      </c>
      <c r="M645" s="4">
        <f>G645-L645</f>
        <v>1593.7135019999998</v>
      </c>
    </row>
    <row r="646" spans="2:13" x14ac:dyDescent="0.3">
      <c r="B646" s="1">
        <v>1353</v>
      </c>
      <c r="C646" s="2">
        <v>44589</v>
      </c>
      <c r="D646" s="1" t="s">
        <v>21</v>
      </c>
      <c r="E646" s="1" t="s">
        <v>30</v>
      </c>
      <c r="F646" s="1" t="s">
        <v>31</v>
      </c>
      <c r="G646" s="1">
        <v>350.39</v>
      </c>
      <c r="H646" s="1" t="s">
        <v>37</v>
      </c>
      <c r="I646" s="2">
        <v>27534</v>
      </c>
      <c r="J646" s="2">
        <v>44591</v>
      </c>
      <c r="K646" s="1">
        <v>33.08</v>
      </c>
      <c r="L646" s="4">
        <f>G646*K646%</f>
        <v>115.90901199999999</v>
      </c>
      <c r="M646" s="4">
        <f>G646-L646</f>
        <v>234.480988</v>
      </c>
    </row>
    <row r="647" spans="2:13" x14ac:dyDescent="0.3">
      <c r="B647" s="1">
        <v>1637</v>
      </c>
      <c r="C647" s="2">
        <v>45883</v>
      </c>
      <c r="D647" s="1" t="s">
        <v>21</v>
      </c>
      <c r="E647" s="1" t="s">
        <v>73</v>
      </c>
      <c r="F647" s="1" t="s">
        <v>28</v>
      </c>
      <c r="G647" s="1">
        <v>515.75</v>
      </c>
      <c r="H647" s="1" t="s">
        <v>293</v>
      </c>
      <c r="I647" s="2">
        <v>26379</v>
      </c>
      <c r="J647" s="2">
        <v>45892</v>
      </c>
      <c r="K647" s="1">
        <v>44.38</v>
      </c>
      <c r="L647" s="4">
        <f>G647*K647%</f>
        <v>228.88985000000002</v>
      </c>
      <c r="M647" s="4">
        <f>G647-L647</f>
        <v>286.86014999999998</v>
      </c>
    </row>
    <row r="648" spans="2:13" x14ac:dyDescent="0.3">
      <c r="B648" s="1">
        <v>1951</v>
      </c>
      <c r="C648" s="2">
        <v>44071</v>
      </c>
      <c r="D648" s="1" t="s">
        <v>21</v>
      </c>
      <c r="E648" s="1" t="s">
        <v>69</v>
      </c>
      <c r="F648" s="1" t="s">
        <v>12</v>
      </c>
      <c r="G648" s="1">
        <v>3359.09</v>
      </c>
      <c r="H648" s="1" t="s">
        <v>211</v>
      </c>
      <c r="I648" s="2">
        <v>35702</v>
      </c>
      <c r="J648" s="2">
        <v>44074</v>
      </c>
      <c r="K648" s="1">
        <v>26.73</v>
      </c>
      <c r="L648" s="4">
        <f>G648*K648%</f>
        <v>897.88475699999992</v>
      </c>
      <c r="M648" s="4">
        <f>G648-L648</f>
        <v>2461.2052430000003</v>
      </c>
    </row>
    <row r="649" spans="2:13" x14ac:dyDescent="0.3">
      <c r="B649" s="1">
        <v>1412</v>
      </c>
      <c r="C649" s="2">
        <v>45075</v>
      </c>
      <c r="D649" s="1" t="s">
        <v>21</v>
      </c>
      <c r="E649" s="1" t="s">
        <v>88</v>
      </c>
      <c r="F649" s="1" t="s">
        <v>16</v>
      </c>
      <c r="G649" s="1">
        <v>4759.97</v>
      </c>
      <c r="H649" s="1" t="s">
        <v>261</v>
      </c>
      <c r="I649" s="2">
        <v>23920</v>
      </c>
      <c r="J649" s="2">
        <v>45084</v>
      </c>
      <c r="K649" s="1">
        <v>15.69</v>
      </c>
      <c r="L649" s="4">
        <f>G649*K649%</f>
        <v>746.839293</v>
      </c>
      <c r="M649" s="4">
        <f>G649-L649</f>
        <v>4013.1307070000003</v>
      </c>
    </row>
    <row r="650" spans="2:13" x14ac:dyDescent="0.3">
      <c r="B650" s="1">
        <v>1565</v>
      </c>
      <c r="C650" s="2">
        <v>44649</v>
      </c>
      <c r="D650" s="1" t="s">
        <v>21</v>
      </c>
      <c r="E650" s="1" t="s">
        <v>27</v>
      </c>
      <c r="F650" s="1" t="s">
        <v>28</v>
      </c>
      <c r="G650" s="1">
        <v>4205.53</v>
      </c>
      <c r="H650" s="1" t="s">
        <v>60</v>
      </c>
      <c r="I650" s="2">
        <v>33482</v>
      </c>
      <c r="J650" s="2">
        <v>44660</v>
      </c>
      <c r="K650" s="1">
        <v>33.07</v>
      </c>
      <c r="L650" s="4">
        <f>G650*K650%</f>
        <v>1390.7687709999998</v>
      </c>
      <c r="M650" s="4">
        <f>G650-L650</f>
        <v>2814.7612289999997</v>
      </c>
    </row>
    <row r="651" spans="2:13" x14ac:dyDescent="0.3">
      <c r="B651" s="1">
        <v>1881</v>
      </c>
      <c r="C651" s="2">
        <v>44299</v>
      </c>
      <c r="D651" s="1" t="s">
        <v>21</v>
      </c>
      <c r="E651" s="1" t="s">
        <v>49</v>
      </c>
      <c r="F651" s="1" t="s">
        <v>12</v>
      </c>
      <c r="G651" s="1">
        <v>126.77</v>
      </c>
      <c r="H651" s="1" t="s">
        <v>60</v>
      </c>
      <c r="I651" s="2">
        <v>33482</v>
      </c>
      <c r="J651" s="2">
        <v>44306</v>
      </c>
      <c r="K651" s="1">
        <v>22.3</v>
      </c>
      <c r="L651" s="4">
        <f>G651*K651%</f>
        <v>28.26971</v>
      </c>
      <c r="M651" s="4">
        <f>G651-L651</f>
        <v>98.500289999999993</v>
      </c>
    </row>
    <row r="652" spans="2:13" x14ac:dyDescent="0.3">
      <c r="B652" s="1">
        <v>1965</v>
      </c>
      <c r="C652" s="2">
        <v>44788</v>
      </c>
      <c r="D652" s="1" t="s">
        <v>21</v>
      </c>
      <c r="E652" s="1" t="s">
        <v>61</v>
      </c>
      <c r="F652" s="1" t="s">
        <v>19</v>
      </c>
      <c r="G652" s="1">
        <v>4581.2299999999996</v>
      </c>
      <c r="H652" s="1" t="s">
        <v>163</v>
      </c>
      <c r="I652" s="2">
        <v>30364</v>
      </c>
      <c r="J652" s="2">
        <v>44793</v>
      </c>
      <c r="K652" s="1">
        <v>47.09</v>
      </c>
      <c r="L652" s="4">
        <f>G652*K652%</f>
        <v>2157.301207</v>
      </c>
      <c r="M652" s="4">
        <f>G652-L652</f>
        <v>2423.9287929999996</v>
      </c>
    </row>
    <row r="653" spans="2:13" x14ac:dyDescent="0.3">
      <c r="B653" s="1">
        <v>1427</v>
      </c>
      <c r="C653" s="2">
        <v>45010</v>
      </c>
      <c r="D653" s="1" t="s">
        <v>21</v>
      </c>
      <c r="E653" s="1" t="s">
        <v>15</v>
      </c>
      <c r="F653" s="1" t="s">
        <v>16</v>
      </c>
      <c r="G653" s="1">
        <v>4059.43</v>
      </c>
      <c r="H653" s="1" t="s">
        <v>233</v>
      </c>
      <c r="I653" s="2">
        <v>38826</v>
      </c>
      <c r="J653" s="2">
        <v>45014</v>
      </c>
      <c r="K653" s="1">
        <v>30.89</v>
      </c>
      <c r="L653" s="4">
        <f>G653*K653%</f>
        <v>1253.9579269999999</v>
      </c>
      <c r="M653" s="4">
        <f>G653-L653</f>
        <v>2805.4720729999999</v>
      </c>
    </row>
    <row r="654" spans="2:13" x14ac:dyDescent="0.3">
      <c r="B654" s="1">
        <v>1310</v>
      </c>
      <c r="C654" s="2">
        <v>44991</v>
      </c>
      <c r="D654" s="1" t="s">
        <v>21</v>
      </c>
      <c r="E654" s="1" t="s">
        <v>88</v>
      </c>
      <c r="F654" s="1" t="s">
        <v>16</v>
      </c>
      <c r="G654" s="1">
        <v>2682.47</v>
      </c>
      <c r="H654" s="1" t="s">
        <v>233</v>
      </c>
      <c r="I654" s="2">
        <v>38826</v>
      </c>
      <c r="J654" s="2">
        <v>45003</v>
      </c>
      <c r="K654" s="1">
        <v>26.43</v>
      </c>
      <c r="L654" s="4">
        <f>G654*K654%</f>
        <v>708.97682099999986</v>
      </c>
      <c r="M654" s="4">
        <f>G654-L654</f>
        <v>1973.4931790000001</v>
      </c>
    </row>
    <row r="655" spans="2:13" x14ac:dyDescent="0.3">
      <c r="B655" s="1">
        <v>1838</v>
      </c>
      <c r="C655" s="2">
        <v>45254</v>
      </c>
      <c r="D655" s="1" t="s">
        <v>21</v>
      </c>
      <c r="E655" s="1" t="s">
        <v>65</v>
      </c>
      <c r="F655" s="1" t="s">
        <v>19</v>
      </c>
      <c r="G655" s="1">
        <v>990.39</v>
      </c>
      <c r="H655" s="1" t="s">
        <v>233</v>
      </c>
      <c r="I655" s="2">
        <v>38826</v>
      </c>
      <c r="J655" s="2">
        <v>45256</v>
      </c>
      <c r="K655" s="1">
        <v>36.47</v>
      </c>
      <c r="L655" s="4">
        <f>G655*K655%</f>
        <v>361.19523299999997</v>
      </c>
      <c r="M655" s="4">
        <f>G655-L655</f>
        <v>629.19476699999996</v>
      </c>
    </row>
    <row r="656" spans="2:13" x14ac:dyDescent="0.3">
      <c r="B656" s="1">
        <v>1160</v>
      </c>
      <c r="C656" s="2">
        <v>45804</v>
      </c>
      <c r="D656" s="1" t="s">
        <v>21</v>
      </c>
      <c r="E656" s="1" t="s">
        <v>44</v>
      </c>
      <c r="F656" s="1" t="s">
        <v>16</v>
      </c>
      <c r="G656" s="1">
        <v>492.96</v>
      </c>
      <c r="H656" s="1" t="s">
        <v>172</v>
      </c>
      <c r="I656" s="2">
        <v>36571</v>
      </c>
      <c r="J656" s="2">
        <v>45814</v>
      </c>
      <c r="K656" s="1">
        <v>21.92</v>
      </c>
      <c r="L656" s="4">
        <f>G656*K656%</f>
        <v>108.056832</v>
      </c>
      <c r="M656" s="4">
        <f>G656-L656</f>
        <v>384.90316799999999</v>
      </c>
    </row>
    <row r="657" spans="2:13" x14ac:dyDescent="0.3">
      <c r="B657" s="1">
        <v>1835</v>
      </c>
      <c r="C657" s="2">
        <v>44960</v>
      </c>
      <c r="D657" s="1" t="s">
        <v>21</v>
      </c>
      <c r="E657" s="1" t="s">
        <v>33</v>
      </c>
      <c r="F657" s="1" t="s">
        <v>16</v>
      </c>
      <c r="G657" s="1">
        <v>916.62</v>
      </c>
      <c r="H657" s="1" t="s">
        <v>99</v>
      </c>
      <c r="I657" s="2">
        <v>26397</v>
      </c>
      <c r="J657" s="2">
        <v>44961</v>
      </c>
      <c r="K657" s="1">
        <v>34.35</v>
      </c>
      <c r="L657" s="4">
        <f>G657*K657%</f>
        <v>314.85897</v>
      </c>
      <c r="M657" s="4">
        <f>G657-L657</f>
        <v>601.76103000000001</v>
      </c>
    </row>
    <row r="658" spans="2:13" x14ac:dyDescent="0.3">
      <c r="B658" s="1">
        <v>1388</v>
      </c>
      <c r="C658" s="2">
        <v>45395</v>
      </c>
      <c r="D658" s="1" t="s">
        <v>21</v>
      </c>
      <c r="E658" s="1" t="s">
        <v>27</v>
      </c>
      <c r="F658" s="1" t="s">
        <v>28</v>
      </c>
      <c r="G658" s="1">
        <v>3118.17</v>
      </c>
      <c r="H658" s="1" t="s">
        <v>130</v>
      </c>
      <c r="I658" s="2">
        <v>38750</v>
      </c>
      <c r="J658" s="2">
        <v>45404</v>
      </c>
      <c r="K658" s="1">
        <v>8.19</v>
      </c>
      <c r="L658" s="4">
        <f>G658*K658%</f>
        <v>255.37812300000002</v>
      </c>
      <c r="M658" s="4">
        <f>G658-L658</f>
        <v>2862.7918770000001</v>
      </c>
    </row>
    <row r="659" spans="2:13" x14ac:dyDescent="0.3">
      <c r="B659" s="1">
        <v>1957</v>
      </c>
      <c r="C659" s="2">
        <v>44245</v>
      </c>
      <c r="D659" s="1" t="s">
        <v>21</v>
      </c>
      <c r="E659" s="1" t="s">
        <v>49</v>
      </c>
      <c r="F659" s="1" t="s">
        <v>12</v>
      </c>
      <c r="G659" s="1">
        <v>1254.9100000000001</v>
      </c>
      <c r="H659" s="1" t="s">
        <v>242</v>
      </c>
      <c r="I659" s="2">
        <v>21785</v>
      </c>
      <c r="J659" s="2">
        <v>44258</v>
      </c>
      <c r="K659" s="1">
        <v>39.520000000000003</v>
      </c>
      <c r="L659" s="4">
        <f>G659*K659%</f>
        <v>495.9404320000001</v>
      </c>
      <c r="M659" s="4">
        <f>G659-L659</f>
        <v>758.96956799999998</v>
      </c>
    </row>
    <row r="660" spans="2:13" x14ac:dyDescent="0.3">
      <c r="B660" s="1">
        <v>1428</v>
      </c>
      <c r="C660" s="2">
        <v>44404</v>
      </c>
      <c r="D660" s="1" t="s">
        <v>21</v>
      </c>
      <c r="E660" s="1" t="s">
        <v>38</v>
      </c>
      <c r="F660" s="1" t="s">
        <v>28</v>
      </c>
      <c r="G660" s="1">
        <v>463.95</v>
      </c>
      <c r="H660" s="1" t="s">
        <v>242</v>
      </c>
      <c r="I660" s="2">
        <v>21785</v>
      </c>
      <c r="J660" s="2">
        <v>44413</v>
      </c>
      <c r="K660" s="1">
        <v>49.28</v>
      </c>
      <c r="L660" s="4">
        <f>G660*K660%</f>
        <v>228.63455999999999</v>
      </c>
      <c r="M660" s="4">
        <f>G660-L660</f>
        <v>235.31544</v>
      </c>
    </row>
    <row r="661" spans="2:13" x14ac:dyDescent="0.3">
      <c r="B661" s="1">
        <v>1509</v>
      </c>
      <c r="C661" s="2">
        <v>44557</v>
      </c>
      <c r="D661" s="1" t="s">
        <v>21</v>
      </c>
      <c r="E661" s="1" t="s">
        <v>36</v>
      </c>
      <c r="F661" s="1" t="s">
        <v>28</v>
      </c>
      <c r="G661" s="1">
        <v>2170.37</v>
      </c>
      <c r="H661" s="1" t="s">
        <v>285</v>
      </c>
      <c r="I661" s="2">
        <v>26988</v>
      </c>
      <c r="J661" s="2">
        <v>44559</v>
      </c>
      <c r="K661" s="1">
        <v>27.89</v>
      </c>
      <c r="L661" s="4">
        <f>G661*K661%</f>
        <v>605.31619299999988</v>
      </c>
      <c r="M661" s="4">
        <f>G661-L661</f>
        <v>1565.053807</v>
      </c>
    </row>
    <row r="662" spans="2:13" x14ac:dyDescent="0.3">
      <c r="B662" s="1">
        <v>1130</v>
      </c>
      <c r="C662" s="2">
        <v>45860</v>
      </c>
      <c r="D662" s="1" t="s">
        <v>21</v>
      </c>
      <c r="E662" s="1" t="s">
        <v>24</v>
      </c>
      <c r="F662" s="1" t="s">
        <v>19</v>
      </c>
      <c r="G662" s="1">
        <v>2422.41</v>
      </c>
      <c r="H662" s="1" t="s">
        <v>112</v>
      </c>
      <c r="I662" s="2">
        <v>38171</v>
      </c>
      <c r="J662" s="2">
        <v>45862</v>
      </c>
      <c r="K662" s="1">
        <v>43.13</v>
      </c>
      <c r="L662" s="4">
        <f>G662*K662%</f>
        <v>1044.785433</v>
      </c>
      <c r="M662" s="4">
        <f>G662-L662</f>
        <v>1377.6245669999998</v>
      </c>
    </row>
    <row r="663" spans="2:13" x14ac:dyDescent="0.3">
      <c r="B663" s="1">
        <v>1790</v>
      </c>
      <c r="C663" s="2">
        <v>44244</v>
      </c>
      <c r="D663" s="1" t="s">
        <v>21</v>
      </c>
      <c r="E663" s="1" t="s">
        <v>33</v>
      </c>
      <c r="F663" s="1" t="s">
        <v>16</v>
      </c>
      <c r="G663" s="1">
        <v>4373.0600000000004</v>
      </c>
      <c r="H663" s="1" t="s">
        <v>151</v>
      </c>
      <c r="I663" s="2">
        <v>34427</v>
      </c>
      <c r="J663" s="2">
        <v>44251</v>
      </c>
      <c r="K663" s="1">
        <v>23.79</v>
      </c>
      <c r="L663" s="4">
        <f>G663*K663%</f>
        <v>1040.3509740000002</v>
      </c>
      <c r="M663" s="4">
        <f>G663-L663</f>
        <v>3332.7090260000004</v>
      </c>
    </row>
    <row r="664" spans="2:13" x14ac:dyDescent="0.3">
      <c r="B664" s="1">
        <v>1856</v>
      </c>
      <c r="C664" s="2">
        <v>45470</v>
      </c>
      <c r="D664" s="1" t="s">
        <v>21</v>
      </c>
      <c r="E664" s="1" t="s">
        <v>102</v>
      </c>
      <c r="F664" s="1" t="s">
        <v>12</v>
      </c>
      <c r="G664" s="1">
        <v>2564.0300000000002</v>
      </c>
      <c r="H664" s="1" t="s">
        <v>151</v>
      </c>
      <c r="I664" s="2">
        <v>34427</v>
      </c>
      <c r="J664" s="2">
        <v>45472</v>
      </c>
      <c r="K664" s="1">
        <v>18.93</v>
      </c>
      <c r="L664" s="4">
        <f>G664*K664%</f>
        <v>485.370879</v>
      </c>
      <c r="M664" s="4">
        <f>G664-L664</f>
        <v>2078.6591210000001</v>
      </c>
    </row>
    <row r="665" spans="2:13" x14ac:dyDescent="0.3">
      <c r="B665" s="1">
        <v>1871</v>
      </c>
      <c r="C665" s="2">
        <v>44943</v>
      </c>
      <c r="D665" s="1" t="s">
        <v>21</v>
      </c>
      <c r="E665" s="1" t="s">
        <v>24</v>
      </c>
      <c r="F665" s="1" t="s">
        <v>19</v>
      </c>
      <c r="G665" s="1">
        <v>1991.2</v>
      </c>
      <c r="H665" s="1" t="s">
        <v>151</v>
      </c>
      <c r="I665" s="2">
        <v>34427</v>
      </c>
      <c r="J665" s="2">
        <v>44955</v>
      </c>
      <c r="K665" s="1">
        <v>36.869999999999997</v>
      </c>
      <c r="L665" s="4">
        <f>G665*K665%</f>
        <v>734.15544</v>
      </c>
      <c r="M665" s="4">
        <f>G665-L665</f>
        <v>1257.04456</v>
      </c>
    </row>
    <row r="666" spans="2:13" x14ac:dyDescent="0.3">
      <c r="B666" s="1">
        <v>1550</v>
      </c>
      <c r="C666" s="2">
        <v>44477</v>
      </c>
      <c r="D666" s="1" t="s">
        <v>21</v>
      </c>
      <c r="E666" s="1" t="s">
        <v>11</v>
      </c>
      <c r="F666" s="1" t="s">
        <v>12</v>
      </c>
      <c r="G666" s="1">
        <v>710.65</v>
      </c>
      <c r="H666" s="1" t="s">
        <v>151</v>
      </c>
      <c r="I666" s="2">
        <v>34427</v>
      </c>
      <c r="J666" s="2">
        <v>44489</v>
      </c>
      <c r="K666" s="1">
        <v>37.58</v>
      </c>
      <c r="L666" s="4">
        <f>G666*K666%</f>
        <v>267.06226999999996</v>
      </c>
      <c r="M666" s="4">
        <f>G666-L666</f>
        <v>443.58773000000002</v>
      </c>
    </row>
    <row r="667" spans="2:13" x14ac:dyDescent="0.3">
      <c r="B667" s="1">
        <v>1877</v>
      </c>
      <c r="C667" s="2">
        <v>45420</v>
      </c>
      <c r="D667" s="1" t="s">
        <v>21</v>
      </c>
      <c r="E667" s="1" t="s">
        <v>55</v>
      </c>
      <c r="F667" s="1" t="s">
        <v>31</v>
      </c>
      <c r="G667" s="1">
        <v>2333.7399999999998</v>
      </c>
      <c r="H667" s="1" t="s">
        <v>275</v>
      </c>
      <c r="I667" s="2">
        <v>38510</v>
      </c>
      <c r="J667" s="2">
        <v>45423</v>
      </c>
      <c r="K667" s="1">
        <v>19</v>
      </c>
      <c r="L667" s="4">
        <f>G667*K667%</f>
        <v>443.41059999999999</v>
      </c>
      <c r="M667" s="4">
        <f>G667-L667</f>
        <v>1890.3293999999999</v>
      </c>
    </row>
    <row r="668" spans="2:13" x14ac:dyDescent="0.3">
      <c r="B668" s="1">
        <v>1837</v>
      </c>
      <c r="C668" s="2">
        <v>44285</v>
      </c>
      <c r="D668" s="1" t="s">
        <v>21</v>
      </c>
      <c r="E668" s="1" t="s">
        <v>30</v>
      </c>
      <c r="F668" s="1" t="s">
        <v>31</v>
      </c>
      <c r="G668" s="1">
        <v>243.73</v>
      </c>
      <c r="H668" s="1" t="s">
        <v>280</v>
      </c>
      <c r="I668" s="2">
        <v>29181</v>
      </c>
      <c r="J668" s="2">
        <v>44289</v>
      </c>
      <c r="K668" s="1">
        <v>24.17</v>
      </c>
      <c r="L668" s="4">
        <f>G668*K668%</f>
        <v>58.909541000000004</v>
      </c>
      <c r="M668" s="4">
        <f>G668-L668</f>
        <v>184.82045899999997</v>
      </c>
    </row>
    <row r="669" spans="2:13" x14ac:dyDescent="0.3">
      <c r="B669" s="1">
        <v>1704</v>
      </c>
      <c r="C669" s="2">
        <v>44120</v>
      </c>
      <c r="D669" s="1" t="s">
        <v>21</v>
      </c>
      <c r="E669" s="1" t="s">
        <v>36</v>
      </c>
      <c r="F669" s="1" t="s">
        <v>28</v>
      </c>
      <c r="G669" s="1">
        <v>1451.27</v>
      </c>
      <c r="H669" s="1" t="s">
        <v>56</v>
      </c>
      <c r="I669" s="2">
        <v>25712</v>
      </c>
      <c r="J669" s="2">
        <v>44128</v>
      </c>
      <c r="K669" s="1">
        <v>24.93</v>
      </c>
      <c r="L669" s="4">
        <f>G669*K669%</f>
        <v>361.80161099999998</v>
      </c>
      <c r="M669" s="4">
        <f>G669-L669</f>
        <v>1089.4683890000001</v>
      </c>
    </row>
    <row r="670" spans="2:13" x14ac:dyDescent="0.3">
      <c r="B670" s="1">
        <v>1383</v>
      </c>
      <c r="C670" s="2">
        <v>44672</v>
      </c>
      <c r="D670" s="1" t="s">
        <v>21</v>
      </c>
      <c r="E670" s="1" t="s">
        <v>65</v>
      </c>
      <c r="F670" s="1" t="s">
        <v>19</v>
      </c>
      <c r="G670" s="1">
        <v>1416.62</v>
      </c>
      <c r="H670" s="1" t="s">
        <v>56</v>
      </c>
      <c r="I670" s="2">
        <v>25712</v>
      </c>
      <c r="J670" s="2">
        <v>44673</v>
      </c>
      <c r="K670" s="1">
        <v>33.68</v>
      </c>
      <c r="L670" s="4">
        <f>G670*K670%</f>
        <v>477.11761599999994</v>
      </c>
      <c r="M670" s="4">
        <f>G670-L670</f>
        <v>939.50238399999989</v>
      </c>
    </row>
    <row r="671" spans="2:13" x14ac:dyDescent="0.3">
      <c r="B671" s="1">
        <v>1349</v>
      </c>
      <c r="C671" s="2">
        <v>44754</v>
      </c>
      <c r="D671" s="1" t="s">
        <v>21</v>
      </c>
      <c r="E671" s="1" t="s">
        <v>49</v>
      </c>
      <c r="F671" s="1" t="s">
        <v>12</v>
      </c>
      <c r="G671" s="1">
        <v>488.93</v>
      </c>
      <c r="H671" s="1" t="s">
        <v>56</v>
      </c>
      <c r="I671" s="2">
        <v>25712</v>
      </c>
      <c r="J671" s="2">
        <v>44764</v>
      </c>
      <c r="K671" s="1">
        <v>42.37</v>
      </c>
      <c r="L671" s="4">
        <f>G671*K671%</f>
        <v>207.15964099999999</v>
      </c>
      <c r="M671" s="4">
        <f>G671-L671</f>
        <v>281.77035899999998</v>
      </c>
    </row>
    <row r="672" spans="2:13" x14ac:dyDescent="0.3">
      <c r="B672" s="1">
        <v>1611</v>
      </c>
      <c r="C672" s="2">
        <v>44397</v>
      </c>
      <c r="D672" s="1" t="s">
        <v>21</v>
      </c>
      <c r="E672" s="1" t="s">
        <v>11</v>
      </c>
      <c r="F672" s="1" t="s">
        <v>12</v>
      </c>
      <c r="G672" s="1">
        <v>2961.27</v>
      </c>
      <c r="H672" s="1" t="s">
        <v>279</v>
      </c>
      <c r="I672" s="2">
        <v>38934</v>
      </c>
      <c r="J672" s="2">
        <v>44399</v>
      </c>
      <c r="K672" s="1">
        <v>0.68</v>
      </c>
      <c r="L672" s="4">
        <f>G672*K672%</f>
        <v>20.136636000000003</v>
      </c>
      <c r="M672" s="4">
        <f>G672-L672</f>
        <v>2941.1333639999998</v>
      </c>
    </row>
    <row r="673" spans="2:13" x14ac:dyDescent="0.3">
      <c r="B673" s="1">
        <v>1143</v>
      </c>
      <c r="C673" s="2">
        <v>44282</v>
      </c>
      <c r="D673" s="1" t="s">
        <v>21</v>
      </c>
      <c r="E673" s="1" t="s">
        <v>71</v>
      </c>
      <c r="F673" s="1" t="s">
        <v>31</v>
      </c>
      <c r="G673" s="1">
        <v>3908.26</v>
      </c>
      <c r="H673" s="1" t="s">
        <v>159</v>
      </c>
      <c r="I673" s="2">
        <v>38194</v>
      </c>
      <c r="J673" s="2">
        <v>44285</v>
      </c>
      <c r="K673" s="1">
        <v>5.22</v>
      </c>
      <c r="L673" s="4">
        <f>G673*K673%</f>
        <v>204.01117199999999</v>
      </c>
      <c r="M673" s="4">
        <f>G673-L673</f>
        <v>3704.2488280000002</v>
      </c>
    </row>
    <row r="674" spans="2:13" x14ac:dyDescent="0.3">
      <c r="B674" s="1">
        <v>1381</v>
      </c>
      <c r="C674" s="2">
        <v>45262</v>
      </c>
      <c r="D674" s="1" t="s">
        <v>21</v>
      </c>
      <c r="E674" s="1" t="s">
        <v>44</v>
      </c>
      <c r="F674" s="1" t="s">
        <v>16</v>
      </c>
      <c r="G674" s="1">
        <v>673.16</v>
      </c>
      <c r="H674" s="1" t="s">
        <v>159</v>
      </c>
      <c r="I674" s="2">
        <v>38194</v>
      </c>
      <c r="J674" s="2">
        <v>45268</v>
      </c>
      <c r="K674" s="1">
        <v>42.27</v>
      </c>
      <c r="L674" s="4">
        <f>G674*K674%</f>
        <v>284.54473200000001</v>
      </c>
      <c r="M674" s="4">
        <f>G674-L674</f>
        <v>388.61526799999996</v>
      </c>
    </row>
    <row r="675" spans="2:13" x14ac:dyDescent="0.3">
      <c r="B675" s="1">
        <v>1449</v>
      </c>
      <c r="C675" s="2">
        <v>44700</v>
      </c>
      <c r="D675" s="1" t="s">
        <v>21</v>
      </c>
      <c r="E675" s="1" t="s">
        <v>15</v>
      </c>
      <c r="F675" s="1" t="s">
        <v>16</v>
      </c>
      <c r="G675" s="1">
        <v>1889.02</v>
      </c>
      <c r="H675" s="1" t="s">
        <v>271</v>
      </c>
      <c r="I675" s="2">
        <v>22796</v>
      </c>
      <c r="J675" s="2">
        <v>44709</v>
      </c>
      <c r="K675" s="1">
        <v>2.15</v>
      </c>
      <c r="L675" s="4">
        <f>G675*K675%</f>
        <v>40.613929999999996</v>
      </c>
      <c r="M675" s="4">
        <f>G675-L675</f>
        <v>1848.40607</v>
      </c>
    </row>
    <row r="676" spans="2:13" x14ac:dyDescent="0.3">
      <c r="B676" s="1">
        <v>1432</v>
      </c>
      <c r="C676" s="2">
        <v>45165</v>
      </c>
      <c r="D676" s="1" t="s">
        <v>21</v>
      </c>
      <c r="E676" s="1" t="s">
        <v>44</v>
      </c>
      <c r="F676" s="1" t="s">
        <v>16</v>
      </c>
      <c r="G676" s="1">
        <v>2141.4499999999998</v>
      </c>
      <c r="H676" s="1" t="s">
        <v>180</v>
      </c>
      <c r="I676" s="2">
        <v>25163</v>
      </c>
      <c r="J676" s="2">
        <v>45172</v>
      </c>
      <c r="K676" s="1">
        <v>24.38</v>
      </c>
      <c r="L676" s="4">
        <f>G676*K676%</f>
        <v>522.08550999999989</v>
      </c>
      <c r="M676" s="4">
        <f>G676-L676</f>
        <v>1619.3644899999999</v>
      </c>
    </row>
    <row r="677" spans="2:13" x14ac:dyDescent="0.3">
      <c r="B677" s="1">
        <v>1639</v>
      </c>
      <c r="C677" s="2">
        <v>44586</v>
      </c>
      <c r="D677" s="1" t="s">
        <v>21</v>
      </c>
      <c r="E677" s="1" t="s">
        <v>24</v>
      </c>
      <c r="F677" s="1" t="s">
        <v>19</v>
      </c>
      <c r="G677" s="1">
        <v>2315.33</v>
      </c>
      <c r="H677" s="1" t="s">
        <v>180</v>
      </c>
      <c r="I677" s="2">
        <v>25163</v>
      </c>
      <c r="J677" s="2">
        <v>44597</v>
      </c>
      <c r="K677" s="1">
        <v>34.07</v>
      </c>
      <c r="L677" s="4">
        <f>G677*K677%</f>
        <v>788.83293100000003</v>
      </c>
      <c r="M677" s="4">
        <f>G677-L677</f>
        <v>1526.497069</v>
      </c>
    </row>
    <row r="678" spans="2:13" x14ac:dyDescent="0.3">
      <c r="B678" s="1">
        <v>1803</v>
      </c>
      <c r="C678" s="2">
        <v>44989</v>
      </c>
      <c r="D678" s="1" t="s">
        <v>21</v>
      </c>
      <c r="E678" s="1" t="s">
        <v>24</v>
      </c>
      <c r="F678" s="1" t="s">
        <v>19</v>
      </c>
      <c r="G678" s="1">
        <v>3698.7</v>
      </c>
      <c r="H678" s="1" t="s">
        <v>183</v>
      </c>
      <c r="I678" s="2">
        <v>32359</v>
      </c>
      <c r="J678" s="2">
        <v>44994</v>
      </c>
      <c r="K678" s="1">
        <v>23.36</v>
      </c>
      <c r="L678" s="4">
        <f>G678*K678%</f>
        <v>864.01631999999995</v>
      </c>
      <c r="M678" s="4">
        <f>G678-L678</f>
        <v>2834.6836800000001</v>
      </c>
    </row>
    <row r="679" spans="2:13" x14ac:dyDescent="0.3">
      <c r="B679" s="1">
        <v>1184</v>
      </c>
      <c r="C679" s="2">
        <v>44227</v>
      </c>
      <c r="D679" s="1" t="s">
        <v>21</v>
      </c>
      <c r="E679" s="1" t="s">
        <v>38</v>
      </c>
      <c r="F679" s="1" t="s">
        <v>28</v>
      </c>
      <c r="G679" s="1">
        <v>2092.31</v>
      </c>
      <c r="H679" s="1" t="s">
        <v>183</v>
      </c>
      <c r="I679" s="2">
        <v>32359</v>
      </c>
      <c r="J679" s="2">
        <v>44234</v>
      </c>
      <c r="K679" s="1">
        <v>41.77</v>
      </c>
      <c r="L679" s="4">
        <f>G679*K679%</f>
        <v>873.95788700000003</v>
      </c>
      <c r="M679" s="4">
        <f>G679-L679</f>
        <v>1218.3521129999999</v>
      </c>
    </row>
    <row r="680" spans="2:13" x14ac:dyDescent="0.3">
      <c r="B680" s="1">
        <v>1716</v>
      </c>
      <c r="C680" s="2">
        <v>45214</v>
      </c>
      <c r="D680" s="1" t="s">
        <v>21</v>
      </c>
      <c r="E680" s="1" t="s">
        <v>69</v>
      </c>
      <c r="F680" s="1" t="s">
        <v>31</v>
      </c>
      <c r="G680" s="1">
        <v>4121.55</v>
      </c>
      <c r="H680" s="1" t="s">
        <v>248</v>
      </c>
      <c r="I680" s="2">
        <v>32685</v>
      </c>
      <c r="J680" s="2">
        <v>45223</v>
      </c>
      <c r="K680" s="1">
        <v>35.71</v>
      </c>
      <c r="L680" s="4">
        <f>G680*K680%</f>
        <v>1471.8055050000003</v>
      </c>
      <c r="M680" s="4">
        <f>G680-L680</f>
        <v>2649.7444949999999</v>
      </c>
    </row>
    <row r="681" spans="2:13" x14ac:dyDescent="0.3">
      <c r="B681" s="1">
        <v>1259</v>
      </c>
      <c r="C681" s="2">
        <v>44840</v>
      </c>
      <c r="D681" s="1" t="s">
        <v>21</v>
      </c>
      <c r="E681" s="1" t="s">
        <v>11</v>
      </c>
      <c r="F681" s="1" t="s">
        <v>12</v>
      </c>
      <c r="G681" s="1">
        <v>1970.21</v>
      </c>
      <c r="H681" s="1" t="s">
        <v>222</v>
      </c>
      <c r="I681" s="2">
        <v>28619</v>
      </c>
      <c r="J681" s="2">
        <v>44850</v>
      </c>
      <c r="K681" s="1">
        <v>11.03</v>
      </c>
      <c r="L681" s="4">
        <f>G681*K681%</f>
        <v>217.31416300000001</v>
      </c>
      <c r="M681" s="4">
        <f>G681-L681</f>
        <v>1752.895837</v>
      </c>
    </row>
    <row r="682" spans="2:13" x14ac:dyDescent="0.3">
      <c r="B682" s="1">
        <v>1682</v>
      </c>
      <c r="C682" s="2">
        <v>44756</v>
      </c>
      <c r="D682" s="1" t="s">
        <v>21</v>
      </c>
      <c r="E682" s="1" t="s">
        <v>71</v>
      </c>
      <c r="F682" s="1" t="s">
        <v>31</v>
      </c>
      <c r="G682" s="1">
        <v>1401.86</v>
      </c>
      <c r="H682" s="1" t="s">
        <v>140</v>
      </c>
      <c r="I682" s="2">
        <v>24579</v>
      </c>
      <c r="J682" s="2">
        <v>44764</v>
      </c>
      <c r="K682" s="1">
        <v>46.91</v>
      </c>
      <c r="L682" s="4">
        <f>G682*K682%</f>
        <v>657.61252599999989</v>
      </c>
      <c r="M682" s="4">
        <f>G682-L682</f>
        <v>744.24747400000001</v>
      </c>
    </row>
    <row r="683" spans="2:13" x14ac:dyDescent="0.3">
      <c r="B683" s="1">
        <v>1947</v>
      </c>
      <c r="C683" s="2">
        <v>44509</v>
      </c>
      <c r="D683" s="1" t="s">
        <v>21</v>
      </c>
      <c r="E683" s="1" t="s">
        <v>30</v>
      </c>
      <c r="F683" s="1" t="s">
        <v>31</v>
      </c>
      <c r="G683" s="1">
        <v>3690.16</v>
      </c>
      <c r="H683" s="1" t="s">
        <v>316</v>
      </c>
      <c r="I683" s="2">
        <v>36087</v>
      </c>
      <c r="J683" s="2">
        <v>44517</v>
      </c>
      <c r="K683" s="1">
        <v>40.450000000000003</v>
      </c>
      <c r="L683" s="4">
        <f>G683*K683%</f>
        <v>1492.6697200000001</v>
      </c>
      <c r="M683" s="4">
        <f>G683-L683</f>
        <v>2197.49028</v>
      </c>
    </row>
    <row r="684" spans="2:13" x14ac:dyDescent="0.3">
      <c r="B684" s="1">
        <v>1793</v>
      </c>
      <c r="C684" s="2">
        <v>45466</v>
      </c>
      <c r="D684" s="1" t="s">
        <v>21</v>
      </c>
      <c r="E684" s="1" t="s">
        <v>69</v>
      </c>
      <c r="F684" s="1" t="s">
        <v>12</v>
      </c>
      <c r="G684" s="1">
        <v>682.1</v>
      </c>
      <c r="H684" s="1" t="s">
        <v>210</v>
      </c>
      <c r="I684" s="2">
        <v>27550</v>
      </c>
      <c r="J684" s="2">
        <v>45474</v>
      </c>
      <c r="K684" s="1">
        <v>33.54</v>
      </c>
      <c r="L684" s="4">
        <f>G684*K684%</f>
        <v>228.77634</v>
      </c>
      <c r="M684" s="4">
        <f>G684-L684</f>
        <v>453.32366000000002</v>
      </c>
    </row>
    <row r="685" spans="2:13" x14ac:dyDescent="0.3">
      <c r="B685" s="1">
        <v>1134</v>
      </c>
      <c r="C685" s="2">
        <v>44910</v>
      </c>
      <c r="D685" s="1" t="s">
        <v>21</v>
      </c>
      <c r="E685" s="1" t="s">
        <v>88</v>
      </c>
      <c r="F685" s="1" t="s">
        <v>16</v>
      </c>
      <c r="G685" s="1">
        <v>3482.39</v>
      </c>
      <c r="H685" s="1" t="s">
        <v>153</v>
      </c>
      <c r="I685" s="2">
        <v>36216</v>
      </c>
      <c r="J685" s="2">
        <v>44912</v>
      </c>
      <c r="K685" s="1">
        <v>34.479999999999997</v>
      </c>
      <c r="L685" s="4">
        <f>G685*K685%</f>
        <v>1200.7280719999999</v>
      </c>
      <c r="M685" s="4">
        <f>G685-L685</f>
        <v>2281.661928</v>
      </c>
    </row>
    <row r="686" spans="2:13" x14ac:dyDescent="0.3">
      <c r="B686" s="1">
        <v>1377</v>
      </c>
      <c r="C686" s="2">
        <v>44797</v>
      </c>
      <c r="D686" s="1" t="s">
        <v>21</v>
      </c>
      <c r="E686" s="1" t="s">
        <v>71</v>
      </c>
      <c r="F686" s="1" t="s">
        <v>31</v>
      </c>
      <c r="G686" s="1">
        <v>791.47</v>
      </c>
      <c r="H686" s="1" t="s">
        <v>220</v>
      </c>
      <c r="I686" s="2">
        <v>30755</v>
      </c>
      <c r="J686" s="2">
        <v>44800</v>
      </c>
      <c r="K686" s="1">
        <v>32.590000000000003</v>
      </c>
      <c r="L686" s="4">
        <f>G686*K686%</f>
        <v>257.94007300000004</v>
      </c>
      <c r="M686" s="4">
        <f>G686-L686</f>
        <v>533.52992700000004</v>
      </c>
    </row>
    <row r="687" spans="2:13" x14ac:dyDescent="0.3">
      <c r="B687" s="1">
        <v>1094</v>
      </c>
      <c r="C687" s="2">
        <v>45658</v>
      </c>
      <c r="D687" s="1" t="s">
        <v>21</v>
      </c>
      <c r="E687" s="1" t="s">
        <v>58</v>
      </c>
      <c r="F687" s="1" t="s">
        <v>31</v>
      </c>
      <c r="G687" s="1">
        <v>406.83</v>
      </c>
      <c r="H687" s="1" t="s">
        <v>95</v>
      </c>
      <c r="I687" s="2">
        <v>25821</v>
      </c>
      <c r="J687" s="2">
        <v>45669</v>
      </c>
      <c r="K687" s="1">
        <v>17.48</v>
      </c>
      <c r="L687" s="4">
        <f>G687*K687%</f>
        <v>71.113883999999999</v>
      </c>
      <c r="M687" s="4">
        <f>G687-L687</f>
        <v>335.716116</v>
      </c>
    </row>
    <row r="688" spans="2:13" x14ac:dyDescent="0.3">
      <c r="B688" s="1">
        <v>1988</v>
      </c>
      <c r="C688" s="2">
        <v>44777</v>
      </c>
      <c r="D688" s="1" t="s">
        <v>21</v>
      </c>
      <c r="E688" s="1" t="s">
        <v>88</v>
      </c>
      <c r="F688" s="1" t="s">
        <v>16</v>
      </c>
      <c r="G688" s="1">
        <v>2122.41</v>
      </c>
      <c r="H688" s="1" t="s">
        <v>173</v>
      </c>
      <c r="I688" s="2">
        <v>22016</v>
      </c>
      <c r="J688" s="2">
        <v>44791</v>
      </c>
      <c r="K688" s="1">
        <v>16.09</v>
      </c>
      <c r="L688" s="4">
        <f>G688*K688%</f>
        <v>341.49576899999994</v>
      </c>
      <c r="M688" s="4">
        <f>G688-L688</f>
        <v>1780.914231</v>
      </c>
    </row>
    <row r="689" spans="2:13" x14ac:dyDescent="0.3">
      <c r="B689" s="1">
        <v>1878</v>
      </c>
      <c r="C689" s="2">
        <v>45672</v>
      </c>
      <c r="D689" s="1" t="s">
        <v>21</v>
      </c>
      <c r="E689" s="1" t="s">
        <v>58</v>
      </c>
      <c r="F689" s="1" t="s">
        <v>31</v>
      </c>
      <c r="G689" s="1">
        <v>2214.59</v>
      </c>
      <c r="H689" s="1" t="s">
        <v>246</v>
      </c>
      <c r="I689" s="2">
        <v>25815</v>
      </c>
      <c r="J689" s="2">
        <v>45680</v>
      </c>
      <c r="K689" s="1">
        <v>35.99</v>
      </c>
      <c r="L689" s="4">
        <f>G689*K689%</f>
        <v>797.0309410000001</v>
      </c>
      <c r="M689" s="4">
        <f>G689-L689</f>
        <v>1417.5590590000002</v>
      </c>
    </row>
    <row r="690" spans="2:13" x14ac:dyDescent="0.3">
      <c r="B690" s="1">
        <v>1558</v>
      </c>
      <c r="C690" s="2">
        <v>44837</v>
      </c>
      <c r="D690" s="1" t="s">
        <v>21</v>
      </c>
      <c r="E690" s="1" t="s">
        <v>38</v>
      </c>
      <c r="F690" s="1" t="s">
        <v>28</v>
      </c>
      <c r="G690" s="1">
        <v>930.18</v>
      </c>
      <c r="H690" s="1" t="s">
        <v>97</v>
      </c>
      <c r="I690" s="2">
        <v>24706</v>
      </c>
      <c r="J690" s="2">
        <v>44842</v>
      </c>
      <c r="K690" s="1">
        <v>23.94</v>
      </c>
      <c r="L690" s="4">
        <f>G690*K690%</f>
        <v>222.685092</v>
      </c>
      <c r="M690" s="4">
        <f>G690-L690</f>
        <v>707.4949079999999</v>
      </c>
    </row>
    <row r="691" spans="2:13" x14ac:dyDescent="0.3">
      <c r="B691" s="1">
        <v>1982</v>
      </c>
      <c r="C691" s="2">
        <v>44780</v>
      </c>
      <c r="D691" s="1" t="s">
        <v>21</v>
      </c>
      <c r="E691" s="1" t="s">
        <v>24</v>
      </c>
      <c r="F691" s="1" t="s">
        <v>19</v>
      </c>
      <c r="G691" s="1">
        <v>3738.45</v>
      </c>
      <c r="H691" s="1" t="s">
        <v>287</v>
      </c>
      <c r="I691" s="2">
        <v>36329</v>
      </c>
      <c r="J691" s="2">
        <v>44783</v>
      </c>
      <c r="K691" s="1">
        <v>40.39</v>
      </c>
      <c r="L691" s="4">
        <f>G691*K691%</f>
        <v>1509.9599549999998</v>
      </c>
      <c r="M691" s="4">
        <f>G691-L691</f>
        <v>2228.490045</v>
      </c>
    </row>
    <row r="692" spans="2:13" x14ac:dyDescent="0.3">
      <c r="B692" s="1">
        <v>1630</v>
      </c>
      <c r="C692" s="2">
        <v>45715</v>
      </c>
      <c r="D692" s="1" t="s">
        <v>21</v>
      </c>
      <c r="E692" s="1" t="s">
        <v>24</v>
      </c>
      <c r="F692" s="1" t="s">
        <v>19</v>
      </c>
      <c r="G692" s="1">
        <v>348.83</v>
      </c>
      <c r="H692" s="1" t="s">
        <v>269</v>
      </c>
      <c r="I692" s="2">
        <v>30976</v>
      </c>
      <c r="J692" s="2">
        <v>45718</v>
      </c>
      <c r="K692" s="1">
        <v>15.94</v>
      </c>
      <c r="L692" s="4">
        <f>G692*K692%</f>
        <v>55.603501999999992</v>
      </c>
      <c r="M692" s="4">
        <f>G692-L692</f>
        <v>293.22649799999999</v>
      </c>
    </row>
    <row r="693" spans="2:13" x14ac:dyDescent="0.3">
      <c r="B693" s="1">
        <v>1541</v>
      </c>
      <c r="C693" s="2">
        <v>45380</v>
      </c>
      <c r="D693" s="1" t="s">
        <v>21</v>
      </c>
      <c r="E693" s="1" t="s">
        <v>40</v>
      </c>
      <c r="F693" s="1" t="s">
        <v>16</v>
      </c>
      <c r="G693" s="1">
        <v>3053.54</v>
      </c>
      <c r="H693" s="1" t="s">
        <v>101</v>
      </c>
      <c r="I693" s="2">
        <v>31331</v>
      </c>
      <c r="J693" s="2">
        <v>45386</v>
      </c>
      <c r="K693" s="1">
        <v>0.66</v>
      </c>
      <c r="L693" s="4">
        <f>G693*K693%</f>
        <v>20.153364</v>
      </c>
      <c r="M693" s="4">
        <f>G693-L693</f>
        <v>3033.3866360000002</v>
      </c>
    </row>
    <row r="694" spans="2:13" x14ac:dyDescent="0.3">
      <c r="B694" s="1">
        <v>1450</v>
      </c>
      <c r="C694" s="2">
        <v>44831</v>
      </c>
      <c r="D694" s="1" t="s">
        <v>21</v>
      </c>
      <c r="E694" s="1" t="s">
        <v>71</v>
      </c>
      <c r="F694" s="1" t="s">
        <v>31</v>
      </c>
      <c r="G694" s="1">
        <v>2427.5100000000002</v>
      </c>
      <c r="H694" s="1" t="s">
        <v>101</v>
      </c>
      <c r="I694" s="2">
        <v>31331</v>
      </c>
      <c r="J694" s="2">
        <v>44842</v>
      </c>
      <c r="K694" s="1">
        <v>21.39</v>
      </c>
      <c r="L694" s="4">
        <f>G694*K694%</f>
        <v>519.24438900000007</v>
      </c>
      <c r="M694" s="4">
        <f>G694-L694</f>
        <v>1908.2656110000003</v>
      </c>
    </row>
    <row r="695" spans="2:13" x14ac:dyDescent="0.3">
      <c r="B695" s="1">
        <v>1073</v>
      </c>
      <c r="C695" s="2">
        <v>45238</v>
      </c>
      <c r="D695" s="1" t="s">
        <v>21</v>
      </c>
      <c r="E695" s="1" t="s">
        <v>88</v>
      </c>
      <c r="F695" s="1" t="s">
        <v>16</v>
      </c>
      <c r="G695" s="1">
        <v>1397.31</v>
      </c>
      <c r="H695" s="1" t="s">
        <v>101</v>
      </c>
      <c r="I695" s="2">
        <v>31331</v>
      </c>
      <c r="J695" s="2">
        <v>45244</v>
      </c>
      <c r="K695" s="1">
        <v>9.11</v>
      </c>
      <c r="L695" s="4">
        <f>G695*K695%</f>
        <v>127.29494099999999</v>
      </c>
      <c r="M695" s="4">
        <f>G695-L695</f>
        <v>1270.0150589999998</v>
      </c>
    </row>
    <row r="696" spans="2:13" x14ac:dyDescent="0.3">
      <c r="B696" s="1">
        <v>1234</v>
      </c>
      <c r="C696" s="2">
        <v>44339</v>
      </c>
      <c r="D696" s="1" t="s">
        <v>21</v>
      </c>
      <c r="E696" s="1" t="s">
        <v>49</v>
      </c>
      <c r="F696" s="1" t="s">
        <v>12</v>
      </c>
      <c r="G696" s="1">
        <v>4453.8100000000004</v>
      </c>
      <c r="H696" s="1" t="s">
        <v>212</v>
      </c>
      <c r="I696" s="2">
        <v>23674</v>
      </c>
      <c r="J696" s="2">
        <v>44348</v>
      </c>
      <c r="K696" s="1">
        <v>42.29</v>
      </c>
      <c r="L696" s="4">
        <f>G696*K696%</f>
        <v>1883.5162490000002</v>
      </c>
      <c r="M696" s="4">
        <f>G696-L696</f>
        <v>2570.2937510000002</v>
      </c>
    </row>
    <row r="697" spans="2:13" x14ac:dyDescent="0.3">
      <c r="B697" s="1">
        <v>1440</v>
      </c>
      <c r="C697" s="2">
        <v>44758</v>
      </c>
      <c r="D697" s="1" t="s">
        <v>21</v>
      </c>
      <c r="E697" s="1" t="s">
        <v>38</v>
      </c>
      <c r="F697" s="1" t="s">
        <v>28</v>
      </c>
      <c r="G697" s="1">
        <v>494.59</v>
      </c>
      <c r="H697" s="1" t="s">
        <v>128</v>
      </c>
      <c r="I697" s="2">
        <v>37961</v>
      </c>
      <c r="J697" s="2">
        <v>44772</v>
      </c>
      <c r="K697" s="1">
        <v>29.68</v>
      </c>
      <c r="L697" s="4">
        <f>G697*K697%</f>
        <v>146.79431199999999</v>
      </c>
      <c r="M697" s="4">
        <f>G697-L697</f>
        <v>347.79568799999998</v>
      </c>
    </row>
    <row r="698" spans="2:13" x14ac:dyDescent="0.3">
      <c r="B698" s="1">
        <v>1659</v>
      </c>
      <c r="C698" s="2">
        <v>45036</v>
      </c>
      <c r="D698" s="1" t="s">
        <v>21</v>
      </c>
      <c r="E698" s="1" t="s">
        <v>71</v>
      </c>
      <c r="F698" s="1" t="s">
        <v>31</v>
      </c>
      <c r="G698" s="1">
        <v>2555.38</v>
      </c>
      <c r="H698" s="1" t="s">
        <v>305</v>
      </c>
      <c r="I698" s="2">
        <v>21940</v>
      </c>
      <c r="J698" s="2">
        <v>45041</v>
      </c>
      <c r="K698" s="1">
        <v>19.41</v>
      </c>
      <c r="L698" s="4">
        <f>G698*K698%</f>
        <v>495.999258</v>
      </c>
      <c r="M698" s="4">
        <f>G698-L698</f>
        <v>2059.3807420000003</v>
      </c>
    </row>
    <row r="699" spans="2:13" x14ac:dyDescent="0.3">
      <c r="B699" s="1">
        <v>1304</v>
      </c>
      <c r="C699" s="2">
        <v>44833</v>
      </c>
      <c r="D699" s="1" t="s">
        <v>21</v>
      </c>
      <c r="E699" s="1" t="s">
        <v>61</v>
      </c>
      <c r="F699" s="1" t="s">
        <v>19</v>
      </c>
      <c r="G699" s="1">
        <v>3544.31</v>
      </c>
      <c r="H699" s="1" t="s">
        <v>206</v>
      </c>
      <c r="I699" s="2">
        <v>34011</v>
      </c>
      <c r="J699" s="2">
        <v>44844</v>
      </c>
      <c r="K699" s="1">
        <v>26.92</v>
      </c>
      <c r="L699" s="4">
        <f>G699*K699%</f>
        <v>954.12825199999997</v>
      </c>
      <c r="M699" s="4">
        <f>G699-L699</f>
        <v>2590.181748</v>
      </c>
    </row>
    <row r="700" spans="2:13" x14ac:dyDescent="0.3">
      <c r="B700" s="1">
        <v>1761</v>
      </c>
      <c r="C700" s="2">
        <v>44245</v>
      </c>
      <c r="D700" s="1" t="s">
        <v>21</v>
      </c>
      <c r="E700" s="1" t="s">
        <v>15</v>
      </c>
      <c r="F700" s="1" t="s">
        <v>16</v>
      </c>
      <c r="G700" s="1">
        <v>2568.0700000000002</v>
      </c>
      <c r="H700" s="1" t="s">
        <v>262</v>
      </c>
      <c r="I700" s="2">
        <v>36590</v>
      </c>
      <c r="J700" s="2">
        <v>44254</v>
      </c>
      <c r="K700" s="1">
        <v>20.55</v>
      </c>
      <c r="L700" s="4">
        <f>G700*K700%</f>
        <v>527.73838500000011</v>
      </c>
      <c r="M700" s="4">
        <f>G700-L700</f>
        <v>2040.3316150000001</v>
      </c>
    </row>
    <row r="701" spans="2:13" x14ac:dyDescent="0.3">
      <c r="B701" s="1">
        <v>1123</v>
      </c>
      <c r="C701" s="2">
        <v>45807</v>
      </c>
      <c r="D701" s="1" t="s">
        <v>21</v>
      </c>
      <c r="E701" s="1" t="s">
        <v>58</v>
      </c>
      <c r="F701" s="1" t="s">
        <v>31</v>
      </c>
      <c r="G701" s="1">
        <v>4103.01</v>
      </c>
      <c r="H701" s="1" t="s">
        <v>146</v>
      </c>
      <c r="I701" s="2">
        <v>24961</v>
      </c>
      <c r="J701" s="2">
        <v>45812</v>
      </c>
      <c r="K701" s="1">
        <v>0.87</v>
      </c>
      <c r="L701" s="4">
        <f>G701*K701%</f>
        <v>35.696187000000002</v>
      </c>
      <c r="M701" s="4">
        <f>G701-L701</f>
        <v>4067.3138130000002</v>
      </c>
    </row>
    <row r="702" spans="2:13" x14ac:dyDescent="0.3">
      <c r="B702" s="1">
        <v>1153</v>
      </c>
      <c r="C702" s="2">
        <v>45326</v>
      </c>
      <c r="D702" s="1" t="s">
        <v>21</v>
      </c>
      <c r="E702" s="1" t="s">
        <v>33</v>
      </c>
      <c r="F702" s="1" t="s">
        <v>16</v>
      </c>
      <c r="G702" s="1">
        <v>3632.86</v>
      </c>
      <c r="H702" s="1" t="s">
        <v>167</v>
      </c>
      <c r="I702" s="2">
        <v>24672</v>
      </c>
      <c r="J702" s="2">
        <v>45334</v>
      </c>
      <c r="K702" s="1">
        <v>42.47</v>
      </c>
      <c r="L702" s="4">
        <f>G702*K702%</f>
        <v>1542.875642</v>
      </c>
      <c r="M702" s="4">
        <f>G702-L702</f>
        <v>2089.9843580000002</v>
      </c>
    </row>
    <row r="703" spans="2:13" x14ac:dyDescent="0.3">
      <c r="B703" s="1">
        <v>1843</v>
      </c>
      <c r="C703" s="2">
        <v>44543</v>
      </c>
      <c r="D703" s="1" t="s">
        <v>21</v>
      </c>
      <c r="E703" s="1" t="s">
        <v>53</v>
      </c>
      <c r="F703" s="1" t="s">
        <v>28</v>
      </c>
      <c r="G703" s="1">
        <v>1622.49</v>
      </c>
      <c r="H703" s="1" t="s">
        <v>195</v>
      </c>
      <c r="I703" s="2">
        <v>28065</v>
      </c>
      <c r="J703" s="2">
        <v>44547</v>
      </c>
      <c r="K703" s="1">
        <v>3.71</v>
      </c>
      <c r="L703" s="4">
        <f>G703*K703%</f>
        <v>60.194379000000005</v>
      </c>
      <c r="M703" s="4">
        <f>G703-L703</f>
        <v>1562.295621</v>
      </c>
    </row>
    <row r="704" spans="2:13" x14ac:dyDescent="0.3">
      <c r="B704" s="1">
        <v>1670</v>
      </c>
      <c r="C704" s="2">
        <v>45041</v>
      </c>
      <c r="D704" s="1" t="s">
        <v>21</v>
      </c>
      <c r="E704" s="1" t="s">
        <v>69</v>
      </c>
      <c r="F704" s="1" t="s">
        <v>31</v>
      </c>
      <c r="G704" s="1">
        <v>2238.67</v>
      </c>
      <c r="H704" s="1" t="s">
        <v>142</v>
      </c>
      <c r="I704" s="2">
        <v>29541</v>
      </c>
      <c r="J704" s="2">
        <v>45049</v>
      </c>
      <c r="K704" s="1">
        <v>12.27</v>
      </c>
      <c r="L704" s="4">
        <f>G704*K704%</f>
        <v>274.68480899999997</v>
      </c>
      <c r="M704" s="4">
        <f>G704-L704</f>
        <v>1963.9851910000002</v>
      </c>
    </row>
    <row r="705" spans="2:13" x14ac:dyDescent="0.3">
      <c r="B705" s="1">
        <v>1705</v>
      </c>
      <c r="C705" s="2">
        <v>45019</v>
      </c>
      <c r="D705" s="1" t="s">
        <v>21</v>
      </c>
      <c r="E705" s="1" t="s">
        <v>55</v>
      </c>
      <c r="F705" s="1" t="s">
        <v>31</v>
      </c>
      <c r="G705" s="1">
        <v>4397.05</v>
      </c>
      <c r="H705" s="1" t="s">
        <v>216</v>
      </c>
      <c r="I705" s="2">
        <v>31419</v>
      </c>
      <c r="J705" s="2">
        <v>45022</v>
      </c>
      <c r="K705" s="1">
        <v>18.420000000000002</v>
      </c>
      <c r="L705" s="4">
        <f>G705*K705%</f>
        <v>809.9366100000002</v>
      </c>
      <c r="M705" s="4">
        <f>G705-L705</f>
        <v>3587.11339</v>
      </c>
    </row>
    <row r="706" spans="2:13" x14ac:dyDescent="0.3">
      <c r="B706" s="1">
        <v>1241</v>
      </c>
      <c r="C706" s="2">
        <v>45234</v>
      </c>
      <c r="D706" s="1" t="s">
        <v>21</v>
      </c>
      <c r="E706" s="1" t="s">
        <v>69</v>
      </c>
      <c r="F706" s="1" t="s">
        <v>31</v>
      </c>
      <c r="G706" s="1">
        <v>1756.15</v>
      </c>
      <c r="H706" s="1" t="s">
        <v>216</v>
      </c>
      <c r="I706" s="2">
        <v>31419</v>
      </c>
      <c r="J706" s="2">
        <v>45239</v>
      </c>
      <c r="K706" s="1">
        <v>33.44</v>
      </c>
      <c r="L706" s="4">
        <f>G706*K706%</f>
        <v>587.25656000000004</v>
      </c>
      <c r="M706" s="4">
        <f>G706-L706</f>
        <v>1168.8934400000001</v>
      </c>
    </row>
    <row r="707" spans="2:13" x14ac:dyDescent="0.3">
      <c r="B707" s="1">
        <v>1986</v>
      </c>
      <c r="C707" s="2">
        <v>45000</v>
      </c>
      <c r="D707" s="1" t="s">
        <v>21</v>
      </c>
      <c r="E707" s="1" t="s">
        <v>102</v>
      </c>
      <c r="F707" s="1" t="s">
        <v>12</v>
      </c>
      <c r="G707" s="1">
        <v>468.69</v>
      </c>
      <c r="H707" s="1" t="s">
        <v>216</v>
      </c>
      <c r="I707" s="2">
        <v>31419</v>
      </c>
      <c r="J707" s="2">
        <v>45014</v>
      </c>
      <c r="K707" s="1">
        <v>46.49</v>
      </c>
      <c r="L707" s="4">
        <f>G707*K707%</f>
        <v>217.89398100000003</v>
      </c>
      <c r="M707" s="4">
        <f>G707-L707</f>
        <v>250.79601899999997</v>
      </c>
    </row>
    <row r="708" spans="2:13" x14ac:dyDescent="0.3">
      <c r="B708" s="1">
        <v>1007</v>
      </c>
      <c r="C708" s="2">
        <v>45601</v>
      </c>
      <c r="D708" s="1" t="s">
        <v>21</v>
      </c>
      <c r="E708" s="1" t="s">
        <v>33</v>
      </c>
      <c r="F708" s="1" t="s">
        <v>16</v>
      </c>
      <c r="G708" s="1">
        <v>1343.23</v>
      </c>
      <c r="H708" s="1" t="s">
        <v>34</v>
      </c>
      <c r="I708" s="2">
        <v>25232</v>
      </c>
      <c r="J708" s="2">
        <v>45606</v>
      </c>
      <c r="K708" s="1">
        <v>12.44</v>
      </c>
      <c r="L708" s="4">
        <f>G708*K708%</f>
        <v>167.097812</v>
      </c>
      <c r="M708" s="4">
        <f>G708-L708</f>
        <v>1176.132188</v>
      </c>
    </row>
    <row r="709" spans="2:13" x14ac:dyDescent="0.3">
      <c r="B709" s="1">
        <v>1622</v>
      </c>
      <c r="C709" s="2">
        <v>45784</v>
      </c>
      <c r="D709" s="1" t="s">
        <v>21</v>
      </c>
      <c r="E709" s="1" t="s">
        <v>69</v>
      </c>
      <c r="F709" s="1" t="s">
        <v>31</v>
      </c>
      <c r="G709" s="1">
        <v>2113.2199999999998</v>
      </c>
      <c r="H709" s="1" t="s">
        <v>134</v>
      </c>
      <c r="I709" s="2">
        <v>30299</v>
      </c>
      <c r="J709" s="2">
        <v>45789</v>
      </c>
      <c r="K709" s="1">
        <v>47.05</v>
      </c>
      <c r="L709" s="4">
        <f>G709*K709%</f>
        <v>994.27000999999984</v>
      </c>
      <c r="M709" s="4">
        <f>G709-L709</f>
        <v>1118.9499900000001</v>
      </c>
    </row>
    <row r="710" spans="2:13" x14ac:dyDescent="0.3">
      <c r="B710" s="1">
        <v>1578</v>
      </c>
      <c r="C710" s="2">
        <v>45821</v>
      </c>
      <c r="D710" s="1" t="s">
        <v>21</v>
      </c>
      <c r="E710" s="1" t="s">
        <v>58</v>
      </c>
      <c r="F710" s="1" t="s">
        <v>31</v>
      </c>
      <c r="G710" s="1">
        <v>1162.24</v>
      </c>
      <c r="H710" s="1" t="s">
        <v>108</v>
      </c>
      <c r="I710" s="2">
        <v>33413</v>
      </c>
      <c r="J710" s="2">
        <v>45824</v>
      </c>
      <c r="K710" s="1">
        <v>5.94</v>
      </c>
      <c r="L710" s="4">
        <f>G710*K710%</f>
        <v>69.037056000000007</v>
      </c>
      <c r="M710" s="4">
        <f>G710-L710</f>
        <v>1093.2029440000001</v>
      </c>
    </row>
    <row r="711" spans="2:13" x14ac:dyDescent="0.3">
      <c r="B711" s="1">
        <v>1608</v>
      </c>
      <c r="C711" s="2">
        <v>45403</v>
      </c>
      <c r="D711" s="1" t="s">
        <v>21</v>
      </c>
      <c r="E711" s="1" t="s">
        <v>30</v>
      </c>
      <c r="F711" s="1" t="s">
        <v>31</v>
      </c>
      <c r="G711" s="1">
        <v>2213.81</v>
      </c>
      <c r="H711" s="1" t="s">
        <v>166</v>
      </c>
      <c r="I711" s="2">
        <v>27879</v>
      </c>
      <c r="J711" s="2">
        <v>45414</v>
      </c>
      <c r="K711" s="1">
        <v>27.09</v>
      </c>
      <c r="L711" s="4">
        <f>G711*K711%</f>
        <v>599.72112899999991</v>
      </c>
      <c r="M711" s="4">
        <f>G711-L711</f>
        <v>1614.0888709999999</v>
      </c>
    </row>
    <row r="712" spans="2:13" x14ac:dyDescent="0.3">
      <c r="B712" s="1">
        <v>1750</v>
      </c>
      <c r="C712" s="2">
        <v>44989</v>
      </c>
      <c r="D712" s="1" t="s">
        <v>21</v>
      </c>
      <c r="E712" s="1" t="s">
        <v>53</v>
      </c>
      <c r="F712" s="1" t="s">
        <v>28</v>
      </c>
      <c r="G712" s="1">
        <v>1126.92</v>
      </c>
      <c r="H712" s="1" t="s">
        <v>166</v>
      </c>
      <c r="I712" s="2">
        <v>27879</v>
      </c>
      <c r="J712" s="2">
        <v>44990</v>
      </c>
      <c r="K712" s="1">
        <v>7.35</v>
      </c>
      <c r="L712" s="4">
        <f>G712*K712%</f>
        <v>82.828620000000001</v>
      </c>
      <c r="M712" s="4">
        <f>G712-L712</f>
        <v>1044.0913800000001</v>
      </c>
    </row>
    <row r="713" spans="2:13" x14ac:dyDescent="0.3">
      <c r="B713" s="1">
        <v>1972</v>
      </c>
      <c r="C713" s="2">
        <v>44421</v>
      </c>
      <c r="D713" s="1" t="s">
        <v>21</v>
      </c>
      <c r="E713" s="1" t="s">
        <v>40</v>
      </c>
      <c r="F713" s="1" t="s">
        <v>16</v>
      </c>
      <c r="G713" s="1">
        <v>2697.91</v>
      </c>
      <c r="H713" s="1" t="s">
        <v>80</v>
      </c>
      <c r="I713" s="2">
        <v>31578</v>
      </c>
      <c r="J713" s="2">
        <v>44431</v>
      </c>
      <c r="K713" s="1">
        <v>40.82</v>
      </c>
      <c r="L713" s="4">
        <f>G713*K713%</f>
        <v>1101.2868619999999</v>
      </c>
      <c r="M713" s="4">
        <f>G713-L713</f>
        <v>1596.6231379999999</v>
      </c>
    </row>
    <row r="714" spans="2:13" x14ac:dyDescent="0.3">
      <c r="B714" s="1">
        <v>1729</v>
      </c>
      <c r="C714" s="2">
        <v>45680</v>
      </c>
      <c r="D714" s="1" t="s">
        <v>21</v>
      </c>
      <c r="E714" s="1" t="s">
        <v>73</v>
      </c>
      <c r="F714" s="1" t="s">
        <v>28</v>
      </c>
      <c r="G714" s="1">
        <v>1844.63</v>
      </c>
      <c r="H714" s="1" t="s">
        <v>201</v>
      </c>
      <c r="I714" s="2">
        <v>23469</v>
      </c>
      <c r="J714" s="2">
        <v>45688</v>
      </c>
      <c r="K714" s="1">
        <v>42.25</v>
      </c>
      <c r="L714" s="4">
        <f>G714*K714%</f>
        <v>779.35617500000001</v>
      </c>
      <c r="M714" s="4">
        <f>G714-L714</f>
        <v>1065.2738250000002</v>
      </c>
    </row>
    <row r="715" spans="2:13" x14ac:dyDescent="0.3">
      <c r="B715" s="1">
        <v>1579</v>
      </c>
      <c r="C715" s="2">
        <v>45282</v>
      </c>
      <c r="D715" s="1" t="s">
        <v>21</v>
      </c>
      <c r="E715" s="1" t="s">
        <v>18</v>
      </c>
      <c r="F715" s="1" t="s">
        <v>19</v>
      </c>
      <c r="G715" s="1">
        <v>2127.64</v>
      </c>
      <c r="H715" s="1" t="s">
        <v>17</v>
      </c>
      <c r="I715" s="2">
        <v>26484</v>
      </c>
      <c r="J715" s="2">
        <v>45287</v>
      </c>
      <c r="K715" s="1">
        <v>21.3</v>
      </c>
      <c r="L715" s="4">
        <f>G715*K715%</f>
        <v>453.18731999999994</v>
      </c>
      <c r="M715" s="4">
        <f>G715-L715</f>
        <v>1674.4526799999999</v>
      </c>
    </row>
    <row r="716" spans="2:13" x14ac:dyDescent="0.3">
      <c r="B716" s="1">
        <v>1296</v>
      </c>
      <c r="C716" s="2">
        <v>45625</v>
      </c>
      <c r="D716" s="1" t="s">
        <v>21</v>
      </c>
      <c r="E716" s="1" t="s">
        <v>44</v>
      </c>
      <c r="F716" s="1" t="s">
        <v>16</v>
      </c>
      <c r="G716" s="1">
        <v>4002.12</v>
      </c>
      <c r="H716" s="1" t="s">
        <v>178</v>
      </c>
      <c r="I716" s="2">
        <v>23890</v>
      </c>
      <c r="J716" s="2">
        <v>45633</v>
      </c>
      <c r="K716" s="1">
        <v>46.69</v>
      </c>
      <c r="L716" s="4">
        <f>G716*K716%</f>
        <v>1868.5898279999999</v>
      </c>
      <c r="M716" s="4">
        <f>G716-L716</f>
        <v>2133.5301719999998</v>
      </c>
    </row>
    <row r="717" spans="2:13" x14ac:dyDescent="0.3">
      <c r="B717" s="1">
        <v>1936</v>
      </c>
      <c r="C717" s="2">
        <v>45607</v>
      </c>
      <c r="D717" s="1" t="s">
        <v>21</v>
      </c>
      <c r="E717" s="1" t="s">
        <v>40</v>
      </c>
      <c r="F717" s="1" t="s">
        <v>16</v>
      </c>
      <c r="G717" s="1">
        <v>489.14</v>
      </c>
      <c r="H717" s="1" t="s">
        <v>178</v>
      </c>
      <c r="I717" s="2">
        <v>23890</v>
      </c>
      <c r="J717" s="2">
        <v>45608</v>
      </c>
      <c r="K717" s="1">
        <v>21.66</v>
      </c>
      <c r="L717" s="4">
        <f>G717*K717%</f>
        <v>105.94772400000001</v>
      </c>
      <c r="M717" s="4">
        <f>G717-L717</f>
        <v>383.19227599999999</v>
      </c>
    </row>
    <row r="718" spans="2:13" x14ac:dyDescent="0.3">
      <c r="B718" s="1">
        <v>1586</v>
      </c>
      <c r="C718" s="2">
        <v>44354</v>
      </c>
      <c r="D718" s="1" t="s">
        <v>21</v>
      </c>
      <c r="E718" s="1" t="s">
        <v>18</v>
      </c>
      <c r="F718" s="1" t="s">
        <v>19</v>
      </c>
      <c r="G718" s="1">
        <v>1927.4</v>
      </c>
      <c r="H718" s="1" t="s">
        <v>256</v>
      </c>
      <c r="I718" s="2">
        <v>34537</v>
      </c>
      <c r="J718" s="2">
        <v>44362</v>
      </c>
      <c r="K718" s="1">
        <v>49.21</v>
      </c>
      <c r="L718" s="4">
        <f>G718*K718%</f>
        <v>948.47353999999996</v>
      </c>
      <c r="M718" s="4">
        <f>G718-L718</f>
        <v>978.92646000000013</v>
      </c>
    </row>
    <row r="719" spans="2:13" x14ac:dyDescent="0.3">
      <c r="B719" s="1">
        <v>1048</v>
      </c>
      <c r="C719" s="2">
        <v>44436</v>
      </c>
      <c r="D719" s="1" t="s">
        <v>21</v>
      </c>
      <c r="E719" s="1" t="s">
        <v>88</v>
      </c>
      <c r="F719" s="1" t="s">
        <v>16</v>
      </c>
      <c r="G719" s="1">
        <v>2162.52</v>
      </c>
      <c r="H719" s="1" t="s">
        <v>89</v>
      </c>
      <c r="I719" s="2">
        <v>37141</v>
      </c>
      <c r="J719" s="2">
        <v>44437</v>
      </c>
      <c r="K719" s="1">
        <v>37.590000000000003</v>
      </c>
      <c r="L719" s="4">
        <f>G719*K719%</f>
        <v>812.89126799999997</v>
      </c>
      <c r="M719" s="4">
        <f>G719-L719</f>
        <v>1349.6287320000001</v>
      </c>
    </row>
    <row r="720" spans="2:13" x14ac:dyDescent="0.3">
      <c r="B720" s="1">
        <v>1688</v>
      </c>
      <c r="C720" s="2">
        <v>44973</v>
      </c>
      <c r="D720" s="1" t="s">
        <v>21</v>
      </c>
      <c r="E720" s="1" t="s">
        <v>71</v>
      </c>
      <c r="F720" s="1" t="s">
        <v>31</v>
      </c>
      <c r="G720" s="1">
        <v>4036.71</v>
      </c>
      <c r="H720" s="1" t="s">
        <v>260</v>
      </c>
      <c r="I720" s="2">
        <v>38628</v>
      </c>
      <c r="J720" s="2">
        <v>44976</v>
      </c>
      <c r="K720" s="1">
        <v>30.2</v>
      </c>
      <c r="L720" s="4">
        <f>G720*K720%</f>
        <v>1219.0864199999999</v>
      </c>
      <c r="M720" s="4">
        <f>G720-L720</f>
        <v>2817.6235800000004</v>
      </c>
    </row>
    <row r="721" spans="2:13" x14ac:dyDescent="0.3">
      <c r="B721" s="1">
        <v>1547</v>
      </c>
      <c r="C721" s="2">
        <v>44852</v>
      </c>
      <c r="D721" s="1" t="s">
        <v>21</v>
      </c>
      <c r="E721" s="1" t="s">
        <v>49</v>
      </c>
      <c r="F721" s="1" t="s">
        <v>12</v>
      </c>
      <c r="G721" s="1">
        <v>3146.45</v>
      </c>
      <c r="H721" s="1" t="s">
        <v>260</v>
      </c>
      <c r="I721" s="2">
        <v>38628</v>
      </c>
      <c r="J721" s="2">
        <v>44856</v>
      </c>
      <c r="K721" s="1">
        <v>22.43</v>
      </c>
      <c r="L721" s="4">
        <f>G721*K721%</f>
        <v>705.74873500000001</v>
      </c>
      <c r="M721" s="4">
        <f>G721-L721</f>
        <v>2440.7012649999997</v>
      </c>
    </row>
    <row r="722" spans="2:13" x14ac:dyDescent="0.3">
      <c r="B722" s="1">
        <v>1806</v>
      </c>
      <c r="C722" s="2">
        <v>45010</v>
      </c>
      <c r="D722" s="1" t="s">
        <v>21</v>
      </c>
      <c r="E722" s="1" t="s">
        <v>40</v>
      </c>
      <c r="F722" s="1" t="s">
        <v>16</v>
      </c>
      <c r="G722" s="1">
        <v>3827.4</v>
      </c>
      <c r="H722" s="1" t="s">
        <v>260</v>
      </c>
      <c r="I722" s="2">
        <v>38628</v>
      </c>
      <c r="J722" s="2">
        <v>45012</v>
      </c>
      <c r="K722" s="1">
        <v>40.19</v>
      </c>
      <c r="L722" s="4">
        <f>G722*K722%</f>
        <v>1538.23206</v>
      </c>
      <c r="M722" s="4">
        <f>G722-L722</f>
        <v>2289.1679400000003</v>
      </c>
    </row>
    <row r="723" spans="2:13" x14ac:dyDescent="0.3">
      <c r="B723" s="1">
        <v>1409</v>
      </c>
      <c r="C723" s="2">
        <v>45235</v>
      </c>
      <c r="D723" s="1" t="s">
        <v>21</v>
      </c>
      <c r="E723" s="1" t="s">
        <v>61</v>
      </c>
      <c r="F723" s="1" t="s">
        <v>19</v>
      </c>
      <c r="G723" s="1">
        <v>2000.28</v>
      </c>
      <c r="H723" s="1" t="s">
        <v>260</v>
      </c>
      <c r="I723" s="2">
        <v>38628</v>
      </c>
      <c r="J723" s="2">
        <v>45237</v>
      </c>
      <c r="K723" s="1">
        <v>37.200000000000003</v>
      </c>
      <c r="L723" s="4">
        <f>G723*K723%</f>
        <v>744.10416000000009</v>
      </c>
      <c r="M723" s="4">
        <f>G723-L723</f>
        <v>1256.1758399999999</v>
      </c>
    </row>
    <row r="724" spans="2:13" x14ac:dyDescent="0.3">
      <c r="B724" s="1">
        <v>1783</v>
      </c>
      <c r="C724" s="2">
        <v>44504</v>
      </c>
      <c r="D724" s="1" t="s">
        <v>21</v>
      </c>
      <c r="E724" s="1" t="s">
        <v>33</v>
      </c>
      <c r="F724" s="1" t="s">
        <v>16</v>
      </c>
      <c r="G724" s="1">
        <v>2085.2600000000002</v>
      </c>
      <c r="H724" s="1" t="s">
        <v>114</v>
      </c>
      <c r="I724" s="2">
        <v>28543</v>
      </c>
      <c r="J724" s="2">
        <v>44508</v>
      </c>
      <c r="K724" s="1">
        <v>30.59</v>
      </c>
      <c r="L724" s="4">
        <f>G724*K724%</f>
        <v>637.88103400000011</v>
      </c>
      <c r="M724" s="4">
        <f>G724-L724</f>
        <v>1447.3789660000002</v>
      </c>
    </row>
    <row r="725" spans="2:13" x14ac:dyDescent="0.3">
      <c r="B725" s="1">
        <v>1082</v>
      </c>
      <c r="C725" s="2">
        <v>44142</v>
      </c>
      <c r="D725" s="1" t="s">
        <v>21</v>
      </c>
      <c r="E725" s="1" t="s">
        <v>73</v>
      </c>
      <c r="F725" s="1" t="s">
        <v>28</v>
      </c>
      <c r="G725" s="1">
        <v>711.12</v>
      </c>
      <c r="H725" s="1" t="s">
        <v>114</v>
      </c>
      <c r="I725" s="2">
        <v>28543</v>
      </c>
      <c r="J725" s="2">
        <v>44153</v>
      </c>
      <c r="K725" s="1">
        <v>49.69</v>
      </c>
      <c r="L725" s="4">
        <f>G725*K725%</f>
        <v>353.35552799999999</v>
      </c>
      <c r="M725" s="4">
        <f>G725-L725</f>
        <v>357.76447200000001</v>
      </c>
    </row>
    <row r="726" spans="2:13" x14ac:dyDescent="0.3">
      <c r="B726" s="1">
        <v>1617</v>
      </c>
      <c r="C726" s="2">
        <v>44533</v>
      </c>
      <c r="D726" s="1" t="s">
        <v>21</v>
      </c>
      <c r="E726" s="1" t="s">
        <v>71</v>
      </c>
      <c r="F726" s="1" t="s">
        <v>31</v>
      </c>
      <c r="G726" s="1">
        <v>3648.56</v>
      </c>
      <c r="H726" s="1" t="s">
        <v>236</v>
      </c>
      <c r="I726" s="2">
        <v>36099</v>
      </c>
      <c r="J726" s="2">
        <v>44539</v>
      </c>
      <c r="K726" s="1">
        <v>26.36</v>
      </c>
      <c r="L726" s="4">
        <f>G726*K726%</f>
        <v>961.76041599999996</v>
      </c>
      <c r="M726" s="4">
        <f>G726-L726</f>
        <v>2686.7995839999999</v>
      </c>
    </row>
    <row r="727" spans="2:13" x14ac:dyDescent="0.3">
      <c r="B727" s="1">
        <v>1505</v>
      </c>
      <c r="C727" s="2">
        <v>44953</v>
      </c>
      <c r="D727" s="1" t="s">
        <v>21</v>
      </c>
      <c r="E727" s="1" t="s">
        <v>65</v>
      </c>
      <c r="F727" s="1" t="s">
        <v>19</v>
      </c>
      <c r="G727" s="1">
        <v>989.3</v>
      </c>
      <c r="H727" s="1" t="s">
        <v>236</v>
      </c>
      <c r="I727" s="2">
        <v>36099</v>
      </c>
      <c r="J727" s="2">
        <v>44967</v>
      </c>
      <c r="K727" s="1">
        <v>9.18</v>
      </c>
      <c r="L727" s="4">
        <f>G727*K727%</f>
        <v>90.817739999999986</v>
      </c>
      <c r="M727" s="4">
        <f>G727-L727</f>
        <v>898.48226</v>
      </c>
    </row>
    <row r="728" spans="2:13" x14ac:dyDescent="0.3">
      <c r="B728" s="1">
        <v>1693</v>
      </c>
      <c r="C728" s="2">
        <v>44528</v>
      </c>
      <c r="D728" s="1" t="s">
        <v>21</v>
      </c>
      <c r="E728" s="1" t="s">
        <v>40</v>
      </c>
      <c r="F728" s="1" t="s">
        <v>16</v>
      </c>
      <c r="G728" s="1">
        <v>3648.4</v>
      </c>
      <c r="H728" s="1" t="s">
        <v>221</v>
      </c>
      <c r="I728" s="2">
        <v>35658</v>
      </c>
      <c r="J728" s="2">
        <v>44542</v>
      </c>
      <c r="K728" s="1">
        <v>42.7</v>
      </c>
      <c r="L728" s="4">
        <f>G728*K728%</f>
        <v>1557.8668000000002</v>
      </c>
      <c r="M728" s="4">
        <f>G728-L728</f>
        <v>2090.5331999999999</v>
      </c>
    </row>
    <row r="729" spans="2:13" x14ac:dyDescent="0.3">
      <c r="B729" s="1">
        <v>1796</v>
      </c>
      <c r="C729" s="2">
        <v>44792</v>
      </c>
      <c r="D729" s="1" t="s">
        <v>21</v>
      </c>
      <c r="E729" s="1" t="s">
        <v>40</v>
      </c>
      <c r="F729" s="1" t="s">
        <v>16</v>
      </c>
      <c r="G729" s="1">
        <v>1488.13</v>
      </c>
      <c r="H729" s="1" t="s">
        <v>321</v>
      </c>
      <c r="I729" s="2">
        <v>22467</v>
      </c>
      <c r="J729" s="2">
        <v>44804</v>
      </c>
      <c r="K729" s="1">
        <v>16.190000000000001</v>
      </c>
      <c r="L729" s="4">
        <f>G729*K729%</f>
        <v>240.92824700000006</v>
      </c>
      <c r="M729" s="4">
        <f>G729-L729</f>
        <v>1247.2017530000001</v>
      </c>
    </row>
    <row r="730" spans="2:13" x14ac:dyDescent="0.3">
      <c r="B730" s="1">
        <v>1252</v>
      </c>
      <c r="C730" s="2">
        <v>45116</v>
      </c>
      <c r="D730" s="1" t="s">
        <v>21</v>
      </c>
      <c r="E730" s="1" t="s">
        <v>38</v>
      </c>
      <c r="F730" s="1" t="s">
        <v>28</v>
      </c>
      <c r="G730" s="1">
        <v>2705.86</v>
      </c>
      <c r="H730" s="1" t="s">
        <v>219</v>
      </c>
      <c r="I730" s="2">
        <v>25321</v>
      </c>
      <c r="J730" s="2">
        <v>45121</v>
      </c>
      <c r="K730" s="1">
        <v>48.33</v>
      </c>
      <c r="L730" s="4">
        <f>G730*K730%</f>
        <v>1307.7421380000001</v>
      </c>
      <c r="M730" s="4">
        <f>G730-L730</f>
        <v>1398.1178620000001</v>
      </c>
    </row>
    <row r="731" spans="2:13" x14ac:dyDescent="0.3">
      <c r="B731" s="1">
        <v>1537</v>
      </c>
      <c r="C731" s="2">
        <v>45670</v>
      </c>
      <c r="D731" s="1" t="s">
        <v>21</v>
      </c>
      <c r="E731" s="1" t="s">
        <v>22</v>
      </c>
      <c r="F731" s="1" t="s">
        <v>19</v>
      </c>
      <c r="G731" s="1">
        <v>4731.1400000000003</v>
      </c>
      <c r="H731" s="1" t="s">
        <v>292</v>
      </c>
      <c r="I731" s="2">
        <v>27118</v>
      </c>
      <c r="J731" s="2">
        <v>45683</v>
      </c>
      <c r="K731" s="1">
        <v>4</v>
      </c>
      <c r="L731" s="4">
        <f>G731*K731%</f>
        <v>189.24560000000002</v>
      </c>
      <c r="M731" s="4">
        <f>G731-L731</f>
        <v>4541.8944000000001</v>
      </c>
    </row>
    <row r="732" spans="2:13" x14ac:dyDescent="0.3">
      <c r="B732" s="1">
        <v>1405</v>
      </c>
      <c r="C732" s="2">
        <v>45710</v>
      </c>
      <c r="D732" s="1" t="s">
        <v>21</v>
      </c>
      <c r="E732" s="1" t="s">
        <v>55</v>
      </c>
      <c r="F732" s="1" t="s">
        <v>31</v>
      </c>
      <c r="G732" s="1">
        <v>2107.34</v>
      </c>
      <c r="H732" s="1" t="s">
        <v>254</v>
      </c>
      <c r="I732" s="2">
        <v>29366</v>
      </c>
      <c r="J732" s="2">
        <v>45720</v>
      </c>
      <c r="K732" s="1">
        <v>49.22</v>
      </c>
      <c r="L732" s="4">
        <f>G732*K732%</f>
        <v>1037.2327479999999</v>
      </c>
      <c r="M732" s="4">
        <f>G732-L732</f>
        <v>1070.1072520000002</v>
      </c>
    </row>
    <row r="733" spans="2:13" x14ac:dyDescent="0.3">
      <c r="B733" s="1">
        <v>1308</v>
      </c>
      <c r="C733" s="2">
        <v>45111</v>
      </c>
      <c r="D733" s="1" t="s">
        <v>21</v>
      </c>
      <c r="E733" s="1" t="s">
        <v>30</v>
      </c>
      <c r="F733" s="1" t="s">
        <v>31</v>
      </c>
      <c r="G733" s="1">
        <v>4912.82</v>
      </c>
      <c r="H733" s="1" t="s">
        <v>158</v>
      </c>
      <c r="I733" s="2">
        <v>34871</v>
      </c>
      <c r="J733" s="2">
        <v>45123</v>
      </c>
      <c r="K733" s="1">
        <v>43.1</v>
      </c>
      <c r="L733" s="4">
        <f>G733*K733%</f>
        <v>2117.42542</v>
      </c>
      <c r="M733" s="4">
        <f>G733-L733</f>
        <v>2795.3945799999997</v>
      </c>
    </row>
    <row r="734" spans="2:13" x14ac:dyDescent="0.3">
      <c r="B734" s="1">
        <v>1847</v>
      </c>
      <c r="C734" s="2">
        <v>44849</v>
      </c>
      <c r="D734" s="1" t="s">
        <v>21</v>
      </c>
      <c r="E734" s="1" t="s">
        <v>33</v>
      </c>
      <c r="F734" s="1" t="s">
        <v>16</v>
      </c>
      <c r="G734" s="1">
        <v>2688.59</v>
      </c>
      <c r="H734" s="1" t="s">
        <v>158</v>
      </c>
      <c r="I734" s="2">
        <v>34871</v>
      </c>
      <c r="J734" s="2">
        <v>44861</v>
      </c>
      <c r="K734" s="1">
        <v>38.090000000000003</v>
      </c>
      <c r="L734" s="4">
        <f>G734*K734%</f>
        <v>1024.0839310000001</v>
      </c>
      <c r="M734" s="4">
        <f>G734-L734</f>
        <v>1664.506069</v>
      </c>
    </row>
    <row r="735" spans="2:13" x14ac:dyDescent="0.3">
      <c r="B735" s="1">
        <v>1237</v>
      </c>
      <c r="C735" s="2">
        <v>44398</v>
      </c>
      <c r="D735" s="1" t="s">
        <v>21</v>
      </c>
      <c r="E735" s="1" t="s">
        <v>102</v>
      </c>
      <c r="F735" s="1" t="s">
        <v>12</v>
      </c>
      <c r="G735" s="1">
        <v>3581.56</v>
      </c>
      <c r="H735" s="1" t="s">
        <v>86</v>
      </c>
      <c r="I735" s="2">
        <v>37858</v>
      </c>
      <c r="J735" s="2">
        <v>44405</v>
      </c>
      <c r="K735" s="1">
        <v>41.87</v>
      </c>
      <c r="L735" s="4">
        <f>G735*K735%</f>
        <v>1499.5991719999997</v>
      </c>
      <c r="M735" s="4">
        <f>G735-L735</f>
        <v>2081.9608280000002</v>
      </c>
    </row>
    <row r="736" spans="2:13" x14ac:dyDescent="0.3">
      <c r="B736" s="1">
        <v>1461</v>
      </c>
      <c r="C736" s="2">
        <v>44214</v>
      </c>
      <c r="D736" s="1" t="s">
        <v>21</v>
      </c>
      <c r="E736" s="1" t="s">
        <v>33</v>
      </c>
      <c r="F736" s="1" t="s">
        <v>16</v>
      </c>
      <c r="G736" s="1">
        <v>2176.2399999999998</v>
      </c>
      <c r="H736" s="1" t="s">
        <v>86</v>
      </c>
      <c r="I736" s="2">
        <v>37858</v>
      </c>
      <c r="J736" s="2">
        <v>44215</v>
      </c>
      <c r="K736" s="1">
        <v>21.69</v>
      </c>
      <c r="L736" s="4">
        <f>G736*K736%</f>
        <v>472.026456</v>
      </c>
      <c r="M736" s="4">
        <f>G736-L736</f>
        <v>1704.2135439999997</v>
      </c>
    </row>
    <row r="737" spans="2:13" x14ac:dyDescent="0.3">
      <c r="B737" s="1">
        <v>1621</v>
      </c>
      <c r="C737" s="2">
        <v>45283</v>
      </c>
      <c r="D737" s="1" t="s">
        <v>21</v>
      </c>
      <c r="E737" s="1" t="s">
        <v>22</v>
      </c>
      <c r="F737" s="1" t="s">
        <v>19</v>
      </c>
      <c r="G737" s="1">
        <v>3704.72</v>
      </c>
      <c r="H737" s="1" t="s">
        <v>25</v>
      </c>
      <c r="I737" s="2">
        <v>33386</v>
      </c>
      <c r="J737" s="2">
        <v>45285</v>
      </c>
      <c r="K737" s="1">
        <v>15.38</v>
      </c>
      <c r="L737" s="4">
        <f>G737*K737%</f>
        <v>569.78593599999999</v>
      </c>
      <c r="M737" s="4">
        <f>G737-L737</f>
        <v>3134.934064</v>
      </c>
    </row>
    <row r="738" spans="2:13" x14ac:dyDescent="0.3">
      <c r="B738" s="1">
        <v>1590</v>
      </c>
      <c r="C738" s="2">
        <v>44460</v>
      </c>
      <c r="D738" s="1" t="s">
        <v>21</v>
      </c>
      <c r="E738" s="1" t="s">
        <v>11</v>
      </c>
      <c r="F738" s="1" t="s">
        <v>12</v>
      </c>
      <c r="G738" s="1">
        <v>341.81</v>
      </c>
      <c r="H738" s="1" t="s">
        <v>139</v>
      </c>
      <c r="I738" s="2">
        <v>29381</v>
      </c>
      <c r="J738" s="2">
        <v>44466</v>
      </c>
      <c r="K738" s="1">
        <v>19.75</v>
      </c>
      <c r="L738" s="4">
        <f>G738*K738%</f>
        <v>67.507474999999999</v>
      </c>
      <c r="M738" s="4">
        <f>G738-L738</f>
        <v>274.302525</v>
      </c>
    </row>
    <row r="739" spans="2:13" x14ac:dyDescent="0.3">
      <c r="B739" s="1">
        <v>1717</v>
      </c>
      <c r="C739" s="2">
        <v>44535</v>
      </c>
      <c r="D739" s="1" t="s">
        <v>21</v>
      </c>
      <c r="E739" s="1" t="s">
        <v>88</v>
      </c>
      <c r="F739" s="1" t="s">
        <v>16</v>
      </c>
      <c r="G739" s="1">
        <v>3582.34</v>
      </c>
      <c r="H739" s="1" t="s">
        <v>113</v>
      </c>
      <c r="I739" s="2">
        <v>25579</v>
      </c>
      <c r="J739" s="2">
        <v>44540</v>
      </c>
      <c r="K739" s="1">
        <v>14.14</v>
      </c>
      <c r="L739" s="4">
        <f>G739*K739%</f>
        <v>506.54287600000004</v>
      </c>
      <c r="M739" s="4">
        <f>G739-L739</f>
        <v>3075.7971240000002</v>
      </c>
    </row>
    <row r="740" spans="2:13" x14ac:dyDescent="0.3">
      <c r="B740" s="1">
        <v>1524</v>
      </c>
      <c r="C740" s="2">
        <v>45705</v>
      </c>
      <c r="D740" s="1" t="s">
        <v>21</v>
      </c>
      <c r="E740" s="1" t="s">
        <v>53</v>
      </c>
      <c r="F740" s="1" t="s">
        <v>28</v>
      </c>
      <c r="G740" s="1">
        <v>3743.49</v>
      </c>
      <c r="H740" s="1" t="s">
        <v>113</v>
      </c>
      <c r="I740" s="2">
        <v>25579</v>
      </c>
      <c r="J740" s="2">
        <v>45707</v>
      </c>
      <c r="K740" s="1">
        <v>41.5</v>
      </c>
      <c r="L740" s="4">
        <f>G740*K740%</f>
        <v>1553.5483499999998</v>
      </c>
      <c r="M740" s="4">
        <f>G740-L740</f>
        <v>2189.9416499999998</v>
      </c>
    </row>
    <row r="741" spans="2:13" x14ac:dyDescent="0.3">
      <c r="B741" s="1">
        <v>1805</v>
      </c>
      <c r="C741" s="2">
        <v>45758</v>
      </c>
      <c r="D741" s="1" t="s">
        <v>21</v>
      </c>
      <c r="E741" s="1" t="s">
        <v>30</v>
      </c>
      <c r="F741" s="1" t="s">
        <v>31</v>
      </c>
      <c r="G741" s="1">
        <v>1486.41</v>
      </c>
      <c r="H741" s="1" t="s">
        <v>113</v>
      </c>
      <c r="I741" s="2">
        <v>25579</v>
      </c>
      <c r="J741" s="2">
        <v>45765</v>
      </c>
      <c r="K741" s="1">
        <v>20.07</v>
      </c>
      <c r="L741" s="4">
        <f>G741*K741%</f>
        <v>298.32248700000002</v>
      </c>
      <c r="M741" s="4">
        <f>G741-L741</f>
        <v>1188.0875129999999</v>
      </c>
    </row>
    <row r="742" spans="2:13" x14ac:dyDescent="0.3">
      <c r="B742" s="1">
        <v>1079</v>
      </c>
      <c r="C742" s="2">
        <v>44587</v>
      </c>
      <c r="D742" s="1" t="s">
        <v>21</v>
      </c>
      <c r="E742" s="1" t="s">
        <v>11</v>
      </c>
      <c r="F742" s="1" t="s">
        <v>12</v>
      </c>
      <c r="G742" s="1">
        <v>222.13</v>
      </c>
      <c r="H742" s="1" t="s">
        <v>113</v>
      </c>
      <c r="I742" s="2">
        <v>25579</v>
      </c>
      <c r="J742" s="2">
        <v>44596</v>
      </c>
      <c r="K742" s="1">
        <v>47.93</v>
      </c>
      <c r="L742" s="4">
        <f>G742*K742%</f>
        <v>106.466909</v>
      </c>
      <c r="M742" s="4">
        <f>G742-L742</f>
        <v>115.66309099999999</v>
      </c>
    </row>
    <row r="743" spans="2:13" x14ac:dyDescent="0.3">
      <c r="B743" s="1">
        <v>1144</v>
      </c>
      <c r="C743" s="2">
        <v>45242</v>
      </c>
      <c r="D743" s="1" t="s">
        <v>21</v>
      </c>
      <c r="E743" s="1" t="s">
        <v>30</v>
      </c>
      <c r="F743" s="1" t="s">
        <v>31</v>
      </c>
      <c r="G743" s="1">
        <v>3609.48</v>
      </c>
      <c r="H743" s="1" t="s">
        <v>43</v>
      </c>
      <c r="I743" s="2">
        <v>30054</v>
      </c>
      <c r="J743" s="2">
        <v>45249</v>
      </c>
      <c r="K743" s="1">
        <v>0.27</v>
      </c>
      <c r="L743" s="4">
        <f>G743*K743%</f>
        <v>9.7455960000000008</v>
      </c>
      <c r="M743" s="4">
        <f>G743-L743</f>
        <v>3599.7344039999998</v>
      </c>
    </row>
    <row r="744" spans="2:13" x14ac:dyDescent="0.3">
      <c r="B744" s="1">
        <v>1713</v>
      </c>
      <c r="C744" s="2">
        <v>44443</v>
      </c>
      <c r="D744" s="1" t="s">
        <v>21</v>
      </c>
      <c r="E744" s="1" t="s">
        <v>102</v>
      </c>
      <c r="F744" s="1" t="s">
        <v>12</v>
      </c>
      <c r="G744" s="1">
        <v>540.61</v>
      </c>
      <c r="H744" s="1" t="s">
        <v>43</v>
      </c>
      <c r="I744" s="2">
        <v>33702</v>
      </c>
      <c r="J744" s="2">
        <v>44450</v>
      </c>
      <c r="K744" s="1">
        <v>7.72</v>
      </c>
      <c r="L744" s="4">
        <f>G744*K744%</f>
        <v>41.735091999999995</v>
      </c>
      <c r="M744" s="4">
        <f>G744-L744</f>
        <v>498.874908</v>
      </c>
    </row>
    <row r="745" spans="2:13" x14ac:dyDescent="0.3">
      <c r="B745" s="1">
        <v>1360</v>
      </c>
      <c r="C745" s="2">
        <v>44443</v>
      </c>
      <c r="D745" s="1" t="s">
        <v>21</v>
      </c>
      <c r="E745" s="1" t="s">
        <v>22</v>
      </c>
      <c r="F745" s="1" t="s">
        <v>19</v>
      </c>
      <c r="G745" s="1">
        <v>3902.12</v>
      </c>
      <c r="H745" s="1" t="s">
        <v>45</v>
      </c>
      <c r="I745" s="2">
        <v>34367</v>
      </c>
      <c r="J745" s="2">
        <v>44455</v>
      </c>
      <c r="K745" s="1">
        <v>24.06</v>
      </c>
      <c r="L745" s="4">
        <f>G745*K745%</f>
        <v>938.85007199999995</v>
      </c>
      <c r="M745" s="4">
        <f>G745-L745</f>
        <v>2963.2699279999997</v>
      </c>
    </row>
    <row r="746" spans="2:13" x14ac:dyDescent="0.3">
      <c r="B746" s="1">
        <v>1013</v>
      </c>
      <c r="C746" s="2">
        <v>45452</v>
      </c>
      <c r="D746" s="1" t="s">
        <v>21</v>
      </c>
      <c r="E746" s="1" t="s">
        <v>44</v>
      </c>
      <c r="F746" s="1" t="s">
        <v>16</v>
      </c>
      <c r="G746" s="1">
        <v>1447.5</v>
      </c>
      <c r="H746" s="1" t="s">
        <v>45</v>
      </c>
      <c r="I746" s="2">
        <v>34367</v>
      </c>
      <c r="J746" s="2">
        <v>45465</v>
      </c>
      <c r="K746" s="1">
        <v>41.59</v>
      </c>
      <c r="L746" s="4">
        <f>G746*K746%</f>
        <v>602.01525000000004</v>
      </c>
      <c r="M746" s="4">
        <f>G746-L746</f>
        <v>845.48474999999996</v>
      </c>
    </row>
    <row r="747" spans="2:13" x14ac:dyDescent="0.3">
      <c r="B747" s="1">
        <v>1746</v>
      </c>
      <c r="C747" s="2">
        <v>45711</v>
      </c>
      <c r="D747" s="1" t="s">
        <v>21</v>
      </c>
      <c r="E747" s="1" t="s">
        <v>49</v>
      </c>
      <c r="F747" s="1" t="s">
        <v>12</v>
      </c>
      <c r="G747" s="1">
        <v>653.76</v>
      </c>
      <c r="H747" s="1" t="s">
        <v>311</v>
      </c>
      <c r="I747" s="2">
        <v>29242</v>
      </c>
      <c r="J747" s="2">
        <v>45716</v>
      </c>
      <c r="K747" s="1">
        <v>27.02</v>
      </c>
      <c r="L747" s="4">
        <f>G747*K747%</f>
        <v>176.64595199999999</v>
      </c>
      <c r="M747" s="4">
        <f>G747-L747</f>
        <v>477.11404800000003</v>
      </c>
    </row>
    <row r="748" spans="2:13" x14ac:dyDescent="0.3">
      <c r="B748" s="1">
        <v>1583</v>
      </c>
      <c r="C748" s="2">
        <v>45423</v>
      </c>
      <c r="D748" s="1" t="s">
        <v>21</v>
      </c>
      <c r="E748" s="1" t="s">
        <v>58</v>
      </c>
      <c r="F748" s="1" t="s">
        <v>31</v>
      </c>
      <c r="G748" s="1">
        <v>3081.64</v>
      </c>
      <c r="H748" s="1" t="s">
        <v>120</v>
      </c>
      <c r="I748" s="2">
        <v>30820</v>
      </c>
      <c r="J748" s="2">
        <v>45430</v>
      </c>
      <c r="K748" s="1">
        <v>41.94</v>
      </c>
      <c r="L748" s="4">
        <f>G748*K748%</f>
        <v>1292.4398159999998</v>
      </c>
      <c r="M748" s="4">
        <f>G748-L748</f>
        <v>1789.200184</v>
      </c>
    </row>
    <row r="749" spans="2:13" x14ac:dyDescent="0.3">
      <c r="B749" s="1">
        <v>1462</v>
      </c>
      <c r="C749" s="2">
        <v>45270</v>
      </c>
      <c r="D749" s="1" t="s">
        <v>21</v>
      </c>
      <c r="E749" s="1" t="s">
        <v>40</v>
      </c>
      <c r="F749" s="1" t="s">
        <v>16</v>
      </c>
      <c r="G749" s="1">
        <v>2972.65</v>
      </c>
      <c r="H749" s="1" t="s">
        <v>120</v>
      </c>
      <c r="I749" s="2">
        <v>30820</v>
      </c>
      <c r="J749" s="2">
        <v>45283</v>
      </c>
      <c r="K749" s="1">
        <v>44.56</v>
      </c>
      <c r="L749" s="4">
        <f>G749*K749%</f>
        <v>1324.61284</v>
      </c>
      <c r="M749" s="4">
        <f>G749-L749</f>
        <v>1648.0371600000001</v>
      </c>
    </row>
    <row r="750" spans="2:13" x14ac:dyDescent="0.3">
      <c r="B750" s="1">
        <v>1504</v>
      </c>
      <c r="C750" s="2">
        <v>44975</v>
      </c>
      <c r="D750" s="1" t="s">
        <v>21</v>
      </c>
      <c r="E750" s="1" t="s">
        <v>102</v>
      </c>
      <c r="F750" s="1" t="s">
        <v>12</v>
      </c>
      <c r="G750" s="1">
        <v>1079.6199999999999</v>
      </c>
      <c r="H750" s="1" t="s">
        <v>120</v>
      </c>
      <c r="I750" s="2">
        <v>30820</v>
      </c>
      <c r="J750" s="2">
        <v>44988</v>
      </c>
      <c r="K750" s="1">
        <v>18.41</v>
      </c>
      <c r="L750" s="4">
        <f>G750*K750%</f>
        <v>198.75804199999999</v>
      </c>
      <c r="M750" s="4">
        <f>G750-L750</f>
        <v>880.86195799999996</v>
      </c>
    </row>
    <row r="751" spans="2:13" x14ac:dyDescent="0.3">
      <c r="B751" s="1">
        <v>1684</v>
      </c>
      <c r="C751" s="2">
        <v>45114</v>
      </c>
      <c r="D751" s="1" t="s">
        <v>21</v>
      </c>
      <c r="E751" s="1" t="s">
        <v>15</v>
      </c>
      <c r="F751" s="1" t="s">
        <v>16</v>
      </c>
      <c r="G751" s="1">
        <v>3439.5</v>
      </c>
      <c r="H751" s="1" t="s">
        <v>64</v>
      </c>
      <c r="I751" s="2">
        <v>32375</v>
      </c>
      <c r="J751" s="2">
        <v>45126</v>
      </c>
      <c r="K751" s="1">
        <v>16.34</v>
      </c>
      <c r="L751" s="4">
        <f>G751*K751%</f>
        <v>562.01429999999993</v>
      </c>
      <c r="M751" s="4">
        <f>G751-L751</f>
        <v>2877.4857000000002</v>
      </c>
    </row>
    <row r="752" spans="2:13" x14ac:dyDescent="0.3">
      <c r="B752" s="1">
        <v>1839</v>
      </c>
      <c r="C752" s="2">
        <v>45605</v>
      </c>
      <c r="D752" s="1" t="s">
        <v>21</v>
      </c>
      <c r="E752" s="1" t="s">
        <v>38</v>
      </c>
      <c r="F752" s="1" t="s">
        <v>28</v>
      </c>
      <c r="G752" s="1">
        <v>2593.1999999999998</v>
      </c>
      <c r="H752" s="1" t="s">
        <v>66</v>
      </c>
      <c r="I752" s="2">
        <v>33192</v>
      </c>
      <c r="J752" s="2">
        <v>45613</v>
      </c>
      <c r="K752" s="1">
        <v>10.55</v>
      </c>
      <c r="L752" s="4">
        <f>G752*K752%</f>
        <v>273.58260000000001</v>
      </c>
      <c r="M752" s="4">
        <f>G752-L752</f>
        <v>2319.6173999999996</v>
      </c>
    </row>
    <row r="753" spans="2:13" x14ac:dyDescent="0.3">
      <c r="B753" s="1">
        <v>1996</v>
      </c>
      <c r="C753" s="2">
        <v>45720</v>
      </c>
      <c r="D753" s="1" t="s">
        <v>21</v>
      </c>
      <c r="E753" s="1" t="s">
        <v>65</v>
      </c>
      <c r="F753" s="1" t="s">
        <v>19</v>
      </c>
      <c r="G753" s="1">
        <v>339.6</v>
      </c>
      <c r="H753" s="1" t="s">
        <v>66</v>
      </c>
      <c r="I753" s="2">
        <v>33192</v>
      </c>
      <c r="J753" s="2">
        <v>45730</v>
      </c>
      <c r="K753" s="1">
        <v>41.36</v>
      </c>
      <c r="L753" s="4">
        <f>G753*K753%</f>
        <v>140.45856000000001</v>
      </c>
      <c r="M753" s="4">
        <f>G753-L753</f>
        <v>199.14144000000002</v>
      </c>
    </row>
    <row r="754" spans="2:13" x14ac:dyDescent="0.3">
      <c r="B754" s="1">
        <v>1753</v>
      </c>
      <c r="C754" s="2">
        <v>44883</v>
      </c>
      <c r="D754" s="1" t="s">
        <v>21</v>
      </c>
      <c r="E754" s="1" t="s">
        <v>69</v>
      </c>
      <c r="F754" s="1" t="s">
        <v>31</v>
      </c>
      <c r="G754" s="1">
        <v>4614.51</v>
      </c>
      <c r="H754" s="1" t="s">
        <v>171</v>
      </c>
      <c r="I754" s="2">
        <v>31261</v>
      </c>
      <c r="J754" s="2">
        <v>44896</v>
      </c>
      <c r="K754" s="1">
        <v>34.75</v>
      </c>
      <c r="L754" s="4">
        <f>G754*K754%</f>
        <v>1603.5422249999999</v>
      </c>
      <c r="M754" s="4">
        <f>G754-L754</f>
        <v>3010.9677750000001</v>
      </c>
    </row>
    <row r="755" spans="2:13" x14ac:dyDescent="0.3">
      <c r="B755" s="1">
        <v>1103</v>
      </c>
      <c r="C755" s="2">
        <v>45417</v>
      </c>
      <c r="D755" s="1" t="s">
        <v>21</v>
      </c>
      <c r="E755" s="1" t="s">
        <v>55</v>
      </c>
      <c r="F755" s="1" t="s">
        <v>31</v>
      </c>
      <c r="G755" s="1">
        <v>3125.88</v>
      </c>
      <c r="H755" s="1" t="s">
        <v>13</v>
      </c>
      <c r="I755" s="2">
        <v>24348</v>
      </c>
      <c r="J755" s="2">
        <v>45423</v>
      </c>
      <c r="K755" s="1">
        <v>39.28</v>
      </c>
      <c r="L755" s="4">
        <f>G755*K755%</f>
        <v>1227.8456640000002</v>
      </c>
      <c r="M755" s="4">
        <f>G755-L755</f>
        <v>1898.0343359999999</v>
      </c>
    </row>
    <row r="756" spans="2:13" x14ac:dyDescent="0.3">
      <c r="B756" s="1">
        <v>1785</v>
      </c>
      <c r="C756" s="2">
        <v>44064</v>
      </c>
      <c r="D756" s="1" t="s">
        <v>21</v>
      </c>
      <c r="E756" s="1" t="s">
        <v>36</v>
      </c>
      <c r="F756" s="1" t="s">
        <v>28</v>
      </c>
      <c r="G756" s="1">
        <v>2279.2800000000002</v>
      </c>
      <c r="H756" s="1" t="s">
        <v>13</v>
      </c>
      <c r="I756" s="2">
        <v>24348</v>
      </c>
      <c r="J756" s="2">
        <v>44075</v>
      </c>
      <c r="K756" s="1">
        <v>41.99</v>
      </c>
      <c r="L756" s="4">
        <f>G756*K756%</f>
        <v>957.06967200000008</v>
      </c>
      <c r="M756" s="4">
        <f>G756-L756</f>
        <v>1322.2103280000001</v>
      </c>
    </row>
    <row r="757" spans="2:13" x14ac:dyDescent="0.3">
      <c r="B757" s="1">
        <v>1747</v>
      </c>
      <c r="C757" s="2">
        <v>45233</v>
      </c>
      <c r="D757" s="1" t="s">
        <v>21</v>
      </c>
      <c r="E757" s="1" t="s">
        <v>22</v>
      </c>
      <c r="F757" s="1" t="s">
        <v>19</v>
      </c>
      <c r="G757" s="1">
        <v>1925.73</v>
      </c>
      <c r="H757" s="1" t="s">
        <v>179</v>
      </c>
      <c r="I757" s="2">
        <v>30356</v>
      </c>
      <c r="J757" s="2">
        <v>45239</v>
      </c>
      <c r="K757" s="1">
        <v>21.89</v>
      </c>
      <c r="L757" s="4">
        <f>G757*K757%</f>
        <v>421.54229700000002</v>
      </c>
      <c r="M757" s="4">
        <f>G757-L757</f>
        <v>1504.1877030000001</v>
      </c>
    </row>
    <row r="758" spans="2:13" x14ac:dyDescent="0.3">
      <c r="B758" s="1">
        <v>1093</v>
      </c>
      <c r="C758" s="2">
        <v>45520</v>
      </c>
      <c r="D758" s="1" t="s">
        <v>21</v>
      </c>
      <c r="E758" s="1" t="s">
        <v>18</v>
      </c>
      <c r="F758" s="1" t="s">
        <v>19</v>
      </c>
      <c r="G758" s="1">
        <v>3885.89</v>
      </c>
      <c r="H758" s="1" t="s">
        <v>83</v>
      </c>
      <c r="I758" s="2">
        <v>24673</v>
      </c>
      <c r="J758" s="2">
        <v>45525</v>
      </c>
      <c r="K758" s="1">
        <v>42.07</v>
      </c>
      <c r="L758" s="4">
        <f>G758*K758%</f>
        <v>1634.7939229999999</v>
      </c>
      <c r="M758" s="4">
        <f>G758-L758</f>
        <v>2251.0960770000002</v>
      </c>
    </row>
    <row r="759" spans="2:13" x14ac:dyDescent="0.3">
      <c r="B759" s="1">
        <v>1821</v>
      </c>
      <c r="C759" s="2">
        <v>44864</v>
      </c>
      <c r="D759" s="1" t="s">
        <v>21</v>
      </c>
      <c r="E759" s="1" t="s">
        <v>58</v>
      </c>
      <c r="F759" s="1" t="s">
        <v>31</v>
      </c>
      <c r="G759" s="1">
        <v>984.14</v>
      </c>
      <c r="H759" s="1" t="s">
        <v>83</v>
      </c>
      <c r="I759" s="2">
        <v>24673</v>
      </c>
      <c r="J759" s="2">
        <v>44875</v>
      </c>
      <c r="K759" s="1">
        <v>42.34</v>
      </c>
      <c r="L759" s="4">
        <f>G759*K759%</f>
        <v>416.68487600000003</v>
      </c>
      <c r="M759" s="4">
        <f>G759-L759</f>
        <v>567.45512399999996</v>
      </c>
    </row>
    <row r="760" spans="2:13" x14ac:dyDescent="0.3">
      <c r="B760" s="1">
        <v>1441</v>
      </c>
      <c r="C760" s="2">
        <v>45796</v>
      </c>
      <c r="D760" s="1" t="s">
        <v>21</v>
      </c>
      <c r="E760" s="1" t="s">
        <v>69</v>
      </c>
      <c r="F760" s="1" t="s">
        <v>12</v>
      </c>
      <c r="G760" s="1">
        <v>2525.13</v>
      </c>
      <c r="H760" s="1" t="s">
        <v>227</v>
      </c>
      <c r="I760" s="2">
        <v>34932</v>
      </c>
      <c r="J760" s="2">
        <v>45798</v>
      </c>
      <c r="K760" s="1">
        <v>35.049999999999997</v>
      </c>
      <c r="L760" s="4">
        <f>G760*K760%</f>
        <v>885.05806499999994</v>
      </c>
      <c r="M760" s="4">
        <f>G760-L760</f>
        <v>1640.0719350000002</v>
      </c>
    </row>
    <row r="761" spans="2:13" x14ac:dyDescent="0.3">
      <c r="B761" s="1">
        <v>1465</v>
      </c>
      <c r="C761" s="2">
        <v>44609</v>
      </c>
      <c r="D761" s="1" t="s">
        <v>21</v>
      </c>
      <c r="E761" s="1" t="s">
        <v>102</v>
      </c>
      <c r="F761" s="1" t="s">
        <v>12</v>
      </c>
      <c r="G761" s="1">
        <v>2924.35</v>
      </c>
      <c r="H761" s="1" t="s">
        <v>156</v>
      </c>
      <c r="I761" s="2">
        <v>38693</v>
      </c>
      <c r="J761" s="2">
        <v>44610</v>
      </c>
      <c r="K761" s="1">
        <v>27.69</v>
      </c>
      <c r="L761" s="4">
        <f>G761*K761%</f>
        <v>809.75251500000013</v>
      </c>
      <c r="M761" s="4">
        <f>G761-L761</f>
        <v>2114.5974849999998</v>
      </c>
    </row>
    <row r="762" spans="2:13" x14ac:dyDescent="0.3">
      <c r="B762" s="1">
        <v>1645</v>
      </c>
      <c r="C762" s="2">
        <v>44100</v>
      </c>
      <c r="D762" s="1" t="s">
        <v>21</v>
      </c>
      <c r="E762" s="1" t="s">
        <v>38</v>
      </c>
      <c r="F762" s="1" t="s">
        <v>28</v>
      </c>
      <c r="G762" s="1">
        <v>1691.89</v>
      </c>
      <c r="H762" s="1" t="s">
        <v>191</v>
      </c>
      <c r="I762" s="2">
        <v>37495</v>
      </c>
      <c r="J762" s="2">
        <v>44107</v>
      </c>
      <c r="K762" s="1">
        <v>15.04</v>
      </c>
      <c r="L762" s="4">
        <f>G762*K762%</f>
        <v>254.46025599999999</v>
      </c>
      <c r="M762" s="4">
        <f>G762-L762</f>
        <v>1437.429744</v>
      </c>
    </row>
    <row r="763" spans="2:13" x14ac:dyDescent="0.3">
      <c r="B763" s="1">
        <v>1195</v>
      </c>
      <c r="C763" s="2">
        <v>45831</v>
      </c>
      <c r="D763" s="1" t="s">
        <v>21</v>
      </c>
      <c r="E763" s="1" t="s">
        <v>53</v>
      </c>
      <c r="F763" s="1" t="s">
        <v>28</v>
      </c>
      <c r="G763" s="1">
        <v>440.11</v>
      </c>
      <c r="H763" s="1" t="s">
        <v>191</v>
      </c>
      <c r="I763" s="2">
        <v>37495</v>
      </c>
      <c r="J763" s="2">
        <v>45836</v>
      </c>
      <c r="K763" s="1">
        <v>15.2</v>
      </c>
      <c r="L763" s="4">
        <f>G763*K763%</f>
        <v>66.896720000000002</v>
      </c>
      <c r="M763" s="4">
        <f>G763-L763</f>
        <v>373.21328</v>
      </c>
    </row>
    <row r="764" spans="2:13" x14ac:dyDescent="0.3">
      <c r="B764" s="1">
        <v>1358</v>
      </c>
      <c r="C764" s="2">
        <v>44747</v>
      </c>
      <c r="D764" s="1" t="s">
        <v>21</v>
      </c>
      <c r="E764" s="1" t="s">
        <v>44</v>
      </c>
      <c r="F764" s="1" t="s">
        <v>16</v>
      </c>
      <c r="G764" s="1">
        <v>958.82</v>
      </c>
      <c r="H764" s="1" t="s">
        <v>92</v>
      </c>
      <c r="I764" s="2">
        <v>24544</v>
      </c>
      <c r="J764" s="2">
        <v>44754</v>
      </c>
      <c r="K764" s="1">
        <v>17.29</v>
      </c>
      <c r="L764" s="4">
        <f>G764*K764%</f>
        <v>165.779978</v>
      </c>
      <c r="M764" s="4">
        <f>G764-L764</f>
        <v>793.04002200000002</v>
      </c>
    </row>
    <row r="765" spans="2:13" x14ac:dyDescent="0.3">
      <c r="B765" s="1">
        <v>1167</v>
      </c>
      <c r="C765" s="2">
        <v>45151</v>
      </c>
      <c r="D765" s="1" t="s">
        <v>21</v>
      </c>
      <c r="E765" s="1" t="s">
        <v>58</v>
      </c>
      <c r="F765" s="1" t="s">
        <v>31</v>
      </c>
      <c r="G765" s="1">
        <v>1782.75</v>
      </c>
      <c r="H765" s="1" t="s">
        <v>175</v>
      </c>
      <c r="I765" s="2">
        <v>36623</v>
      </c>
      <c r="J765" s="2">
        <v>45156</v>
      </c>
      <c r="K765" s="1">
        <v>9.26</v>
      </c>
      <c r="L765" s="4">
        <f>G765*K765%</f>
        <v>165.08265</v>
      </c>
      <c r="M765" s="4">
        <f>G765-L765</f>
        <v>1617.6673499999999</v>
      </c>
    </row>
    <row r="766" spans="2:13" x14ac:dyDescent="0.3">
      <c r="B766" s="1">
        <v>1554</v>
      </c>
      <c r="C766" s="2">
        <v>44493</v>
      </c>
      <c r="D766" s="1" t="s">
        <v>21</v>
      </c>
      <c r="E766" s="1" t="s">
        <v>49</v>
      </c>
      <c r="F766" s="1" t="s">
        <v>12</v>
      </c>
      <c r="G766" s="1">
        <v>1994.35</v>
      </c>
      <c r="H766" s="1" t="s">
        <v>175</v>
      </c>
      <c r="I766" s="2">
        <v>36623</v>
      </c>
      <c r="J766" s="2">
        <v>44502</v>
      </c>
      <c r="K766" s="1">
        <v>19.809999999999999</v>
      </c>
      <c r="L766" s="4">
        <f>G766*K766%</f>
        <v>395.080735</v>
      </c>
      <c r="M766" s="4">
        <f>G766-L766</f>
        <v>1599.2692649999999</v>
      </c>
    </row>
    <row r="767" spans="2:13" x14ac:dyDescent="0.3">
      <c r="B767" s="1">
        <v>1907</v>
      </c>
      <c r="C767" s="2">
        <v>45762</v>
      </c>
      <c r="D767" s="1" t="s">
        <v>21</v>
      </c>
      <c r="E767" s="1" t="s">
        <v>24</v>
      </c>
      <c r="F767" s="1" t="s">
        <v>19</v>
      </c>
      <c r="G767" s="1">
        <v>1722.88</v>
      </c>
      <c r="H767" s="1" t="s">
        <v>315</v>
      </c>
      <c r="I767" s="2">
        <v>32330</v>
      </c>
      <c r="J767" s="2">
        <v>45764</v>
      </c>
      <c r="K767" s="1">
        <v>27.61</v>
      </c>
      <c r="L767" s="4">
        <f>G767*K767%</f>
        <v>475.68716800000004</v>
      </c>
      <c r="M767" s="4">
        <f>G767-L767</f>
        <v>1247.1928320000002</v>
      </c>
    </row>
    <row r="768" spans="2:13" x14ac:dyDescent="0.3">
      <c r="B768" s="1">
        <v>1436</v>
      </c>
      <c r="C768" s="2">
        <v>45341</v>
      </c>
      <c r="D768" s="1" t="s">
        <v>21</v>
      </c>
      <c r="E768" s="1" t="s">
        <v>11</v>
      </c>
      <c r="F768" s="1" t="s">
        <v>12</v>
      </c>
      <c r="G768" s="1">
        <v>2804.68</v>
      </c>
      <c r="H768" s="1" t="s">
        <v>231</v>
      </c>
      <c r="I768" s="2">
        <v>32047</v>
      </c>
      <c r="J768" s="2">
        <v>45353</v>
      </c>
      <c r="K768" s="1">
        <v>27.26</v>
      </c>
      <c r="L768" s="4">
        <f>G768*K768%</f>
        <v>764.55576799999994</v>
      </c>
      <c r="M768" s="4">
        <f>G768-L768</f>
        <v>2040.1242319999999</v>
      </c>
    </row>
    <row r="769" spans="2:13" x14ac:dyDescent="0.3">
      <c r="B769" s="1">
        <v>1408</v>
      </c>
      <c r="C769" s="2">
        <v>44816</v>
      </c>
      <c r="D769" s="1" t="s">
        <v>21</v>
      </c>
      <c r="E769" s="1" t="s">
        <v>38</v>
      </c>
      <c r="F769" s="1" t="s">
        <v>28</v>
      </c>
      <c r="G769" s="1">
        <v>571.20000000000005</v>
      </c>
      <c r="H769" s="1" t="s">
        <v>231</v>
      </c>
      <c r="I769" s="2">
        <v>32047</v>
      </c>
      <c r="J769" s="2">
        <v>44825</v>
      </c>
      <c r="K769" s="1">
        <v>37.200000000000003</v>
      </c>
      <c r="L769" s="4">
        <f>G769*K769%</f>
        <v>212.48640000000006</v>
      </c>
      <c r="M769" s="4">
        <f>G769-L769</f>
        <v>358.71359999999999</v>
      </c>
    </row>
    <row r="770" spans="2:13" x14ac:dyDescent="0.3">
      <c r="B770" s="1">
        <v>1923</v>
      </c>
      <c r="C770" s="2">
        <v>44304</v>
      </c>
      <c r="D770" s="1" t="s">
        <v>21</v>
      </c>
      <c r="E770" s="1" t="s">
        <v>18</v>
      </c>
      <c r="F770" s="1" t="s">
        <v>19</v>
      </c>
      <c r="G770" s="1">
        <v>1287.42</v>
      </c>
      <c r="H770" s="1" t="s">
        <v>196</v>
      </c>
      <c r="I770" s="2">
        <v>26300</v>
      </c>
      <c r="J770" s="2">
        <v>44313</v>
      </c>
      <c r="K770" s="1">
        <v>1.5</v>
      </c>
      <c r="L770" s="4">
        <f>G770*K770%</f>
        <v>19.311299999999999</v>
      </c>
      <c r="M770" s="4">
        <f>G770-L770</f>
        <v>1268.1087</v>
      </c>
    </row>
    <row r="771" spans="2:13" x14ac:dyDescent="0.3">
      <c r="B771" s="1">
        <v>1205</v>
      </c>
      <c r="C771" s="2">
        <v>44575</v>
      </c>
      <c r="D771" s="1" t="s">
        <v>21</v>
      </c>
      <c r="E771" s="1" t="s">
        <v>69</v>
      </c>
      <c r="F771" s="1" t="s">
        <v>31</v>
      </c>
      <c r="G771" s="1">
        <v>654.83000000000004</v>
      </c>
      <c r="H771" s="1" t="s">
        <v>196</v>
      </c>
      <c r="I771" s="2">
        <v>26300</v>
      </c>
      <c r="J771" s="2">
        <v>44588</v>
      </c>
      <c r="K771" s="1">
        <v>27.19</v>
      </c>
      <c r="L771" s="4">
        <f>G771*K771%</f>
        <v>178.04827700000004</v>
      </c>
      <c r="M771" s="4">
        <f>G771-L771</f>
        <v>476.781723</v>
      </c>
    </row>
    <row r="772" spans="2:13" x14ac:dyDescent="0.3">
      <c r="B772" s="1">
        <v>1958</v>
      </c>
      <c r="C772" s="2">
        <v>44353</v>
      </c>
      <c r="D772" s="1" t="s">
        <v>21</v>
      </c>
      <c r="E772" s="1" t="s">
        <v>40</v>
      </c>
      <c r="F772" s="1" t="s">
        <v>16</v>
      </c>
      <c r="G772" s="1">
        <v>2931.39</v>
      </c>
      <c r="H772" s="1" t="s">
        <v>79</v>
      </c>
      <c r="I772" s="2">
        <v>28675</v>
      </c>
      <c r="J772" s="2">
        <v>44356</v>
      </c>
      <c r="K772" s="1">
        <v>41.44</v>
      </c>
      <c r="L772" s="4">
        <f>G772*K772%</f>
        <v>1214.768016</v>
      </c>
      <c r="M772" s="4">
        <f>G772-L772</f>
        <v>1716.6219839999999</v>
      </c>
    </row>
    <row r="773" spans="2:13" x14ac:dyDescent="0.3">
      <c r="B773" s="1">
        <v>1392</v>
      </c>
      <c r="C773" s="2">
        <v>44843</v>
      </c>
      <c r="D773" s="1" t="s">
        <v>21</v>
      </c>
      <c r="E773" s="1" t="s">
        <v>27</v>
      </c>
      <c r="F773" s="1" t="s">
        <v>28</v>
      </c>
      <c r="G773" s="1">
        <v>1105.26</v>
      </c>
      <c r="H773" s="1" t="s">
        <v>148</v>
      </c>
      <c r="I773" s="2">
        <v>22007</v>
      </c>
      <c r="J773" s="2">
        <v>44849</v>
      </c>
      <c r="K773" s="1">
        <v>43.12</v>
      </c>
      <c r="L773" s="4">
        <f>G773*K773%</f>
        <v>476.58811199999997</v>
      </c>
      <c r="M773" s="4">
        <f>G773-L773</f>
        <v>628.67188800000008</v>
      </c>
    </row>
    <row r="774" spans="2:13" x14ac:dyDescent="0.3">
      <c r="B774" s="1">
        <v>1829</v>
      </c>
      <c r="C774" s="2">
        <v>44826</v>
      </c>
      <c r="D774" s="1" t="s">
        <v>21</v>
      </c>
      <c r="E774" s="1" t="s">
        <v>33</v>
      </c>
      <c r="F774" s="1" t="s">
        <v>16</v>
      </c>
      <c r="G774" s="1">
        <v>2240.89</v>
      </c>
      <c r="H774" s="1" t="s">
        <v>251</v>
      </c>
      <c r="I774" s="2">
        <v>25440</v>
      </c>
      <c r="J774" s="2">
        <v>44836</v>
      </c>
      <c r="K774" s="1">
        <v>2.46</v>
      </c>
      <c r="L774" s="4">
        <f>G774*K774%</f>
        <v>55.125893999999995</v>
      </c>
      <c r="M774" s="4">
        <f>G774-L774</f>
        <v>2185.7641060000001</v>
      </c>
    </row>
    <row r="775" spans="2:13" x14ac:dyDescent="0.3">
      <c r="B775" s="1">
        <v>1974</v>
      </c>
      <c r="C775" s="2">
        <v>44959</v>
      </c>
      <c r="D775" s="1" t="s">
        <v>21</v>
      </c>
      <c r="E775" s="1" t="s">
        <v>24</v>
      </c>
      <c r="F775" s="1" t="s">
        <v>19</v>
      </c>
      <c r="G775" s="1">
        <v>1777.81</v>
      </c>
      <c r="H775" s="1" t="s">
        <v>70</v>
      </c>
      <c r="I775" s="2">
        <v>30887</v>
      </c>
      <c r="J775" s="2">
        <v>44966</v>
      </c>
      <c r="K775" s="1">
        <v>36.43</v>
      </c>
      <c r="L775" s="4">
        <f>G775*K775%</f>
        <v>647.65618300000006</v>
      </c>
      <c r="M775" s="4">
        <f>G775-L775</f>
        <v>1130.1538169999999</v>
      </c>
    </row>
    <row r="776" spans="2:13" x14ac:dyDescent="0.3">
      <c r="B776" s="1">
        <v>1973</v>
      </c>
      <c r="C776" s="2">
        <v>44350</v>
      </c>
      <c r="D776" s="1" t="s">
        <v>21</v>
      </c>
      <c r="E776" s="1" t="s">
        <v>40</v>
      </c>
      <c r="F776" s="1" t="s">
        <v>16</v>
      </c>
      <c r="G776" s="1">
        <v>3250.71</v>
      </c>
      <c r="H776" s="1" t="s">
        <v>205</v>
      </c>
      <c r="I776" s="2">
        <v>27526</v>
      </c>
      <c r="J776" s="2">
        <v>44352</v>
      </c>
      <c r="K776" s="1">
        <v>38.67</v>
      </c>
      <c r="L776" s="4">
        <f>G776*K776%</f>
        <v>1257.049557</v>
      </c>
      <c r="M776" s="4">
        <f>G776-L776</f>
        <v>1993.660443</v>
      </c>
    </row>
    <row r="777" spans="2:13" x14ac:dyDescent="0.3">
      <c r="B777" s="1">
        <v>1448</v>
      </c>
      <c r="C777" s="2">
        <v>44839</v>
      </c>
      <c r="D777" s="1" t="s">
        <v>21</v>
      </c>
      <c r="E777" s="1" t="s">
        <v>53</v>
      </c>
      <c r="F777" s="1" t="s">
        <v>28</v>
      </c>
      <c r="G777" s="1">
        <v>1693.45</v>
      </c>
      <c r="H777" s="1" t="s">
        <v>205</v>
      </c>
      <c r="I777" s="2">
        <v>27526</v>
      </c>
      <c r="J777" s="2">
        <v>44844</v>
      </c>
      <c r="K777" s="1">
        <v>23.61</v>
      </c>
      <c r="L777" s="4">
        <f>G777*K777%</f>
        <v>399.82354500000002</v>
      </c>
      <c r="M777" s="4">
        <f>G777-L777</f>
        <v>1293.6264550000001</v>
      </c>
    </row>
    <row r="778" spans="2:13" x14ac:dyDescent="0.3">
      <c r="B778" s="1">
        <v>1337</v>
      </c>
      <c r="C778" s="2">
        <v>44275</v>
      </c>
      <c r="D778" s="1" t="s">
        <v>21</v>
      </c>
      <c r="E778" s="1" t="s">
        <v>49</v>
      </c>
      <c r="F778" s="1" t="s">
        <v>12</v>
      </c>
      <c r="G778" s="1">
        <v>1024.96</v>
      </c>
      <c r="H778" s="1" t="s">
        <v>105</v>
      </c>
      <c r="I778" s="2">
        <v>35889</v>
      </c>
      <c r="J778" s="2">
        <v>44288</v>
      </c>
      <c r="K778" s="1">
        <v>49.68</v>
      </c>
      <c r="L778" s="4">
        <f>G778*K778%</f>
        <v>509.20012800000006</v>
      </c>
      <c r="M778" s="4">
        <f>G778-L778</f>
        <v>515.75987199999997</v>
      </c>
    </row>
    <row r="779" spans="2:13" x14ac:dyDescent="0.3">
      <c r="B779" s="1">
        <v>1811</v>
      </c>
      <c r="C779" s="2">
        <v>44834</v>
      </c>
      <c r="D779" s="1" t="s">
        <v>21</v>
      </c>
      <c r="E779" s="1" t="s">
        <v>22</v>
      </c>
      <c r="F779" s="1" t="s">
        <v>19</v>
      </c>
      <c r="G779" s="1">
        <v>170.75</v>
      </c>
      <c r="H779" s="1" t="s">
        <v>105</v>
      </c>
      <c r="I779" s="2">
        <v>35889</v>
      </c>
      <c r="J779" s="2">
        <v>44841</v>
      </c>
      <c r="K779" s="1">
        <v>15.62</v>
      </c>
      <c r="L779" s="4">
        <f>G779*K779%</f>
        <v>26.671150000000001</v>
      </c>
      <c r="M779" s="4">
        <f>G779-L779</f>
        <v>144.07884999999999</v>
      </c>
    </row>
    <row r="780" spans="2:13" x14ac:dyDescent="0.3">
      <c r="B780" s="1">
        <v>1037</v>
      </c>
      <c r="C780" s="2">
        <v>45283</v>
      </c>
      <c r="D780" s="1" t="s">
        <v>21</v>
      </c>
      <c r="E780" s="1" t="s">
        <v>71</v>
      </c>
      <c r="F780" s="1" t="s">
        <v>31</v>
      </c>
      <c r="G780" s="1">
        <v>2577.08</v>
      </c>
      <c r="H780" s="1" t="s">
        <v>78</v>
      </c>
      <c r="I780" s="2">
        <v>25099</v>
      </c>
      <c r="J780" s="2">
        <v>45294</v>
      </c>
      <c r="K780" s="1">
        <v>14.51</v>
      </c>
      <c r="L780" s="4">
        <f>G780*K780%</f>
        <v>373.93430799999999</v>
      </c>
      <c r="M780" s="4">
        <f>G780-L780</f>
        <v>2203.1456920000001</v>
      </c>
    </row>
    <row r="781" spans="2:13" x14ac:dyDescent="0.3">
      <c r="B781" s="1">
        <v>1391</v>
      </c>
      <c r="C781" s="2">
        <v>45826</v>
      </c>
      <c r="D781" s="1" t="s">
        <v>21</v>
      </c>
      <c r="E781" s="1" t="s">
        <v>24</v>
      </c>
      <c r="F781" s="1" t="s">
        <v>19</v>
      </c>
      <c r="G781" s="1">
        <v>2487.0300000000002</v>
      </c>
      <c r="H781" s="1" t="s">
        <v>77</v>
      </c>
      <c r="I781" s="2">
        <v>38696</v>
      </c>
      <c r="J781" s="2">
        <v>45830</v>
      </c>
      <c r="K781" s="1">
        <v>16.79</v>
      </c>
      <c r="L781" s="4">
        <f>G781*K781%</f>
        <v>417.572337</v>
      </c>
      <c r="M781" s="4">
        <f>G781-L781</f>
        <v>2069.4576630000001</v>
      </c>
    </row>
    <row r="782" spans="2:13" x14ac:dyDescent="0.3">
      <c r="B782" s="1">
        <v>1863</v>
      </c>
      <c r="C782" s="2">
        <v>45165</v>
      </c>
      <c r="D782" s="1" t="s">
        <v>21</v>
      </c>
      <c r="E782" s="1" t="s">
        <v>24</v>
      </c>
      <c r="F782" s="1" t="s">
        <v>19</v>
      </c>
      <c r="G782" s="1">
        <v>2580.6</v>
      </c>
      <c r="H782" s="1" t="s">
        <v>122</v>
      </c>
      <c r="I782" s="2">
        <v>29720</v>
      </c>
      <c r="J782" s="2">
        <v>45166</v>
      </c>
      <c r="K782" s="1">
        <v>43.12</v>
      </c>
      <c r="L782" s="4">
        <f>G782*K782%</f>
        <v>1112.7547199999999</v>
      </c>
      <c r="M782" s="4">
        <f>G782-L782</f>
        <v>1467.84528</v>
      </c>
    </row>
    <row r="783" spans="2:13" x14ac:dyDescent="0.3">
      <c r="B783" s="1">
        <v>1148</v>
      </c>
      <c r="C783" s="2">
        <v>44281</v>
      </c>
      <c r="D783" s="1" t="s">
        <v>21</v>
      </c>
      <c r="E783" s="1" t="s">
        <v>24</v>
      </c>
      <c r="F783" s="1" t="s">
        <v>19</v>
      </c>
      <c r="G783" s="1">
        <v>4310.55</v>
      </c>
      <c r="H783" s="1" t="s">
        <v>162</v>
      </c>
      <c r="I783" s="2">
        <v>32712</v>
      </c>
      <c r="J783" s="2">
        <v>44282</v>
      </c>
      <c r="K783" s="1">
        <v>19.37</v>
      </c>
      <c r="L783" s="4">
        <f>G783*K783%</f>
        <v>834.9535350000001</v>
      </c>
      <c r="M783" s="4">
        <f>G783-L783</f>
        <v>3475.5964650000001</v>
      </c>
    </row>
    <row r="784" spans="2:13" x14ac:dyDescent="0.3">
      <c r="B784" s="1">
        <v>1396</v>
      </c>
      <c r="C784" s="2">
        <v>44563</v>
      </c>
      <c r="D784" s="1" t="s">
        <v>21</v>
      </c>
      <c r="E784" s="1" t="s">
        <v>24</v>
      </c>
      <c r="F784" s="1" t="s">
        <v>19</v>
      </c>
      <c r="G784" s="1">
        <v>290.12</v>
      </c>
      <c r="H784" s="1" t="s">
        <v>162</v>
      </c>
      <c r="I784" s="2">
        <v>32712</v>
      </c>
      <c r="J784" s="2">
        <v>44567</v>
      </c>
      <c r="K784" s="1">
        <v>29.2</v>
      </c>
      <c r="L784" s="4">
        <f>G784*K784%</f>
        <v>84.715040000000002</v>
      </c>
      <c r="M784" s="4">
        <f>G784-L784</f>
        <v>205.40496000000002</v>
      </c>
    </row>
    <row r="785" spans="2:13" x14ac:dyDescent="0.3">
      <c r="B785" s="1">
        <v>1501</v>
      </c>
      <c r="C785" s="2">
        <v>45230</v>
      </c>
      <c r="D785" s="1" t="s">
        <v>21</v>
      </c>
      <c r="E785" s="1" t="s">
        <v>30</v>
      </c>
      <c r="F785" s="1" t="s">
        <v>31</v>
      </c>
      <c r="G785" s="1">
        <v>1246.26</v>
      </c>
      <c r="H785" s="1" t="s">
        <v>155</v>
      </c>
      <c r="I785" s="2">
        <v>27688</v>
      </c>
      <c r="J785" s="2">
        <v>45232</v>
      </c>
      <c r="K785" s="1">
        <v>7.94</v>
      </c>
      <c r="L785" s="4">
        <f>G785*K785%</f>
        <v>98.953043999999991</v>
      </c>
      <c r="M785" s="4">
        <f>G785-L785</f>
        <v>1147.3069559999999</v>
      </c>
    </row>
    <row r="786" spans="2:13" x14ac:dyDescent="0.3">
      <c r="B786" s="1">
        <v>1128</v>
      </c>
      <c r="C786" s="2">
        <v>45105</v>
      </c>
      <c r="D786" s="1" t="s">
        <v>21</v>
      </c>
      <c r="E786" s="1" t="s">
        <v>55</v>
      </c>
      <c r="F786" s="1" t="s">
        <v>31</v>
      </c>
      <c r="G786" s="1">
        <v>1239.3399999999999</v>
      </c>
      <c r="H786" s="1" t="s">
        <v>149</v>
      </c>
      <c r="I786" s="2">
        <v>26155</v>
      </c>
      <c r="J786" s="2">
        <v>45115</v>
      </c>
      <c r="K786" s="1">
        <v>5.3</v>
      </c>
      <c r="L786" s="4">
        <f>G786*K786%</f>
        <v>65.685019999999994</v>
      </c>
      <c r="M786" s="4">
        <f>G786-L786</f>
        <v>1173.65498</v>
      </c>
    </row>
    <row r="787" spans="2:13" x14ac:dyDescent="0.3">
      <c r="B787" s="1">
        <v>1980</v>
      </c>
      <c r="C787" s="2">
        <v>44666</v>
      </c>
      <c r="D787" s="1" t="s">
        <v>21</v>
      </c>
      <c r="E787" s="1" t="s">
        <v>65</v>
      </c>
      <c r="F787" s="1" t="s">
        <v>19</v>
      </c>
      <c r="G787" s="1">
        <v>2249.48</v>
      </c>
      <c r="H787" s="1" t="s">
        <v>240</v>
      </c>
      <c r="I787" s="2">
        <v>38478</v>
      </c>
      <c r="J787" s="2">
        <v>44671</v>
      </c>
      <c r="K787" s="1">
        <v>8.68</v>
      </c>
      <c r="L787" s="4">
        <f>G787*K787%</f>
        <v>195.254864</v>
      </c>
      <c r="M787" s="4">
        <f>G787-L787</f>
        <v>2054.225136</v>
      </c>
    </row>
    <row r="788" spans="2:13" x14ac:dyDescent="0.3">
      <c r="B788" s="1">
        <v>1058</v>
      </c>
      <c r="C788" s="2">
        <v>44862</v>
      </c>
      <c r="D788" s="1" t="s">
        <v>21</v>
      </c>
      <c r="E788" s="1" t="s">
        <v>53</v>
      </c>
      <c r="F788" s="1" t="s">
        <v>28</v>
      </c>
      <c r="G788" s="1">
        <v>2895.56</v>
      </c>
      <c r="H788" s="1" t="s">
        <v>98</v>
      </c>
      <c r="I788" s="2">
        <v>38134</v>
      </c>
      <c r="J788" s="2">
        <v>44870</v>
      </c>
      <c r="K788" s="1">
        <v>2.38</v>
      </c>
      <c r="L788" s="4">
        <f>G788*K788%</f>
        <v>68.914327999999998</v>
      </c>
      <c r="M788" s="4">
        <f>G788-L788</f>
        <v>2826.6456720000001</v>
      </c>
    </row>
    <row r="789" spans="2:13" x14ac:dyDescent="0.3">
      <c r="B789" s="1">
        <v>1483</v>
      </c>
      <c r="C789" s="2">
        <v>44525</v>
      </c>
      <c r="D789" s="1" t="s">
        <v>21</v>
      </c>
      <c r="E789" s="1" t="s">
        <v>73</v>
      </c>
      <c r="F789" s="1" t="s">
        <v>28</v>
      </c>
      <c r="G789" s="1">
        <v>4165.84</v>
      </c>
      <c r="H789" s="1" t="s">
        <v>75</v>
      </c>
      <c r="I789" s="2">
        <v>25853</v>
      </c>
      <c r="J789" s="2">
        <v>44538</v>
      </c>
      <c r="K789" s="1">
        <v>19.77</v>
      </c>
      <c r="L789" s="4">
        <f>G789*K789%</f>
        <v>823.58656799999994</v>
      </c>
      <c r="M789" s="4">
        <f>G789-L789</f>
        <v>3342.2534320000004</v>
      </c>
    </row>
    <row r="790" spans="2:13" x14ac:dyDescent="0.3">
      <c r="B790" s="1">
        <v>1125</v>
      </c>
      <c r="C790" s="2">
        <v>44559</v>
      </c>
      <c r="D790" s="1" t="s">
        <v>21</v>
      </c>
      <c r="E790" s="1" t="s">
        <v>22</v>
      </c>
      <c r="F790" s="1" t="s">
        <v>19</v>
      </c>
      <c r="G790" s="1">
        <v>3102.24</v>
      </c>
      <c r="H790" s="1" t="s">
        <v>75</v>
      </c>
      <c r="I790" s="2">
        <v>25853</v>
      </c>
      <c r="J790" s="2">
        <v>44570</v>
      </c>
      <c r="K790" s="1">
        <v>13.12</v>
      </c>
      <c r="L790" s="4">
        <f>G790*K790%</f>
        <v>407.01388799999989</v>
      </c>
      <c r="M790" s="4">
        <f>G790-L790</f>
        <v>2695.2261119999998</v>
      </c>
    </row>
    <row r="791" spans="2:13" x14ac:dyDescent="0.3">
      <c r="B791" s="1">
        <v>1942</v>
      </c>
      <c r="C791" s="2">
        <v>44399</v>
      </c>
      <c r="D791" s="1" t="s">
        <v>21</v>
      </c>
      <c r="E791" s="1" t="s">
        <v>40</v>
      </c>
      <c r="F791" s="1" t="s">
        <v>16</v>
      </c>
      <c r="G791" s="1">
        <v>4608.12</v>
      </c>
      <c r="H791" s="1" t="s">
        <v>238</v>
      </c>
      <c r="I791" s="2">
        <v>31880</v>
      </c>
      <c r="J791" s="2">
        <v>44403</v>
      </c>
      <c r="K791" s="1">
        <v>43.95</v>
      </c>
      <c r="L791" s="4">
        <f>G791*K791%</f>
        <v>2025.26874</v>
      </c>
      <c r="M791" s="4">
        <f>G791-L791</f>
        <v>2582.8512599999999</v>
      </c>
    </row>
    <row r="792" spans="2:13" x14ac:dyDescent="0.3">
      <c r="B792" s="1">
        <v>1869</v>
      </c>
      <c r="C792" s="2">
        <v>44481</v>
      </c>
      <c r="D792" s="1" t="s">
        <v>21</v>
      </c>
      <c r="E792" s="1" t="s">
        <v>18</v>
      </c>
      <c r="F792" s="1" t="s">
        <v>19</v>
      </c>
      <c r="G792" s="1">
        <v>2759.07</v>
      </c>
      <c r="H792" s="1" t="s">
        <v>48</v>
      </c>
      <c r="I792" s="2">
        <v>22315</v>
      </c>
      <c r="J792" s="2">
        <v>44487</v>
      </c>
      <c r="K792" s="1">
        <v>3.82</v>
      </c>
      <c r="L792" s="4">
        <f>G792*K792%</f>
        <v>105.396474</v>
      </c>
      <c r="M792" s="4">
        <f>G792-L792</f>
        <v>2653.673526</v>
      </c>
    </row>
    <row r="793" spans="2:13" x14ac:dyDescent="0.3">
      <c r="B793" s="1">
        <v>1460</v>
      </c>
      <c r="C793" s="2">
        <v>45646</v>
      </c>
      <c r="D793" s="1" t="s">
        <v>21</v>
      </c>
      <c r="E793" s="1" t="s">
        <v>11</v>
      </c>
      <c r="F793" s="1" t="s">
        <v>12</v>
      </c>
      <c r="G793" s="1">
        <v>1781.6</v>
      </c>
      <c r="H793" s="1" t="s">
        <v>48</v>
      </c>
      <c r="I793" s="2">
        <v>22315</v>
      </c>
      <c r="J793" s="2">
        <v>45652</v>
      </c>
      <c r="K793" s="1">
        <v>25.14</v>
      </c>
      <c r="L793" s="4">
        <f>G793*K793%</f>
        <v>447.89424000000002</v>
      </c>
      <c r="M793" s="4">
        <f>G793-L793</f>
        <v>1333.7057599999998</v>
      </c>
    </row>
    <row r="794" spans="2:13" x14ac:dyDescent="0.3">
      <c r="B794" s="1">
        <v>1672</v>
      </c>
      <c r="C794" s="2">
        <v>45872</v>
      </c>
      <c r="D794" s="1" t="s">
        <v>21</v>
      </c>
      <c r="E794" s="1" t="s">
        <v>11</v>
      </c>
      <c r="F794" s="1" t="s">
        <v>12</v>
      </c>
      <c r="G794" s="1">
        <v>1098.3800000000001</v>
      </c>
      <c r="H794" s="1" t="s">
        <v>133</v>
      </c>
      <c r="I794" s="2">
        <v>23264</v>
      </c>
      <c r="J794" s="2">
        <v>45875</v>
      </c>
      <c r="K794" s="1">
        <v>9.08</v>
      </c>
      <c r="L794" s="4">
        <f>G794*K794%</f>
        <v>99.732904000000019</v>
      </c>
      <c r="M794" s="4">
        <f>G794-L794</f>
        <v>998.64709600000015</v>
      </c>
    </row>
    <row r="795" spans="2:13" x14ac:dyDescent="0.3">
      <c r="B795" s="1">
        <v>1766</v>
      </c>
      <c r="C795" s="2">
        <v>45791</v>
      </c>
      <c r="D795" s="1" t="s">
        <v>21</v>
      </c>
      <c r="E795" s="1" t="s">
        <v>69</v>
      </c>
      <c r="F795" s="1" t="s">
        <v>12</v>
      </c>
      <c r="G795" s="1">
        <v>2705.32</v>
      </c>
      <c r="H795" s="1" t="s">
        <v>290</v>
      </c>
      <c r="I795" s="2">
        <v>31764</v>
      </c>
      <c r="J795" s="2">
        <v>45794</v>
      </c>
      <c r="K795" s="1">
        <v>33.67</v>
      </c>
      <c r="L795" s="4">
        <f>G795*K795%</f>
        <v>910.88124400000004</v>
      </c>
      <c r="M795" s="4">
        <f>G795-L795</f>
        <v>1794.438756</v>
      </c>
    </row>
    <row r="796" spans="2:13" x14ac:dyDescent="0.3">
      <c r="B796" s="1">
        <v>1721</v>
      </c>
      <c r="C796" s="2">
        <v>44779</v>
      </c>
      <c r="D796" s="1" t="s">
        <v>21</v>
      </c>
      <c r="E796" s="1" t="s">
        <v>55</v>
      </c>
      <c r="F796" s="1" t="s">
        <v>31</v>
      </c>
      <c r="G796" s="1">
        <v>4120.01</v>
      </c>
      <c r="H796" s="1" t="s">
        <v>283</v>
      </c>
      <c r="I796" s="2">
        <v>30117</v>
      </c>
      <c r="J796" s="2">
        <v>44782</v>
      </c>
      <c r="K796" s="1">
        <v>1.46</v>
      </c>
      <c r="L796" s="4">
        <f>G796*K796%</f>
        <v>60.152146000000002</v>
      </c>
      <c r="M796" s="4">
        <f>G796-L796</f>
        <v>4059.8578540000003</v>
      </c>
    </row>
    <row r="797" spans="2:13" x14ac:dyDescent="0.3">
      <c r="B797" s="1">
        <v>1589</v>
      </c>
      <c r="C797" s="2">
        <v>45390</v>
      </c>
      <c r="D797" s="1" t="s">
        <v>21</v>
      </c>
      <c r="E797" s="1" t="s">
        <v>69</v>
      </c>
      <c r="F797" s="1" t="s">
        <v>31</v>
      </c>
      <c r="G797" s="1">
        <v>2776.4</v>
      </c>
      <c r="H797" s="1" t="s">
        <v>176</v>
      </c>
      <c r="I797" s="2">
        <v>33282</v>
      </c>
      <c r="J797" s="2">
        <v>45392</v>
      </c>
      <c r="K797" s="1">
        <v>18.579999999999998</v>
      </c>
      <c r="L797" s="4">
        <f>G797*K797%</f>
        <v>515.85511999999994</v>
      </c>
      <c r="M797" s="4">
        <f>G797-L797</f>
        <v>2260.5448800000004</v>
      </c>
    </row>
    <row r="798" spans="2:13" x14ac:dyDescent="0.3">
      <c r="B798" s="1">
        <v>1254</v>
      </c>
      <c r="C798" s="2">
        <v>45777</v>
      </c>
      <c r="D798" s="1" t="s">
        <v>21</v>
      </c>
      <c r="E798" s="1" t="s">
        <v>58</v>
      </c>
      <c r="F798" s="1" t="s">
        <v>31</v>
      </c>
      <c r="G798" s="1">
        <v>1796.08</v>
      </c>
      <c r="H798" s="1" t="s">
        <v>176</v>
      </c>
      <c r="I798" s="2">
        <v>33282</v>
      </c>
      <c r="J798" s="2">
        <v>45788</v>
      </c>
      <c r="K798" s="1">
        <v>3.3</v>
      </c>
      <c r="L798" s="4">
        <f>G798*K798%</f>
        <v>59.27064</v>
      </c>
      <c r="M798" s="4">
        <f>G798-L798</f>
        <v>1736.80936</v>
      </c>
    </row>
    <row r="799" spans="2:13" x14ac:dyDescent="0.3">
      <c r="B799" s="1">
        <v>1855</v>
      </c>
      <c r="C799" s="2">
        <v>45325</v>
      </c>
      <c r="D799" s="1" t="s">
        <v>21</v>
      </c>
      <c r="E799" s="1" t="s">
        <v>40</v>
      </c>
      <c r="F799" s="1" t="s">
        <v>16</v>
      </c>
      <c r="G799" s="1">
        <v>3383.21</v>
      </c>
      <c r="H799" s="1" t="s">
        <v>90</v>
      </c>
      <c r="I799" s="2">
        <v>29348</v>
      </c>
      <c r="J799" s="2">
        <v>45339</v>
      </c>
      <c r="K799" s="1">
        <v>0.5</v>
      </c>
      <c r="L799" s="4">
        <f>G799*K799%</f>
        <v>16.916050000000002</v>
      </c>
      <c r="M799" s="4">
        <f>G799-L799</f>
        <v>3366.2939500000002</v>
      </c>
    </row>
    <row r="800" spans="2:13" x14ac:dyDescent="0.3">
      <c r="B800" s="1">
        <v>1411</v>
      </c>
      <c r="C800" s="2">
        <v>45077</v>
      </c>
      <c r="D800" s="1" t="s">
        <v>21</v>
      </c>
      <c r="E800" s="1" t="s">
        <v>69</v>
      </c>
      <c r="F800" s="1" t="s">
        <v>12</v>
      </c>
      <c r="G800" s="1">
        <v>3792.39</v>
      </c>
      <c r="H800" s="1" t="s">
        <v>194</v>
      </c>
      <c r="I800" s="2">
        <v>22210</v>
      </c>
      <c r="J800" s="2">
        <v>45080</v>
      </c>
      <c r="K800" s="1">
        <v>10.57</v>
      </c>
      <c r="L800" s="4">
        <f>G800*K800%</f>
        <v>400.85562299999998</v>
      </c>
      <c r="M800" s="4">
        <f>G800-L800</f>
        <v>3391.5343769999999</v>
      </c>
    </row>
    <row r="801" spans="2:13" x14ac:dyDescent="0.3">
      <c r="B801" s="1">
        <v>1201</v>
      </c>
      <c r="C801" s="2">
        <v>44968</v>
      </c>
      <c r="D801" s="1" t="s">
        <v>21</v>
      </c>
      <c r="E801" s="1" t="s">
        <v>38</v>
      </c>
      <c r="F801" s="1" t="s">
        <v>28</v>
      </c>
      <c r="G801" s="1">
        <v>3955.84</v>
      </c>
      <c r="H801" s="1" t="s">
        <v>194</v>
      </c>
      <c r="I801" s="2">
        <v>22210</v>
      </c>
      <c r="J801" s="2">
        <v>44969</v>
      </c>
      <c r="K801" s="1">
        <v>18.329999999999998</v>
      </c>
      <c r="L801" s="4">
        <f>G801*K801%</f>
        <v>725.10547199999996</v>
      </c>
      <c r="M801" s="4">
        <f>G801-L801</f>
        <v>3230.734528</v>
      </c>
    </row>
    <row r="802" spans="2:13" x14ac:dyDescent="0.3">
      <c r="B802" s="1">
        <v>1822</v>
      </c>
      <c r="C802" s="2">
        <v>44451</v>
      </c>
      <c r="D802" s="1" t="s">
        <v>21</v>
      </c>
      <c r="E802" s="1" t="s">
        <v>58</v>
      </c>
      <c r="F802" s="1" t="s">
        <v>31</v>
      </c>
      <c r="G802" s="1">
        <v>4405.46</v>
      </c>
      <c r="H802" s="1" t="s">
        <v>278</v>
      </c>
      <c r="I802" s="2">
        <v>36036</v>
      </c>
      <c r="J802" s="2">
        <v>44465</v>
      </c>
      <c r="K802" s="1">
        <v>7.38</v>
      </c>
      <c r="L802" s="4">
        <f>G802*K802%</f>
        <v>325.12294800000001</v>
      </c>
      <c r="M802" s="4">
        <f>G802-L802</f>
        <v>4080.3370519999999</v>
      </c>
    </row>
    <row r="803" spans="2:13" x14ac:dyDescent="0.3">
      <c r="B803" s="1">
        <v>1466</v>
      </c>
      <c r="C803" s="2">
        <v>45195</v>
      </c>
      <c r="D803" s="1" t="s">
        <v>21</v>
      </c>
      <c r="E803" s="1" t="s">
        <v>53</v>
      </c>
      <c r="F803" s="1" t="s">
        <v>28</v>
      </c>
      <c r="G803" s="1">
        <v>599.16</v>
      </c>
      <c r="H803" s="1" t="s">
        <v>278</v>
      </c>
      <c r="I803" s="2">
        <v>36036</v>
      </c>
      <c r="J803" s="2">
        <v>45209</v>
      </c>
      <c r="K803" s="1">
        <v>7.16</v>
      </c>
      <c r="L803" s="4">
        <f>G803*K803%</f>
        <v>42.899855999999993</v>
      </c>
      <c r="M803" s="4">
        <f>G803-L803</f>
        <v>556.26014399999997</v>
      </c>
    </row>
    <row r="804" spans="2:13" x14ac:dyDescent="0.3">
      <c r="B804" s="1">
        <v>1699</v>
      </c>
      <c r="C804" s="2">
        <v>45506</v>
      </c>
      <c r="D804" s="1" t="s">
        <v>21</v>
      </c>
      <c r="E804" s="1" t="s">
        <v>36</v>
      </c>
      <c r="F804" s="1" t="s">
        <v>28</v>
      </c>
      <c r="G804" s="1">
        <v>482.18</v>
      </c>
      <c r="H804" s="1" t="s">
        <v>278</v>
      </c>
      <c r="I804" s="2">
        <v>36036</v>
      </c>
      <c r="J804" s="2">
        <v>45517</v>
      </c>
      <c r="K804" s="1">
        <v>11.55</v>
      </c>
      <c r="L804" s="4">
        <f>G804*K804%</f>
        <v>55.691790000000005</v>
      </c>
      <c r="M804" s="4">
        <f>G804-L804</f>
        <v>426.48820999999998</v>
      </c>
    </row>
    <row r="805" spans="2:13" x14ac:dyDescent="0.3">
      <c r="B805" s="1">
        <v>1245</v>
      </c>
      <c r="C805" s="2">
        <v>44488</v>
      </c>
      <c r="D805" s="1" t="s">
        <v>21</v>
      </c>
      <c r="E805" s="1" t="s">
        <v>15</v>
      </c>
      <c r="F805" s="1" t="s">
        <v>16</v>
      </c>
      <c r="G805" s="1">
        <v>2517.8000000000002</v>
      </c>
      <c r="H805" s="1" t="s">
        <v>107</v>
      </c>
      <c r="I805" s="2">
        <v>26671</v>
      </c>
      <c r="J805" s="2">
        <v>44495</v>
      </c>
      <c r="K805" s="1">
        <v>38.24</v>
      </c>
      <c r="L805" s="4">
        <f>G805*K805%</f>
        <v>962.80672000000015</v>
      </c>
      <c r="M805" s="4">
        <f>G805-L805</f>
        <v>1554.9932800000001</v>
      </c>
    </row>
    <row r="806" spans="2:13" x14ac:dyDescent="0.3">
      <c r="B806" s="1">
        <v>1386</v>
      </c>
      <c r="C806" s="2">
        <v>44786</v>
      </c>
      <c r="D806" s="1" t="s">
        <v>21</v>
      </c>
      <c r="E806" s="1" t="s">
        <v>61</v>
      </c>
      <c r="F806" s="1" t="s">
        <v>19</v>
      </c>
      <c r="G806" s="1">
        <v>1559.47</v>
      </c>
      <c r="H806" s="1" t="s">
        <v>32</v>
      </c>
      <c r="I806" s="2">
        <v>27166</v>
      </c>
      <c r="J806" s="2">
        <v>44787</v>
      </c>
      <c r="K806" s="1">
        <v>21.2</v>
      </c>
      <c r="L806" s="4">
        <f>G806*K806%</f>
        <v>330.60764</v>
      </c>
      <c r="M806" s="4">
        <f>G806-L806</f>
        <v>1228.8623600000001</v>
      </c>
    </row>
    <row r="807" spans="2:13" x14ac:dyDescent="0.3">
      <c r="B807" s="1">
        <v>1406</v>
      </c>
      <c r="C807" s="2">
        <v>45428</v>
      </c>
      <c r="D807" s="1" t="s">
        <v>21</v>
      </c>
      <c r="E807" s="1" t="s">
        <v>69</v>
      </c>
      <c r="F807" s="1" t="s">
        <v>31</v>
      </c>
      <c r="G807" s="1">
        <v>644.87</v>
      </c>
      <c r="H807" s="1" t="s">
        <v>259</v>
      </c>
      <c r="I807" s="2">
        <v>29938</v>
      </c>
      <c r="J807" s="2">
        <v>45437</v>
      </c>
      <c r="K807" s="1">
        <v>43.54</v>
      </c>
      <c r="L807" s="4">
        <f>G807*K807%</f>
        <v>280.77639800000003</v>
      </c>
      <c r="M807" s="4">
        <f>G807-L807</f>
        <v>364.09360199999998</v>
      </c>
    </row>
    <row r="808" spans="2:13" x14ac:dyDescent="0.3">
      <c r="B808" s="1">
        <v>1312</v>
      </c>
      <c r="C808" s="2">
        <v>45641</v>
      </c>
      <c r="D808" s="1" t="s">
        <v>21</v>
      </c>
      <c r="E808" s="1" t="s">
        <v>61</v>
      </c>
      <c r="F808" s="1" t="s">
        <v>19</v>
      </c>
      <c r="G808" s="1">
        <v>764.47</v>
      </c>
      <c r="H808" s="1" t="s">
        <v>239</v>
      </c>
      <c r="I808" s="2">
        <v>38442</v>
      </c>
      <c r="J808" s="2">
        <v>45643</v>
      </c>
      <c r="K808" s="1">
        <v>30.02</v>
      </c>
      <c r="L808" s="4">
        <f>G808*K808%</f>
        <v>229.49389400000001</v>
      </c>
      <c r="M808" s="4">
        <f>G808-L808</f>
        <v>534.97610600000007</v>
      </c>
    </row>
    <row r="809" spans="2:13" x14ac:dyDescent="0.3">
      <c r="B809" s="1">
        <v>1562</v>
      </c>
      <c r="C809" s="2">
        <v>44212</v>
      </c>
      <c r="D809" s="1" t="s">
        <v>21</v>
      </c>
      <c r="E809" s="1" t="s">
        <v>22</v>
      </c>
      <c r="F809" s="1" t="s">
        <v>19</v>
      </c>
      <c r="G809" s="1">
        <v>4265.46</v>
      </c>
      <c r="H809" s="1" t="s">
        <v>192</v>
      </c>
      <c r="I809" s="2">
        <v>33626</v>
      </c>
      <c r="J809" s="2">
        <v>44223</v>
      </c>
      <c r="K809" s="1">
        <v>0.21</v>
      </c>
      <c r="L809" s="4">
        <f>G809*K809%</f>
        <v>8.9574660000000002</v>
      </c>
      <c r="M809" s="4">
        <f>G809-L809</f>
        <v>4256.5025340000002</v>
      </c>
    </row>
    <row r="810" spans="2:13" x14ac:dyDescent="0.3">
      <c r="B810" s="1">
        <v>1280</v>
      </c>
      <c r="C810" s="2">
        <v>44353</v>
      </c>
      <c r="D810" s="1" t="s">
        <v>21</v>
      </c>
      <c r="E810" s="1" t="s">
        <v>53</v>
      </c>
      <c r="F810" s="1" t="s">
        <v>28</v>
      </c>
      <c r="G810" s="1">
        <v>926.55</v>
      </c>
      <c r="H810" s="1" t="s">
        <v>192</v>
      </c>
      <c r="I810" s="2">
        <v>33626</v>
      </c>
      <c r="J810" s="2">
        <v>44359</v>
      </c>
      <c r="K810" s="1">
        <v>6.59</v>
      </c>
      <c r="L810" s="4">
        <f>G810*K810%</f>
        <v>61.059644999999996</v>
      </c>
      <c r="M810" s="4">
        <f>G810-L810</f>
        <v>865.49035499999991</v>
      </c>
    </row>
    <row r="811" spans="2:13" x14ac:dyDescent="0.3">
      <c r="B811" s="1">
        <v>1076</v>
      </c>
      <c r="C811" s="2">
        <v>44682</v>
      </c>
      <c r="D811" s="1" t="s">
        <v>21</v>
      </c>
      <c r="E811" s="1" t="s">
        <v>44</v>
      </c>
      <c r="F811" s="1" t="s">
        <v>16</v>
      </c>
      <c r="G811" s="1">
        <v>316.27</v>
      </c>
      <c r="H811" s="1" t="s">
        <v>111</v>
      </c>
      <c r="I811" s="2">
        <v>34704</v>
      </c>
      <c r="J811" s="2">
        <v>44695</v>
      </c>
      <c r="K811" s="1">
        <v>22.2</v>
      </c>
      <c r="L811" s="4">
        <f>G811*K811%</f>
        <v>70.211939999999998</v>
      </c>
      <c r="M811" s="4">
        <f>G811-L811</f>
        <v>246.05805999999998</v>
      </c>
    </row>
    <row r="812" spans="2:13" x14ac:dyDescent="0.3">
      <c r="B812" s="1">
        <v>1022</v>
      </c>
      <c r="C812" s="2">
        <v>44985</v>
      </c>
      <c r="D812" s="1" t="s">
        <v>21</v>
      </c>
      <c r="E812" s="1" t="s">
        <v>58</v>
      </c>
      <c r="F812" s="1" t="s">
        <v>31</v>
      </c>
      <c r="G812" s="1">
        <v>4407.51</v>
      </c>
      <c r="H812" s="1" t="s">
        <v>59</v>
      </c>
      <c r="I812" s="2">
        <v>25166</v>
      </c>
      <c r="J812" s="2">
        <v>44991</v>
      </c>
      <c r="K812" s="1">
        <v>40.35</v>
      </c>
      <c r="L812" s="4">
        <f>G812*K812%</f>
        <v>1778.4302850000001</v>
      </c>
      <c r="M812" s="4">
        <f>G812-L812</f>
        <v>2629.0797149999999</v>
      </c>
    </row>
    <row r="813" spans="2:13" x14ac:dyDescent="0.3">
      <c r="B813" s="1">
        <v>1112</v>
      </c>
      <c r="C813" s="2">
        <v>44984</v>
      </c>
      <c r="D813" s="1" t="s">
        <v>10</v>
      </c>
      <c r="E813" s="1" t="s">
        <v>55</v>
      </c>
      <c r="F813" s="1" t="s">
        <v>31</v>
      </c>
      <c r="G813" s="1">
        <v>1352.28</v>
      </c>
      <c r="H813" s="1" t="s">
        <v>136</v>
      </c>
      <c r="I813" s="2">
        <v>23704</v>
      </c>
      <c r="J813" s="2">
        <v>44994</v>
      </c>
      <c r="K813" s="1">
        <v>31.85</v>
      </c>
      <c r="L813" s="4">
        <f>G813*K813%</f>
        <v>430.70118000000002</v>
      </c>
      <c r="M813" s="4">
        <f>G813-L813</f>
        <v>921.57881999999995</v>
      </c>
    </row>
    <row r="814" spans="2:13" x14ac:dyDescent="0.3">
      <c r="B814" s="1">
        <v>1571</v>
      </c>
      <c r="C814" s="2">
        <v>44079</v>
      </c>
      <c r="D814" s="1" t="s">
        <v>10</v>
      </c>
      <c r="E814" s="1" t="s">
        <v>44</v>
      </c>
      <c r="F814" s="1" t="s">
        <v>16</v>
      </c>
      <c r="G814" s="1">
        <v>4690.1099999999997</v>
      </c>
      <c r="H814" s="1" t="s">
        <v>118</v>
      </c>
      <c r="I814" s="2">
        <v>22599</v>
      </c>
      <c r="J814" s="2">
        <v>44082</v>
      </c>
      <c r="K814" s="1">
        <v>11.39</v>
      </c>
      <c r="L814" s="4">
        <f>G814*K814%</f>
        <v>534.203529</v>
      </c>
      <c r="M814" s="4">
        <f>G814-L814</f>
        <v>4155.9064709999993</v>
      </c>
    </row>
    <row r="815" spans="2:13" x14ac:dyDescent="0.3">
      <c r="B815" s="1">
        <v>1253</v>
      </c>
      <c r="C815" s="2">
        <v>44995</v>
      </c>
      <c r="D815" s="1" t="s">
        <v>10</v>
      </c>
      <c r="E815" s="1" t="s">
        <v>24</v>
      </c>
      <c r="F815" s="1" t="s">
        <v>19</v>
      </c>
      <c r="G815" s="1">
        <v>4945.4399999999996</v>
      </c>
      <c r="H815" s="1" t="s">
        <v>118</v>
      </c>
      <c r="I815" s="2">
        <v>22599</v>
      </c>
      <c r="J815" s="2">
        <v>44999</v>
      </c>
      <c r="K815" s="1">
        <v>23.04</v>
      </c>
      <c r="L815" s="4">
        <f>G815*K815%</f>
        <v>1139.4293759999998</v>
      </c>
      <c r="M815" s="4">
        <f>G815-L815</f>
        <v>3806.0106239999996</v>
      </c>
    </row>
    <row r="816" spans="2:13" x14ac:dyDescent="0.3">
      <c r="B816" s="1">
        <v>1045</v>
      </c>
      <c r="C816" s="2">
        <v>44129</v>
      </c>
      <c r="D816" s="1" t="s">
        <v>10</v>
      </c>
      <c r="E816" s="1" t="s">
        <v>44</v>
      </c>
      <c r="F816" s="1" t="s">
        <v>16</v>
      </c>
      <c r="G816" s="1">
        <v>2117.04</v>
      </c>
      <c r="H816" s="1" t="s">
        <v>85</v>
      </c>
      <c r="I816" s="2">
        <v>37236</v>
      </c>
      <c r="J816" s="2">
        <v>44138</v>
      </c>
      <c r="K816" s="1">
        <v>44.1</v>
      </c>
      <c r="L816" s="4">
        <f>G816*K816%</f>
        <v>933.61464000000001</v>
      </c>
      <c r="M816" s="4">
        <f>G816-L816</f>
        <v>1183.42536</v>
      </c>
    </row>
    <row r="817" spans="2:13" x14ac:dyDescent="0.3">
      <c r="B817" s="1">
        <v>1671</v>
      </c>
      <c r="C817" s="2">
        <v>45412</v>
      </c>
      <c r="D817" s="1" t="s">
        <v>10</v>
      </c>
      <c r="E817" s="1" t="s">
        <v>15</v>
      </c>
      <c r="F817" s="1" t="s">
        <v>16</v>
      </c>
      <c r="G817" s="1">
        <v>1138.79</v>
      </c>
      <c r="H817" s="1" t="s">
        <v>85</v>
      </c>
      <c r="I817" s="2">
        <v>37236</v>
      </c>
      <c r="J817" s="2">
        <v>45422</v>
      </c>
      <c r="K817" s="1">
        <v>32.72</v>
      </c>
      <c r="L817" s="4">
        <f>G817*K817%</f>
        <v>372.61208799999997</v>
      </c>
      <c r="M817" s="4">
        <f>G817-L817</f>
        <v>766.17791199999999</v>
      </c>
    </row>
    <row r="818" spans="2:13" x14ac:dyDescent="0.3">
      <c r="B818" s="1">
        <v>1929</v>
      </c>
      <c r="C818" s="2">
        <v>45169</v>
      </c>
      <c r="D818" s="1" t="s">
        <v>10</v>
      </c>
      <c r="E818" s="1" t="s">
        <v>73</v>
      </c>
      <c r="F818" s="1" t="s">
        <v>28</v>
      </c>
      <c r="G818" s="1">
        <v>1214.76</v>
      </c>
      <c r="H818" s="1" t="s">
        <v>325</v>
      </c>
      <c r="I818" s="2">
        <v>28731</v>
      </c>
      <c r="J818" s="2">
        <v>45176</v>
      </c>
      <c r="K818" s="1">
        <v>34.880000000000003</v>
      </c>
      <c r="L818" s="4">
        <f>G818*K818%</f>
        <v>423.70828799999998</v>
      </c>
      <c r="M818" s="4">
        <f>G818-L818</f>
        <v>791.05171199999995</v>
      </c>
    </row>
    <row r="819" spans="2:13" x14ac:dyDescent="0.3">
      <c r="B819" s="1">
        <v>1325</v>
      </c>
      <c r="C819" s="2">
        <v>44396</v>
      </c>
      <c r="D819" s="1" t="s">
        <v>10</v>
      </c>
      <c r="E819" s="1" t="s">
        <v>53</v>
      </c>
      <c r="F819" s="1" t="s">
        <v>28</v>
      </c>
      <c r="G819" s="1">
        <v>3607.16</v>
      </c>
      <c r="H819" s="1" t="s">
        <v>244</v>
      </c>
      <c r="I819" s="2">
        <v>30356</v>
      </c>
      <c r="J819" s="2">
        <v>44405</v>
      </c>
      <c r="K819" s="1">
        <v>3.14</v>
      </c>
      <c r="L819" s="4">
        <f>G819*K819%</f>
        <v>113.264824</v>
      </c>
      <c r="M819" s="4">
        <f>G819-L819</f>
        <v>3493.895176</v>
      </c>
    </row>
    <row r="820" spans="2:13" x14ac:dyDescent="0.3">
      <c r="B820" s="1">
        <v>1990</v>
      </c>
      <c r="C820" s="2">
        <v>45222</v>
      </c>
      <c r="D820" s="1" t="s">
        <v>10</v>
      </c>
      <c r="E820" s="1" t="s">
        <v>53</v>
      </c>
      <c r="F820" s="1" t="s">
        <v>28</v>
      </c>
      <c r="G820" s="1">
        <v>4273.12</v>
      </c>
      <c r="H820" s="1" t="s">
        <v>244</v>
      </c>
      <c r="I820" s="2">
        <v>30356</v>
      </c>
      <c r="J820" s="2">
        <v>45232</v>
      </c>
      <c r="K820" s="1">
        <v>36.299999999999997</v>
      </c>
      <c r="L820" s="4">
        <f>G820*K820%</f>
        <v>1551.14256</v>
      </c>
      <c r="M820" s="4">
        <f>G820-L820</f>
        <v>2721.9774399999997</v>
      </c>
    </row>
    <row r="821" spans="2:13" x14ac:dyDescent="0.3">
      <c r="B821" s="1">
        <v>1339</v>
      </c>
      <c r="C821" s="2">
        <v>45567</v>
      </c>
      <c r="D821" s="1" t="s">
        <v>10</v>
      </c>
      <c r="E821" s="1" t="s">
        <v>73</v>
      </c>
      <c r="F821" s="1" t="s">
        <v>28</v>
      </c>
      <c r="G821" s="1">
        <v>3000.01</v>
      </c>
      <c r="H821" s="1" t="s">
        <v>244</v>
      </c>
      <c r="I821" s="2">
        <v>30356</v>
      </c>
      <c r="J821" s="2">
        <v>45578</v>
      </c>
      <c r="K821" s="1">
        <v>41.02</v>
      </c>
      <c r="L821" s="4">
        <f>G821*K821%</f>
        <v>1230.604102</v>
      </c>
      <c r="M821" s="4">
        <f>G821-L821</f>
        <v>1769.4058980000002</v>
      </c>
    </row>
    <row r="822" spans="2:13" x14ac:dyDescent="0.3">
      <c r="B822" s="1">
        <v>1429</v>
      </c>
      <c r="C822" s="2">
        <v>44536</v>
      </c>
      <c r="D822" s="1" t="s">
        <v>10</v>
      </c>
      <c r="E822" s="1" t="s">
        <v>24</v>
      </c>
      <c r="F822" s="1" t="s">
        <v>19</v>
      </c>
      <c r="G822" s="1">
        <v>4025.44</v>
      </c>
      <c r="H822" s="1" t="s">
        <v>266</v>
      </c>
      <c r="I822" s="2">
        <v>32604</v>
      </c>
      <c r="J822" s="2">
        <v>44543</v>
      </c>
      <c r="K822" s="1">
        <v>4.45</v>
      </c>
      <c r="L822" s="4">
        <f>G822*K822%</f>
        <v>179.13208000000003</v>
      </c>
      <c r="M822" s="4">
        <f>G822-L822</f>
        <v>3846.3079200000002</v>
      </c>
    </row>
    <row r="823" spans="2:13" x14ac:dyDescent="0.3">
      <c r="B823" s="1">
        <v>1833</v>
      </c>
      <c r="C823" s="2">
        <v>45659</v>
      </c>
      <c r="D823" s="1" t="s">
        <v>10</v>
      </c>
      <c r="E823" s="1" t="s">
        <v>58</v>
      </c>
      <c r="F823" s="1" t="s">
        <v>31</v>
      </c>
      <c r="G823" s="1">
        <v>4576.63</v>
      </c>
      <c r="H823" s="1" t="s">
        <v>96</v>
      </c>
      <c r="I823" s="2">
        <v>36236</v>
      </c>
      <c r="J823" s="2">
        <v>45671</v>
      </c>
      <c r="K823" s="1">
        <v>18.88</v>
      </c>
      <c r="L823" s="4">
        <f>G823*K823%</f>
        <v>864.06774399999995</v>
      </c>
      <c r="M823" s="4">
        <f>G823-L823</f>
        <v>3712.5622560000002</v>
      </c>
    </row>
    <row r="824" spans="2:13" x14ac:dyDescent="0.3">
      <c r="B824" s="1">
        <v>1156</v>
      </c>
      <c r="C824" s="2">
        <v>45019</v>
      </c>
      <c r="D824" s="1" t="s">
        <v>10</v>
      </c>
      <c r="E824" s="1" t="s">
        <v>11</v>
      </c>
      <c r="F824" s="1" t="s">
        <v>12</v>
      </c>
      <c r="G824" s="1">
        <v>222.74</v>
      </c>
      <c r="H824" s="1" t="s">
        <v>68</v>
      </c>
      <c r="I824" s="2">
        <v>22079</v>
      </c>
      <c r="J824" s="2">
        <v>45031</v>
      </c>
      <c r="K824" s="1">
        <v>25.77</v>
      </c>
      <c r="L824" s="4">
        <f>G824*K824%</f>
        <v>57.400098</v>
      </c>
      <c r="M824" s="4">
        <f>G824-L824</f>
        <v>165.339902</v>
      </c>
    </row>
    <row r="825" spans="2:13" x14ac:dyDescent="0.3">
      <c r="B825" s="1">
        <v>1459</v>
      </c>
      <c r="C825" s="2">
        <v>45180</v>
      </c>
      <c r="D825" s="1" t="s">
        <v>10</v>
      </c>
      <c r="E825" s="1" t="s">
        <v>58</v>
      </c>
      <c r="F825" s="1" t="s">
        <v>31</v>
      </c>
      <c r="G825" s="1">
        <v>846.48</v>
      </c>
      <c r="H825" s="1" t="s">
        <v>276</v>
      </c>
      <c r="I825" s="2">
        <v>33394</v>
      </c>
      <c r="J825" s="2">
        <v>45184</v>
      </c>
      <c r="K825" s="1">
        <v>11.6</v>
      </c>
      <c r="L825" s="4">
        <f>G825*K825%</f>
        <v>98.191679999999991</v>
      </c>
      <c r="M825" s="4">
        <f>G825-L825</f>
        <v>748.28832</v>
      </c>
    </row>
    <row r="826" spans="2:13" x14ac:dyDescent="0.3">
      <c r="B826" s="1">
        <v>1533</v>
      </c>
      <c r="C826" s="2">
        <v>45442</v>
      </c>
      <c r="D826" s="1" t="s">
        <v>10</v>
      </c>
      <c r="E826" s="1" t="s">
        <v>44</v>
      </c>
      <c r="F826" s="1" t="s">
        <v>16</v>
      </c>
      <c r="G826" s="1">
        <v>342.76</v>
      </c>
      <c r="H826" s="1" t="s">
        <v>224</v>
      </c>
      <c r="I826" s="2">
        <v>35405</v>
      </c>
      <c r="J826" s="2">
        <v>45450</v>
      </c>
      <c r="K826" s="1">
        <v>4.42</v>
      </c>
      <c r="L826" s="4">
        <f>G826*K826%</f>
        <v>15.149991999999997</v>
      </c>
      <c r="M826" s="4">
        <f>G826-L826</f>
        <v>327.61000799999999</v>
      </c>
    </row>
    <row r="827" spans="2:13" x14ac:dyDescent="0.3">
      <c r="B827" s="1">
        <v>1956</v>
      </c>
      <c r="C827" s="2">
        <v>44520</v>
      </c>
      <c r="D827" s="1" t="s">
        <v>10</v>
      </c>
      <c r="E827" s="1" t="s">
        <v>11</v>
      </c>
      <c r="F827" s="1" t="s">
        <v>12</v>
      </c>
      <c r="G827" s="1">
        <v>4483.1499999999996</v>
      </c>
      <c r="H827" s="1" t="s">
        <v>170</v>
      </c>
      <c r="I827" s="2">
        <v>34205</v>
      </c>
      <c r="J827" s="2">
        <v>44526</v>
      </c>
      <c r="K827" s="1">
        <v>40.35</v>
      </c>
      <c r="L827" s="4">
        <f>G827*K827%</f>
        <v>1808.9510250000001</v>
      </c>
      <c r="M827" s="4">
        <f>G827-L827</f>
        <v>2674.1989749999993</v>
      </c>
    </row>
    <row r="828" spans="2:13" x14ac:dyDescent="0.3">
      <c r="B828" s="1">
        <v>1861</v>
      </c>
      <c r="C828" s="2">
        <v>45363</v>
      </c>
      <c r="D828" s="1" t="s">
        <v>10</v>
      </c>
      <c r="E828" s="1" t="s">
        <v>47</v>
      </c>
      <c r="F828" s="1" t="s">
        <v>12</v>
      </c>
      <c r="G828" s="1">
        <v>1228.29</v>
      </c>
      <c r="H828" s="1" t="s">
        <v>170</v>
      </c>
      <c r="I828" s="2">
        <v>34205</v>
      </c>
      <c r="J828" s="2">
        <v>45369</v>
      </c>
      <c r="K828" s="1">
        <v>37.17</v>
      </c>
      <c r="L828" s="4">
        <f>G828*K828%</f>
        <v>456.55539300000004</v>
      </c>
      <c r="M828" s="4">
        <f>G828-L828</f>
        <v>771.73460699999987</v>
      </c>
    </row>
    <row r="829" spans="2:13" x14ac:dyDescent="0.3">
      <c r="B829" s="1">
        <v>1698</v>
      </c>
      <c r="C829" s="2">
        <v>45490</v>
      </c>
      <c r="D829" s="1" t="s">
        <v>10</v>
      </c>
      <c r="E829" s="1" t="s">
        <v>73</v>
      </c>
      <c r="F829" s="1" t="s">
        <v>28</v>
      </c>
      <c r="G829" s="1">
        <v>4876.51</v>
      </c>
      <c r="H829" s="1" t="s">
        <v>121</v>
      </c>
      <c r="I829" s="2">
        <v>24580</v>
      </c>
      <c r="J829" s="2">
        <v>45501</v>
      </c>
      <c r="K829" s="1">
        <v>10.16</v>
      </c>
      <c r="L829" s="4">
        <f>G829*K829%</f>
        <v>495.453416</v>
      </c>
      <c r="M829" s="4">
        <f>G829-L829</f>
        <v>4381.0565839999999</v>
      </c>
    </row>
    <row r="830" spans="2:13" x14ac:dyDescent="0.3">
      <c r="B830" s="1">
        <v>1126</v>
      </c>
      <c r="C830" s="2">
        <v>44298</v>
      </c>
      <c r="D830" s="1" t="s">
        <v>10</v>
      </c>
      <c r="E830" s="1" t="s">
        <v>27</v>
      </c>
      <c r="F830" s="1" t="s">
        <v>28</v>
      </c>
      <c r="G830" s="1">
        <v>2539.35</v>
      </c>
      <c r="H830" s="1" t="s">
        <v>62</v>
      </c>
      <c r="I830" s="2">
        <v>22870</v>
      </c>
      <c r="J830" s="2">
        <v>44302</v>
      </c>
      <c r="K830" s="1">
        <v>18.09</v>
      </c>
      <c r="L830" s="4">
        <f>G830*K830%</f>
        <v>459.36841499999997</v>
      </c>
      <c r="M830" s="4">
        <f>G830-L830</f>
        <v>2079.981585</v>
      </c>
    </row>
    <row r="831" spans="2:13" x14ac:dyDescent="0.3">
      <c r="B831" s="1">
        <v>1068</v>
      </c>
      <c r="C831" s="2">
        <v>45567</v>
      </c>
      <c r="D831" s="1" t="s">
        <v>10</v>
      </c>
      <c r="E831" s="1" t="s">
        <v>15</v>
      </c>
      <c r="F831" s="1" t="s">
        <v>16</v>
      </c>
      <c r="G831" s="1">
        <v>2133.52</v>
      </c>
      <c r="H831" s="1" t="s">
        <v>62</v>
      </c>
      <c r="I831" s="2">
        <v>22870</v>
      </c>
      <c r="J831" s="2">
        <v>45572</v>
      </c>
      <c r="K831" s="1">
        <v>49.58</v>
      </c>
      <c r="L831" s="4">
        <f>G831*K831%</f>
        <v>1057.7992159999999</v>
      </c>
      <c r="M831" s="4">
        <f>G831-L831</f>
        <v>1075.7207840000001</v>
      </c>
    </row>
    <row r="832" spans="2:13" x14ac:dyDescent="0.3">
      <c r="B832" s="1">
        <v>1248</v>
      </c>
      <c r="C832" s="2">
        <v>45583</v>
      </c>
      <c r="D832" s="1" t="s">
        <v>10</v>
      </c>
      <c r="E832" s="1" t="s">
        <v>55</v>
      </c>
      <c r="F832" s="1" t="s">
        <v>31</v>
      </c>
      <c r="G832" s="1">
        <v>834.79</v>
      </c>
      <c r="H832" s="1" t="s">
        <v>62</v>
      </c>
      <c r="I832" s="2">
        <v>22870</v>
      </c>
      <c r="J832" s="2">
        <v>45587</v>
      </c>
      <c r="K832" s="1">
        <v>43.88</v>
      </c>
      <c r="L832" s="4">
        <f>G832*K832%</f>
        <v>366.30585200000002</v>
      </c>
      <c r="M832" s="4">
        <f>G832-L832</f>
        <v>468.48414799999995</v>
      </c>
    </row>
    <row r="833" spans="2:13" x14ac:dyDescent="0.3">
      <c r="B833" s="1">
        <v>1494</v>
      </c>
      <c r="C833" s="2">
        <v>44484</v>
      </c>
      <c r="D833" s="1" t="s">
        <v>10</v>
      </c>
      <c r="E833" s="1" t="s">
        <v>88</v>
      </c>
      <c r="F833" s="1" t="s">
        <v>16</v>
      </c>
      <c r="G833" s="1">
        <v>3755.32</v>
      </c>
      <c r="H833" s="1" t="s">
        <v>282</v>
      </c>
      <c r="I833" s="2">
        <v>38073</v>
      </c>
      <c r="J833" s="2">
        <v>44489</v>
      </c>
      <c r="K833" s="1">
        <v>39.659999999999997</v>
      </c>
      <c r="L833" s="4">
        <f>G833*K833%</f>
        <v>1489.3599119999999</v>
      </c>
      <c r="M833" s="4">
        <f>G833-L833</f>
        <v>2265.9600880000003</v>
      </c>
    </row>
    <row r="834" spans="2:13" x14ac:dyDescent="0.3">
      <c r="B834" s="1">
        <v>1033</v>
      </c>
      <c r="C834" s="2">
        <v>44348</v>
      </c>
      <c r="D834" s="1" t="s">
        <v>10</v>
      </c>
      <c r="E834" s="1" t="s">
        <v>73</v>
      </c>
      <c r="F834" s="1" t="s">
        <v>28</v>
      </c>
      <c r="G834" s="1">
        <v>4960.07</v>
      </c>
      <c r="H834" s="1" t="s">
        <v>74</v>
      </c>
      <c r="I834" s="2">
        <v>31224</v>
      </c>
      <c r="J834" s="2">
        <v>44362</v>
      </c>
      <c r="K834" s="1">
        <v>32.39</v>
      </c>
      <c r="L834" s="4">
        <f>G834*K834%</f>
        <v>1606.566673</v>
      </c>
      <c r="M834" s="4">
        <f>G834-L834</f>
        <v>3353.5033269999994</v>
      </c>
    </row>
    <row r="835" spans="2:13" x14ac:dyDescent="0.3">
      <c r="B835" s="1">
        <v>1416</v>
      </c>
      <c r="C835" s="2">
        <v>44685</v>
      </c>
      <c r="D835" s="1" t="s">
        <v>10</v>
      </c>
      <c r="E835" s="1" t="s">
        <v>33</v>
      </c>
      <c r="F835" s="1" t="s">
        <v>16</v>
      </c>
      <c r="G835" s="1">
        <v>1422.31</v>
      </c>
      <c r="H835" s="1" t="s">
        <v>74</v>
      </c>
      <c r="I835" s="2">
        <v>31224</v>
      </c>
      <c r="J835" s="2">
        <v>44694</v>
      </c>
      <c r="K835" s="1">
        <v>24.91</v>
      </c>
      <c r="L835" s="4">
        <f>G835*K835%</f>
        <v>354.29742099999999</v>
      </c>
      <c r="M835" s="4">
        <f>G835-L835</f>
        <v>1068.012579</v>
      </c>
    </row>
    <row r="836" spans="2:13" x14ac:dyDescent="0.3">
      <c r="B836" s="1">
        <v>1566</v>
      </c>
      <c r="C836" s="2">
        <v>45022</v>
      </c>
      <c r="D836" s="1" t="s">
        <v>10</v>
      </c>
      <c r="E836" s="1" t="s">
        <v>27</v>
      </c>
      <c r="F836" s="1" t="s">
        <v>28</v>
      </c>
      <c r="G836" s="1">
        <v>1608.38</v>
      </c>
      <c r="H836" s="1" t="s">
        <v>296</v>
      </c>
      <c r="I836" s="2">
        <v>39045</v>
      </c>
      <c r="J836" s="2">
        <v>45029</v>
      </c>
      <c r="K836" s="1">
        <v>11.05</v>
      </c>
      <c r="L836" s="4">
        <f>G836*K836%</f>
        <v>177.72599000000002</v>
      </c>
      <c r="M836" s="4">
        <f>G836-L836</f>
        <v>1430.6540100000002</v>
      </c>
    </row>
    <row r="837" spans="2:13" x14ac:dyDescent="0.3">
      <c r="B837" s="1">
        <v>1108</v>
      </c>
      <c r="C837" s="2">
        <v>44530</v>
      </c>
      <c r="D837" s="1" t="s">
        <v>10</v>
      </c>
      <c r="E837" s="1" t="s">
        <v>65</v>
      </c>
      <c r="F837" s="1" t="s">
        <v>19</v>
      </c>
      <c r="G837" s="1">
        <v>1280.52</v>
      </c>
      <c r="H837" s="1" t="s">
        <v>132</v>
      </c>
      <c r="I837" s="2">
        <v>34364</v>
      </c>
      <c r="J837" s="2">
        <v>44533</v>
      </c>
      <c r="K837" s="1">
        <v>21.85</v>
      </c>
      <c r="L837" s="4">
        <f>G837*K837%</f>
        <v>279.79362000000003</v>
      </c>
      <c r="M837" s="4">
        <f>G837-L837</f>
        <v>1000.7263799999999</v>
      </c>
    </row>
    <row r="838" spans="2:13" x14ac:dyDescent="0.3">
      <c r="B838" s="1">
        <v>1612</v>
      </c>
      <c r="C838" s="2">
        <v>45577</v>
      </c>
      <c r="D838" s="1" t="s">
        <v>10</v>
      </c>
      <c r="E838" s="1" t="s">
        <v>44</v>
      </c>
      <c r="F838" s="1" t="s">
        <v>16</v>
      </c>
      <c r="G838" s="1">
        <v>4247.75</v>
      </c>
      <c r="H838" s="1" t="s">
        <v>218</v>
      </c>
      <c r="I838" s="2">
        <v>29792</v>
      </c>
      <c r="J838" s="2">
        <v>45584</v>
      </c>
      <c r="K838" s="1">
        <v>5.75</v>
      </c>
      <c r="L838" s="4">
        <f>G838*K838%</f>
        <v>244.24562500000002</v>
      </c>
      <c r="M838" s="4">
        <f>G838-L838</f>
        <v>4003.504375</v>
      </c>
    </row>
    <row r="839" spans="2:13" x14ac:dyDescent="0.3">
      <c r="B839" s="1">
        <v>1584</v>
      </c>
      <c r="C839" s="2">
        <v>44929</v>
      </c>
      <c r="D839" s="1" t="s">
        <v>10</v>
      </c>
      <c r="E839" s="1" t="s">
        <v>15</v>
      </c>
      <c r="F839" s="1" t="s">
        <v>16</v>
      </c>
      <c r="G839" s="1">
        <v>2668.64</v>
      </c>
      <c r="H839" s="1" t="s">
        <v>247</v>
      </c>
      <c r="I839" s="2">
        <v>23735</v>
      </c>
      <c r="J839" s="2">
        <v>44932</v>
      </c>
      <c r="K839" s="1">
        <v>16.489999999999998</v>
      </c>
      <c r="L839" s="4">
        <f>G839*K839%</f>
        <v>440.05873599999995</v>
      </c>
      <c r="M839" s="4">
        <f>G839-L839</f>
        <v>2228.5812639999999</v>
      </c>
    </row>
    <row r="840" spans="2:13" x14ac:dyDescent="0.3">
      <c r="B840" s="1">
        <v>1568</v>
      </c>
      <c r="C840" s="2">
        <v>45202</v>
      </c>
      <c r="D840" s="1" t="s">
        <v>10</v>
      </c>
      <c r="E840" s="1" t="s">
        <v>49</v>
      </c>
      <c r="F840" s="1" t="s">
        <v>12</v>
      </c>
      <c r="G840" s="1">
        <v>4062.14</v>
      </c>
      <c r="H840" s="1" t="s">
        <v>268</v>
      </c>
      <c r="I840" s="2">
        <v>25103</v>
      </c>
      <c r="J840" s="2">
        <v>45205</v>
      </c>
      <c r="K840" s="1">
        <v>46.2</v>
      </c>
      <c r="L840" s="4">
        <f>G840*K840%</f>
        <v>1876.70868</v>
      </c>
      <c r="M840" s="4">
        <f>G840-L840</f>
        <v>2185.4313199999997</v>
      </c>
    </row>
    <row r="841" spans="2:13" x14ac:dyDescent="0.3">
      <c r="B841" s="1">
        <v>1444</v>
      </c>
      <c r="C841" s="2">
        <v>45724</v>
      </c>
      <c r="D841" s="1" t="s">
        <v>10</v>
      </c>
      <c r="E841" s="1" t="s">
        <v>38</v>
      </c>
      <c r="F841" s="1" t="s">
        <v>28</v>
      </c>
      <c r="G841" s="1">
        <v>1247.1500000000001</v>
      </c>
      <c r="H841" s="1" t="s">
        <v>268</v>
      </c>
      <c r="I841" s="2">
        <v>25103</v>
      </c>
      <c r="J841" s="2">
        <v>45727</v>
      </c>
      <c r="K841" s="1">
        <v>6.45</v>
      </c>
      <c r="L841" s="4">
        <f>G841*K841%</f>
        <v>80.441175000000001</v>
      </c>
      <c r="M841" s="4">
        <f>G841-L841</f>
        <v>1166.7088250000002</v>
      </c>
    </row>
    <row r="842" spans="2:13" x14ac:dyDescent="0.3">
      <c r="B842" s="1">
        <v>1545</v>
      </c>
      <c r="C842" s="2">
        <v>44914</v>
      </c>
      <c r="D842" s="1" t="s">
        <v>10</v>
      </c>
      <c r="E842" s="1" t="s">
        <v>15</v>
      </c>
      <c r="F842" s="1" t="s">
        <v>16</v>
      </c>
      <c r="G842" s="1">
        <v>758.42</v>
      </c>
      <c r="H842" s="1" t="s">
        <v>268</v>
      </c>
      <c r="I842" s="2">
        <v>25103</v>
      </c>
      <c r="J842" s="2">
        <v>44918</v>
      </c>
      <c r="K842" s="1">
        <v>29.58</v>
      </c>
      <c r="L842" s="4">
        <f>G842*K842%</f>
        <v>224.34063599999999</v>
      </c>
      <c r="M842" s="4">
        <f>G842-L842</f>
        <v>534.07936399999994</v>
      </c>
    </row>
    <row r="843" spans="2:13" x14ac:dyDescent="0.3">
      <c r="B843" s="1">
        <v>1644</v>
      </c>
      <c r="C843" s="2">
        <v>44353</v>
      </c>
      <c r="D843" s="1" t="s">
        <v>10</v>
      </c>
      <c r="E843" s="1" t="s">
        <v>65</v>
      </c>
      <c r="F843" s="1" t="s">
        <v>19</v>
      </c>
      <c r="G843" s="1">
        <v>2669.73</v>
      </c>
      <c r="H843" s="1" t="s">
        <v>301</v>
      </c>
      <c r="I843" s="2">
        <v>31775</v>
      </c>
      <c r="J843" s="2">
        <v>44358</v>
      </c>
      <c r="K843" s="1">
        <v>41.87</v>
      </c>
      <c r="L843" s="4">
        <f>G843*K843%</f>
        <v>1117.8159509999998</v>
      </c>
      <c r="M843" s="4">
        <f>G843-L843</f>
        <v>1551.9140490000002</v>
      </c>
    </row>
    <row r="844" spans="2:13" x14ac:dyDescent="0.3">
      <c r="B844" s="1">
        <v>1666</v>
      </c>
      <c r="C844" s="2">
        <v>45636</v>
      </c>
      <c r="D844" s="1" t="s">
        <v>10</v>
      </c>
      <c r="E844" s="1" t="s">
        <v>71</v>
      </c>
      <c r="F844" s="1" t="s">
        <v>31</v>
      </c>
      <c r="G844" s="1">
        <v>639.63</v>
      </c>
      <c r="H844" s="1" t="s">
        <v>301</v>
      </c>
      <c r="I844" s="2">
        <v>31775</v>
      </c>
      <c r="J844" s="2">
        <v>45641</v>
      </c>
      <c r="K844" s="1">
        <v>41.11</v>
      </c>
      <c r="L844" s="4">
        <f>G844*K844%</f>
        <v>262.95189299999998</v>
      </c>
      <c r="M844" s="4">
        <f>G844-L844</f>
        <v>376.67810700000001</v>
      </c>
    </row>
    <row r="845" spans="2:13" x14ac:dyDescent="0.3">
      <c r="B845" s="1">
        <v>1931</v>
      </c>
      <c r="C845" s="2">
        <v>45036</v>
      </c>
      <c r="D845" s="1" t="s">
        <v>10</v>
      </c>
      <c r="E845" s="1" t="s">
        <v>61</v>
      </c>
      <c r="F845" s="1" t="s">
        <v>19</v>
      </c>
      <c r="G845" s="1">
        <v>1401.86</v>
      </c>
      <c r="H845" s="1" t="s">
        <v>235</v>
      </c>
      <c r="I845" s="2">
        <v>36760</v>
      </c>
      <c r="J845" s="2">
        <v>45050</v>
      </c>
      <c r="K845" s="1">
        <v>40.04</v>
      </c>
      <c r="L845" s="4">
        <f>G845*K845%</f>
        <v>561.30474399999991</v>
      </c>
      <c r="M845" s="4">
        <f>G845-L845</f>
        <v>840.55525599999999</v>
      </c>
    </row>
    <row r="846" spans="2:13" x14ac:dyDescent="0.3">
      <c r="B846" s="1">
        <v>1083</v>
      </c>
      <c r="C846" s="2">
        <v>44429</v>
      </c>
      <c r="D846" s="1" t="s">
        <v>10</v>
      </c>
      <c r="E846" s="1" t="s">
        <v>53</v>
      </c>
      <c r="F846" s="1" t="s">
        <v>28</v>
      </c>
      <c r="G846" s="1">
        <v>2800.45</v>
      </c>
      <c r="H846" s="1" t="s">
        <v>115</v>
      </c>
      <c r="I846" s="2">
        <v>29486</v>
      </c>
      <c r="J846" s="2">
        <v>44430</v>
      </c>
      <c r="K846" s="1">
        <v>19.16</v>
      </c>
      <c r="L846" s="4">
        <f>G846*K846%</f>
        <v>536.56621999999993</v>
      </c>
      <c r="M846" s="4">
        <f>G846-L846</f>
        <v>2263.8837800000001</v>
      </c>
    </row>
    <row r="847" spans="2:13" x14ac:dyDescent="0.3">
      <c r="B847" s="1">
        <v>1851</v>
      </c>
      <c r="C847" s="2">
        <v>44300</v>
      </c>
      <c r="D847" s="1" t="s">
        <v>10</v>
      </c>
      <c r="E847" s="1" t="s">
        <v>27</v>
      </c>
      <c r="F847" s="1" t="s">
        <v>28</v>
      </c>
      <c r="G847" s="1">
        <v>2154.15</v>
      </c>
      <c r="H847" s="1" t="s">
        <v>115</v>
      </c>
      <c r="I847" s="2">
        <v>29486</v>
      </c>
      <c r="J847" s="2">
        <v>44302</v>
      </c>
      <c r="K847" s="1">
        <v>29.73</v>
      </c>
      <c r="L847" s="4">
        <f>G847*K847%</f>
        <v>640.42879500000004</v>
      </c>
      <c r="M847" s="4">
        <f>G847-L847</f>
        <v>1513.7212050000001</v>
      </c>
    </row>
    <row r="848" spans="2:13" x14ac:dyDescent="0.3">
      <c r="B848" s="1">
        <v>1563</v>
      </c>
      <c r="C848" s="2">
        <v>44096</v>
      </c>
      <c r="D848" s="1" t="s">
        <v>10</v>
      </c>
      <c r="E848" s="1" t="s">
        <v>53</v>
      </c>
      <c r="F848" s="1" t="s">
        <v>28</v>
      </c>
      <c r="G848" s="1">
        <v>3498</v>
      </c>
      <c r="H848" s="1" t="s">
        <v>123</v>
      </c>
      <c r="I848" s="2">
        <v>36120</v>
      </c>
      <c r="J848" s="2">
        <v>44109</v>
      </c>
      <c r="K848" s="1">
        <v>36.71</v>
      </c>
      <c r="L848" s="4">
        <f>G848*K848%</f>
        <v>1284.1158</v>
      </c>
      <c r="M848" s="4">
        <f>G848-L848</f>
        <v>2213.8842</v>
      </c>
    </row>
    <row r="849" spans="2:13" x14ac:dyDescent="0.3">
      <c r="B849" s="1">
        <v>1091</v>
      </c>
      <c r="C849" s="2">
        <v>45476</v>
      </c>
      <c r="D849" s="1" t="s">
        <v>10</v>
      </c>
      <c r="E849" s="1" t="s">
        <v>30</v>
      </c>
      <c r="F849" s="1" t="s">
        <v>31</v>
      </c>
      <c r="G849" s="1">
        <v>1851.24</v>
      </c>
      <c r="H849" s="1" t="s">
        <v>123</v>
      </c>
      <c r="I849" s="2">
        <v>36120</v>
      </c>
      <c r="J849" s="2">
        <v>45479</v>
      </c>
      <c r="K849" s="1">
        <v>24.89</v>
      </c>
      <c r="L849" s="4">
        <f>G849*K849%</f>
        <v>460.77363600000001</v>
      </c>
      <c r="M849" s="4">
        <f>G849-L849</f>
        <v>1390.4663639999999</v>
      </c>
    </row>
    <row r="850" spans="2:13" x14ac:dyDescent="0.3">
      <c r="B850" s="1">
        <v>1774</v>
      </c>
      <c r="C850" s="2">
        <v>45090</v>
      </c>
      <c r="D850" s="1" t="s">
        <v>10</v>
      </c>
      <c r="E850" s="1" t="s">
        <v>40</v>
      </c>
      <c r="F850" s="1" t="s">
        <v>16</v>
      </c>
      <c r="G850" s="1">
        <v>3560.29</v>
      </c>
      <c r="H850" s="1" t="s">
        <v>109</v>
      </c>
      <c r="I850" s="2">
        <v>26011</v>
      </c>
      <c r="J850" s="2">
        <v>45094</v>
      </c>
      <c r="K850" s="1">
        <v>9.93</v>
      </c>
      <c r="L850" s="4">
        <f>G850*K850%</f>
        <v>353.53679699999998</v>
      </c>
      <c r="M850" s="4">
        <f>G850-L850</f>
        <v>3206.7532030000002</v>
      </c>
    </row>
    <row r="851" spans="2:13" x14ac:dyDescent="0.3">
      <c r="B851" s="1">
        <v>1792</v>
      </c>
      <c r="C851" s="2">
        <v>44751</v>
      </c>
      <c r="D851" s="1" t="s">
        <v>10</v>
      </c>
      <c r="E851" s="1" t="s">
        <v>71</v>
      </c>
      <c r="F851" s="1" t="s">
        <v>31</v>
      </c>
      <c r="G851" s="1">
        <v>557.03</v>
      </c>
      <c r="H851" s="1" t="s">
        <v>193</v>
      </c>
      <c r="I851" s="2">
        <v>26082</v>
      </c>
      <c r="J851" s="2">
        <v>44752</v>
      </c>
      <c r="K851" s="1">
        <v>22.2</v>
      </c>
      <c r="L851" s="4">
        <f>G851*K851%</f>
        <v>123.66065999999999</v>
      </c>
      <c r="M851" s="4">
        <f>G851-L851</f>
        <v>433.36933999999997</v>
      </c>
    </row>
    <row r="852" spans="2:13" x14ac:dyDescent="0.3">
      <c r="B852" s="1">
        <v>1176</v>
      </c>
      <c r="C852" s="2">
        <v>44490</v>
      </c>
      <c r="D852" s="1" t="s">
        <v>10</v>
      </c>
      <c r="E852" s="1" t="s">
        <v>11</v>
      </c>
      <c r="F852" s="1" t="s">
        <v>12</v>
      </c>
      <c r="G852" s="1">
        <v>365.08</v>
      </c>
      <c r="H852" s="1" t="s">
        <v>177</v>
      </c>
      <c r="I852" s="2">
        <v>22927</v>
      </c>
      <c r="J852" s="2">
        <v>44493</v>
      </c>
      <c r="K852" s="1">
        <v>19.37</v>
      </c>
      <c r="L852" s="4">
        <f>G852*K852%</f>
        <v>70.715996000000004</v>
      </c>
      <c r="M852" s="4">
        <f>G852-L852</f>
        <v>294.36400399999997</v>
      </c>
    </row>
    <row r="853" spans="2:13" x14ac:dyDescent="0.3">
      <c r="B853" s="1">
        <v>1299</v>
      </c>
      <c r="C853" s="2">
        <v>44819</v>
      </c>
      <c r="D853" s="1" t="s">
        <v>10</v>
      </c>
      <c r="E853" s="1" t="s">
        <v>38</v>
      </c>
      <c r="F853" s="1" t="s">
        <v>28</v>
      </c>
      <c r="G853" s="1">
        <v>2757.73</v>
      </c>
      <c r="H853" s="1" t="s">
        <v>152</v>
      </c>
      <c r="I853" s="2">
        <v>24792</v>
      </c>
      <c r="J853" s="2">
        <v>44829</v>
      </c>
      <c r="K853" s="1">
        <v>21.95</v>
      </c>
      <c r="L853" s="4">
        <f>G853*K853%</f>
        <v>605.32173499999999</v>
      </c>
      <c r="M853" s="4">
        <f>G853-L853</f>
        <v>2152.408265</v>
      </c>
    </row>
    <row r="854" spans="2:13" x14ac:dyDescent="0.3">
      <c r="B854" s="1">
        <v>1207</v>
      </c>
      <c r="C854" s="2">
        <v>44585</v>
      </c>
      <c r="D854" s="1" t="s">
        <v>10</v>
      </c>
      <c r="E854" s="1" t="s">
        <v>30</v>
      </c>
      <c r="F854" s="1" t="s">
        <v>31</v>
      </c>
      <c r="G854" s="1">
        <v>2724.62</v>
      </c>
      <c r="H854" s="1" t="s">
        <v>198</v>
      </c>
      <c r="I854" s="2">
        <v>31598</v>
      </c>
      <c r="J854" s="2">
        <v>44599</v>
      </c>
      <c r="K854" s="1">
        <v>39.33</v>
      </c>
      <c r="L854" s="4">
        <f>G854*K854%</f>
        <v>1071.593046</v>
      </c>
      <c r="M854" s="4">
        <f>G854-L854</f>
        <v>1653.0269539999999</v>
      </c>
    </row>
    <row r="855" spans="2:13" x14ac:dyDescent="0.3">
      <c r="B855" s="1">
        <v>1288</v>
      </c>
      <c r="C855" s="2">
        <v>44486</v>
      </c>
      <c r="D855" s="1" t="s">
        <v>10</v>
      </c>
      <c r="E855" s="1" t="s">
        <v>27</v>
      </c>
      <c r="F855" s="1" t="s">
        <v>28</v>
      </c>
      <c r="G855" s="1">
        <v>2583.3000000000002</v>
      </c>
      <c r="H855" s="1" t="s">
        <v>213</v>
      </c>
      <c r="I855" s="2">
        <v>34345</v>
      </c>
      <c r="J855" s="2">
        <v>44493</v>
      </c>
      <c r="K855" s="1">
        <v>25.43</v>
      </c>
      <c r="L855" s="4">
        <f>G855*K855%</f>
        <v>656.93318999999997</v>
      </c>
      <c r="M855" s="4">
        <f>G855-L855</f>
        <v>1926.3668100000002</v>
      </c>
    </row>
    <row r="856" spans="2:13" x14ac:dyDescent="0.3">
      <c r="B856" s="1">
        <v>1607</v>
      </c>
      <c r="C856" s="2">
        <v>45642</v>
      </c>
      <c r="D856" s="1" t="s">
        <v>10</v>
      </c>
      <c r="E856" s="1" t="s">
        <v>44</v>
      </c>
      <c r="F856" s="1" t="s">
        <v>16</v>
      </c>
      <c r="G856" s="1">
        <v>3540.67</v>
      </c>
      <c r="H856" s="1" t="s">
        <v>29</v>
      </c>
      <c r="I856" s="2">
        <v>24033</v>
      </c>
      <c r="J856" s="2">
        <v>45652</v>
      </c>
      <c r="K856" s="1">
        <v>24.78</v>
      </c>
      <c r="L856" s="4">
        <f>G856*K856%</f>
        <v>877.37802600000009</v>
      </c>
      <c r="M856" s="4">
        <f>G856-L856</f>
        <v>2663.2919739999998</v>
      </c>
    </row>
    <row r="857" spans="2:13" x14ac:dyDescent="0.3">
      <c r="B857" s="1">
        <v>1021</v>
      </c>
      <c r="C857" s="2">
        <v>44260</v>
      </c>
      <c r="D857" s="1" t="s">
        <v>10</v>
      </c>
      <c r="E857" s="1" t="s">
        <v>40</v>
      </c>
      <c r="F857" s="1" t="s">
        <v>16</v>
      </c>
      <c r="G857" s="1">
        <v>3787.11</v>
      </c>
      <c r="H857" s="1" t="s">
        <v>57</v>
      </c>
      <c r="I857" s="2">
        <v>38353</v>
      </c>
      <c r="J857" s="2">
        <v>44274</v>
      </c>
      <c r="K857" s="1">
        <v>43.05</v>
      </c>
      <c r="L857" s="4">
        <f>G857*K857%</f>
        <v>1630.3508550000001</v>
      </c>
      <c r="M857" s="4">
        <f>G857-L857</f>
        <v>2156.759145</v>
      </c>
    </row>
    <row r="858" spans="2:13" x14ac:dyDescent="0.3">
      <c r="B858" s="1">
        <v>1652</v>
      </c>
      <c r="C858" s="2">
        <v>44476</v>
      </c>
      <c r="D858" s="1" t="s">
        <v>10</v>
      </c>
      <c r="E858" s="1" t="s">
        <v>58</v>
      </c>
      <c r="F858" s="1" t="s">
        <v>31</v>
      </c>
      <c r="G858" s="1">
        <v>1065.97</v>
      </c>
      <c r="H858" s="1" t="s">
        <v>135</v>
      </c>
      <c r="I858" s="2">
        <v>38018</v>
      </c>
      <c r="J858" s="2">
        <v>44489</v>
      </c>
      <c r="K858" s="1">
        <v>16.690000000000001</v>
      </c>
      <c r="L858" s="4">
        <f>G858*K858%</f>
        <v>177.91039300000003</v>
      </c>
      <c r="M858" s="4">
        <f>G858-L858</f>
        <v>888.05960700000003</v>
      </c>
    </row>
    <row r="859" spans="2:13" x14ac:dyDescent="0.3">
      <c r="B859" s="1">
        <v>1892</v>
      </c>
      <c r="C859" s="2">
        <v>45271</v>
      </c>
      <c r="D859" s="1" t="s">
        <v>10</v>
      </c>
      <c r="E859" s="1" t="s">
        <v>27</v>
      </c>
      <c r="F859" s="1" t="s">
        <v>28</v>
      </c>
      <c r="G859" s="1">
        <v>1237.6600000000001</v>
      </c>
      <c r="H859" s="1" t="s">
        <v>135</v>
      </c>
      <c r="I859" s="2">
        <v>38018</v>
      </c>
      <c r="J859" s="2">
        <v>45272</v>
      </c>
      <c r="K859" s="1">
        <v>31.1</v>
      </c>
      <c r="L859" s="4">
        <f>G859*K859%</f>
        <v>384.91226</v>
      </c>
      <c r="M859" s="4">
        <f>G859-L859</f>
        <v>852.74774000000002</v>
      </c>
    </row>
    <row r="860" spans="2:13" x14ac:dyDescent="0.3">
      <c r="B860" s="1">
        <v>1860</v>
      </c>
      <c r="C860" s="2">
        <v>44742</v>
      </c>
      <c r="D860" s="1" t="s">
        <v>10</v>
      </c>
      <c r="E860" s="1" t="s">
        <v>36</v>
      </c>
      <c r="F860" s="1" t="s">
        <v>28</v>
      </c>
      <c r="G860" s="1">
        <v>4381.4799999999996</v>
      </c>
      <c r="H860" s="1" t="s">
        <v>168</v>
      </c>
      <c r="I860" s="2">
        <v>37674</v>
      </c>
      <c r="J860" s="2">
        <v>44747</v>
      </c>
      <c r="K860" s="1">
        <v>34.39</v>
      </c>
      <c r="L860" s="4">
        <f>G860*K860%</f>
        <v>1506.7909719999998</v>
      </c>
      <c r="M860" s="4">
        <f>G860-L860</f>
        <v>2874.6890279999998</v>
      </c>
    </row>
    <row r="861" spans="2:13" x14ac:dyDescent="0.3">
      <c r="B861" s="1">
        <v>1124</v>
      </c>
      <c r="C861" s="2">
        <v>45207</v>
      </c>
      <c r="D861" s="1" t="s">
        <v>10</v>
      </c>
      <c r="E861" s="1" t="s">
        <v>30</v>
      </c>
      <c r="F861" s="1" t="s">
        <v>31</v>
      </c>
      <c r="G861" s="1">
        <v>3578.78</v>
      </c>
      <c r="H861" s="1" t="s">
        <v>147</v>
      </c>
      <c r="I861" s="2">
        <v>34343</v>
      </c>
      <c r="J861" s="2">
        <v>45216</v>
      </c>
      <c r="K861" s="1">
        <v>9.4600000000000009</v>
      </c>
      <c r="L861" s="4">
        <f>G861*K861%</f>
        <v>338.55258800000001</v>
      </c>
      <c r="M861" s="4">
        <f>G861-L861</f>
        <v>3240.2274120000002</v>
      </c>
    </row>
    <row r="862" spans="2:13" x14ac:dyDescent="0.3">
      <c r="B862" s="1">
        <v>1880</v>
      </c>
      <c r="C862" s="2">
        <v>45566</v>
      </c>
      <c r="D862" s="1" t="s">
        <v>10</v>
      </c>
      <c r="E862" s="1" t="s">
        <v>102</v>
      </c>
      <c r="F862" s="1" t="s">
        <v>12</v>
      </c>
      <c r="G862" s="1">
        <v>3235.85</v>
      </c>
      <c r="H862" s="1" t="s">
        <v>182</v>
      </c>
      <c r="I862" s="2">
        <v>24719</v>
      </c>
      <c r="J862" s="2">
        <v>45571</v>
      </c>
      <c r="K862" s="1">
        <v>45.02</v>
      </c>
      <c r="L862" s="4">
        <f>G862*K862%</f>
        <v>1456.7796700000001</v>
      </c>
      <c r="M862" s="4">
        <f>G862-L862</f>
        <v>1779.0703299999998</v>
      </c>
    </row>
    <row r="863" spans="2:13" x14ac:dyDescent="0.3">
      <c r="B863" s="1">
        <v>1968</v>
      </c>
      <c r="C863" s="2">
        <v>44287</v>
      </c>
      <c r="D863" s="1" t="s">
        <v>10</v>
      </c>
      <c r="E863" s="1" t="s">
        <v>22</v>
      </c>
      <c r="F863" s="1" t="s">
        <v>19</v>
      </c>
      <c r="G863" s="1">
        <v>4578.1099999999997</v>
      </c>
      <c r="H863" s="1" t="s">
        <v>23</v>
      </c>
      <c r="I863" s="2">
        <v>38378</v>
      </c>
      <c r="J863" s="2">
        <v>44289</v>
      </c>
      <c r="K863" s="1">
        <v>32.28</v>
      </c>
      <c r="L863" s="4">
        <f>G863*K863%</f>
        <v>1477.8139080000001</v>
      </c>
      <c r="M863" s="4">
        <f>G863-L863</f>
        <v>3100.2960919999996</v>
      </c>
    </row>
    <row r="864" spans="2:13" x14ac:dyDescent="0.3">
      <c r="B864" s="1">
        <v>1433</v>
      </c>
      <c r="C864" s="2">
        <v>45420</v>
      </c>
      <c r="D864" s="1" t="s">
        <v>10</v>
      </c>
      <c r="E864" s="1" t="s">
        <v>102</v>
      </c>
      <c r="F864" s="1" t="s">
        <v>12</v>
      </c>
      <c r="G864" s="1">
        <v>4125.3100000000004</v>
      </c>
      <c r="H864" s="1" t="s">
        <v>23</v>
      </c>
      <c r="I864" s="2">
        <v>38378</v>
      </c>
      <c r="J864" s="2">
        <v>45427</v>
      </c>
      <c r="K864" s="1">
        <v>30.7</v>
      </c>
      <c r="L864" s="4">
        <f>G864*K864%</f>
        <v>1266.4701700000001</v>
      </c>
      <c r="M864" s="4">
        <f>G864-L864</f>
        <v>2858.8398300000003</v>
      </c>
    </row>
    <row r="865" spans="2:13" x14ac:dyDescent="0.3">
      <c r="B865" s="1">
        <v>1945</v>
      </c>
      <c r="C865" s="2">
        <v>45006</v>
      </c>
      <c r="D865" s="1" t="s">
        <v>10</v>
      </c>
      <c r="E865" s="1" t="s">
        <v>15</v>
      </c>
      <c r="F865" s="1" t="s">
        <v>16</v>
      </c>
      <c r="G865" s="1">
        <v>2209.85</v>
      </c>
      <c r="H865" s="1" t="s">
        <v>326</v>
      </c>
      <c r="I865" s="2">
        <v>25663</v>
      </c>
      <c r="J865" s="2">
        <v>45011</v>
      </c>
      <c r="K865" s="1">
        <v>35.65</v>
      </c>
      <c r="L865" s="4">
        <f>G865*K865%</f>
        <v>787.81152499999996</v>
      </c>
      <c r="M865" s="4">
        <f>G865-L865</f>
        <v>1422.0384749999998</v>
      </c>
    </row>
    <row r="866" spans="2:13" x14ac:dyDescent="0.3">
      <c r="B866" s="1">
        <v>1906</v>
      </c>
      <c r="C866" s="2">
        <v>44731</v>
      </c>
      <c r="D866" s="1" t="s">
        <v>10</v>
      </c>
      <c r="E866" s="1" t="s">
        <v>102</v>
      </c>
      <c r="F866" s="1" t="s">
        <v>12</v>
      </c>
      <c r="G866" s="1">
        <v>4140.05</v>
      </c>
      <c r="H866" s="1" t="s">
        <v>50</v>
      </c>
      <c r="I866" s="2">
        <v>22594</v>
      </c>
      <c r="J866" s="2">
        <v>44736</v>
      </c>
      <c r="K866" s="1">
        <v>0.33</v>
      </c>
      <c r="L866" s="4">
        <f>G866*K866%</f>
        <v>13.662165</v>
      </c>
      <c r="M866" s="4">
        <f>G866-L866</f>
        <v>4126.3878350000005</v>
      </c>
    </row>
    <row r="867" spans="2:13" x14ac:dyDescent="0.3">
      <c r="B867" s="1">
        <v>1647</v>
      </c>
      <c r="C867" s="2">
        <v>45397</v>
      </c>
      <c r="D867" s="1" t="s">
        <v>10</v>
      </c>
      <c r="E867" s="1" t="s">
        <v>36</v>
      </c>
      <c r="F867" s="1" t="s">
        <v>28</v>
      </c>
      <c r="G867" s="1">
        <v>3017.29</v>
      </c>
      <c r="H867" s="1" t="s">
        <v>50</v>
      </c>
      <c r="I867" s="2">
        <v>22594</v>
      </c>
      <c r="J867" s="2">
        <v>45408</v>
      </c>
      <c r="K867" s="1">
        <v>40.770000000000003</v>
      </c>
      <c r="L867" s="4">
        <f>G867*K867%</f>
        <v>1230.1491329999999</v>
      </c>
      <c r="M867" s="4">
        <f>G867-L867</f>
        <v>1787.1408670000001</v>
      </c>
    </row>
    <row r="868" spans="2:13" x14ac:dyDescent="0.3">
      <c r="B868" s="1">
        <v>1016</v>
      </c>
      <c r="C868" s="2">
        <v>44980</v>
      </c>
      <c r="D868" s="1" t="s">
        <v>10</v>
      </c>
      <c r="E868" s="1" t="s">
        <v>49</v>
      </c>
      <c r="F868" s="1" t="s">
        <v>12</v>
      </c>
      <c r="G868" s="1">
        <v>2282.94</v>
      </c>
      <c r="H868" s="1" t="s">
        <v>50</v>
      </c>
      <c r="I868" s="2">
        <v>22594</v>
      </c>
      <c r="J868" s="2">
        <v>44982</v>
      </c>
      <c r="K868" s="1">
        <v>34.58</v>
      </c>
      <c r="L868" s="4">
        <f>G868*K868%</f>
        <v>789.440652</v>
      </c>
      <c r="M868" s="4">
        <f>G868-L868</f>
        <v>1493.4993480000001</v>
      </c>
    </row>
    <row r="869" spans="2:13" x14ac:dyDescent="0.3">
      <c r="B869" s="1">
        <v>1366</v>
      </c>
      <c r="C869" s="2">
        <v>44384</v>
      </c>
      <c r="D869" s="1" t="s">
        <v>10</v>
      </c>
      <c r="E869" s="1" t="s">
        <v>38</v>
      </c>
      <c r="F869" s="1" t="s">
        <v>28</v>
      </c>
      <c r="G869" s="1">
        <v>3857.76</v>
      </c>
      <c r="H869" s="1" t="s">
        <v>243</v>
      </c>
      <c r="I869" s="2">
        <v>29103</v>
      </c>
      <c r="J869" s="2">
        <v>44392</v>
      </c>
      <c r="K869" s="1">
        <v>14.13</v>
      </c>
      <c r="L869" s="4">
        <f>G869*K869%</f>
        <v>545.10148800000002</v>
      </c>
      <c r="M869" s="4">
        <f>G869-L869</f>
        <v>3312.658512</v>
      </c>
    </row>
    <row r="870" spans="2:13" x14ac:dyDescent="0.3">
      <c r="B870" s="1">
        <v>1981</v>
      </c>
      <c r="C870" s="2">
        <v>44517</v>
      </c>
      <c r="D870" s="1" t="s">
        <v>10</v>
      </c>
      <c r="E870" s="1" t="s">
        <v>58</v>
      </c>
      <c r="F870" s="1" t="s">
        <v>31</v>
      </c>
      <c r="G870" s="1">
        <v>572.61</v>
      </c>
      <c r="H870" s="1" t="s">
        <v>228</v>
      </c>
      <c r="I870" s="2">
        <v>25811</v>
      </c>
      <c r="J870" s="2">
        <v>44521</v>
      </c>
      <c r="K870" s="1">
        <v>17.8</v>
      </c>
      <c r="L870" s="4">
        <f>G870*K870%</f>
        <v>101.92458000000002</v>
      </c>
      <c r="M870" s="4">
        <f>G870-L870</f>
        <v>470.68542000000002</v>
      </c>
    </row>
    <row r="871" spans="2:13" x14ac:dyDescent="0.3">
      <c r="B871" s="1">
        <v>1676</v>
      </c>
      <c r="C871" s="2">
        <v>44325</v>
      </c>
      <c r="D871" s="1" t="s">
        <v>10</v>
      </c>
      <c r="E871" s="1" t="s">
        <v>11</v>
      </c>
      <c r="F871" s="1" t="s">
        <v>12</v>
      </c>
      <c r="G871" s="1">
        <v>1155.43</v>
      </c>
      <c r="H871" s="1" t="s">
        <v>37</v>
      </c>
      <c r="I871" s="2">
        <v>27534</v>
      </c>
      <c r="J871" s="2">
        <v>44326</v>
      </c>
      <c r="K871" s="1">
        <v>36.01</v>
      </c>
      <c r="L871" s="4">
        <f>G871*K871%</f>
        <v>416.07034299999998</v>
      </c>
      <c r="M871" s="4">
        <f>G871-L871</f>
        <v>739.35965700000008</v>
      </c>
    </row>
    <row r="872" spans="2:13" x14ac:dyDescent="0.3">
      <c r="B872" s="1">
        <v>1820</v>
      </c>
      <c r="C872" s="2">
        <v>44680</v>
      </c>
      <c r="D872" s="1" t="s">
        <v>10</v>
      </c>
      <c r="E872" s="1" t="s">
        <v>24</v>
      </c>
      <c r="F872" s="1" t="s">
        <v>19</v>
      </c>
      <c r="G872" s="1">
        <v>4278.82</v>
      </c>
      <c r="H872" s="1" t="s">
        <v>197</v>
      </c>
      <c r="I872" s="2">
        <v>26001</v>
      </c>
      <c r="J872" s="2">
        <v>44683</v>
      </c>
      <c r="K872" s="1">
        <v>14.22</v>
      </c>
      <c r="L872" s="4">
        <f>G872*K872%</f>
        <v>608.44820399999992</v>
      </c>
      <c r="M872" s="4">
        <f>G872-L872</f>
        <v>3670.3717959999999</v>
      </c>
    </row>
    <row r="873" spans="2:13" x14ac:dyDescent="0.3">
      <c r="B873" s="1">
        <v>1519</v>
      </c>
      <c r="C873" s="2">
        <v>44420</v>
      </c>
      <c r="D873" s="1" t="s">
        <v>10</v>
      </c>
      <c r="E873" s="1" t="s">
        <v>49</v>
      </c>
      <c r="F873" s="1" t="s">
        <v>12</v>
      </c>
      <c r="G873" s="1">
        <v>3717.54</v>
      </c>
      <c r="H873" s="1" t="s">
        <v>197</v>
      </c>
      <c r="I873" s="2">
        <v>26001</v>
      </c>
      <c r="J873" s="2">
        <v>44430</v>
      </c>
      <c r="K873" s="1">
        <v>27.61</v>
      </c>
      <c r="L873" s="4">
        <f>G873*K873%</f>
        <v>1026.4127940000001</v>
      </c>
      <c r="M873" s="4">
        <f>G873-L873</f>
        <v>2691.1272060000001</v>
      </c>
    </row>
    <row r="874" spans="2:13" x14ac:dyDescent="0.3">
      <c r="B874" s="1">
        <v>1646</v>
      </c>
      <c r="C874" s="2">
        <v>45630</v>
      </c>
      <c r="D874" s="1" t="s">
        <v>10</v>
      </c>
      <c r="E874" s="1" t="s">
        <v>33</v>
      </c>
      <c r="F874" s="1" t="s">
        <v>16</v>
      </c>
      <c r="G874" s="1">
        <v>830.37</v>
      </c>
      <c r="H874" s="1" t="s">
        <v>261</v>
      </c>
      <c r="I874" s="2">
        <v>23920</v>
      </c>
      <c r="J874" s="2">
        <v>45636</v>
      </c>
      <c r="K874" s="1">
        <v>4.28</v>
      </c>
      <c r="L874" s="4">
        <f>G874*K874%</f>
        <v>35.539836000000001</v>
      </c>
      <c r="M874" s="4">
        <f>G874-L874</f>
        <v>794.83016399999997</v>
      </c>
    </row>
    <row r="875" spans="2:13" x14ac:dyDescent="0.3">
      <c r="B875" s="1">
        <v>1149</v>
      </c>
      <c r="C875" s="2">
        <v>44709</v>
      </c>
      <c r="D875" s="1" t="s">
        <v>10</v>
      </c>
      <c r="E875" s="1" t="s">
        <v>49</v>
      </c>
      <c r="F875" s="1" t="s">
        <v>12</v>
      </c>
      <c r="G875" s="1">
        <v>4335.75</v>
      </c>
      <c r="H875" s="1" t="s">
        <v>163</v>
      </c>
      <c r="I875" s="2">
        <v>30364</v>
      </c>
      <c r="J875" s="2">
        <v>44715</v>
      </c>
      <c r="K875" s="1">
        <v>8.9700000000000006</v>
      </c>
      <c r="L875" s="4">
        <f>G875*K875%</f>
        <v>388.91677500000003</v>
      </c>
      <c r="M875" s="4">
        <f>G875-L875</f>
        <v>3946.8332249999999</v>
      </c>
    </row>
    <row r="876" spans="2:13" x14ac:dyDescent="0.3">
      <c r="B876" s="1">
        <v>1369</v>
      </c>
      <c r="C876" s="2">
        <v>45674</v>
      </c>
      <c r="D876" s="1" t="s">
        <v>10</v>
      </c>
      <c r="E876" s="1" t="s">
        <v>53</v>
      </c>
      <c r="F876" s="1" t="s">
        <v>28</v>
      </c>
      <c r="G876" s="1">
        <v>3121.09</v>
      </c>
      <c r="H876" s="1" t="s">
        <v>163</v>
      </c>
      <c r="I876" s="2">
        <v>30364</v>
      </c>
      <c r="J876" s="2">
        <v>45687</v>
      </c>
      <c r="K876" s="1">
        <v>38.82</v>
      </c>
      <c r="L876" s="4">
        <f>G876*K876%</f>
        <v>1211.6071380000001</v>
      </c>
      <c r="M876" s="4">
        <f>G876-L876</f>
        <v>1909.4828620000001</v>
      </c>
    </row>
    <row r="877" spans="2:13" x14ac:dyDescent="0.3">
      <c r="B877" s="1">
        <v>1651</v>
      </c>
      <c r="C877" s="2">
        <v>44720</v>
      </c>
      <c r="D877" s="1" t="s">
        <v>10</v>
      </c>
      <c r="E877" s="1" t="s">
        <v>65</v>
      </c>
      <c r="F877" s="1" t="s">
        <v>19</v>
      </c>
      <c r="G877" s="1">
        <v>563.67999999999995</v>
      </c>
      <c r="H877" s="1" t="s">
        <v>143</v>
      </c>
      <c r="I877" s="2">
        <v>37490</v>
      </c>
      <c r="J877" s="2">
        <v>44724</v>
      </c>
      <c r="K877" s="1">
        <v>18.170000000000002</v>
      </c>
      <c r="L877" s="4">
        <f>G877*K877%</f>
        <v>102.42065600000001</v>
      </c>
      <c r="M877" s="4">
        <f>G877-L877</f>
        <v>461.25934399999994</v>
      </c>
    </row>
    <row r="878" spans="2:13" x14ac:dyDescent="0.3">
      <c r="B878" s="1">
        <v>1605</v>
      </c>
      <c r="C878" s="2">
        <v>45700</v>
      </c>
      <c r="D878" s="1" t="s">
        <v>10</v>
      </c>
      <c r="E878" s="1" t="s">
        <v>69</v>
      </c>
      <c r="F878" s="1" t="s">
        <v>31</v>
      </c>
      <c r="G878" s="1">
        <v>1214.72</v>
      </c>
      <c r="H878" s="1" t="s">
        <v>233</v>
      </c>
      <c r="I878" s="2">
        <v>38826</v>
      </c>
      <c r="J878" s="2">
        <v>45710</v>
      </c>
      <c r="K878" s="1">
        <v>5.04</v>
      </c>
      <c r="L878" s="4">
        <f>G878*K878%</f>
        <v>61.221888</v>
      </c>
      <c r="M878" s="4">
        <f>G878-L878</f>
        <v>1153.498112</v>
      </c>
    </row>
    <row r="879" spans="2:13" x14ac:dyDescent="0.3">
      <c r="B879" s="1">
        <v>1437</v>
      </c>
      <c r="C879" s="2">
        <v>44115</v>
      </c>
      <c r="D879" s="1" t="s">
        <v>10</v>
      </c>
      <c r="E879" s="1" t="s">
        <v>40</v>
      </c>
      <c r="F879" s="1" t="s">
        <v>16</v>
      </c>
      <c r="G879" s="1">
        <v>2362.4699999999998</v>
      </c>
      <c r="H879" s="1" t="s">
        <v>172</v>
      </c>
      <c r="I879" s="2">
        <v>36571</v>
      </c>
      <c r="J879" s="2">
        <v>44123</v>
      </c>
      <c r="K879" s="1">
        <v>47.44</v>
      </c>
      <c r="L879" s="4">
        <f>G879*K879%</f>
        <v>1120.755768</v>
      </c>
      <c r="M879" s="4">
        <f>G879-L879</f>
        <v>1241.7142319999998</v>
      </c>
    </row>
    <row r="880" spans="2:13" x14ac:dyDescent="0.3">
      <c r="B880" s="1">
        <v>1060</v>
      </c>
      <c r="C880" s="2">
        <v>44494</v>
      </c>
      <c r="D880" s="1" t="s">
        <v>10</v>
      </c>
      <c r="E880" s="1" t="s">
        <v>11</v>
      </c>
      <c r="F880" s="1" t="s">
        <v>12</v>
      </c>
      <c r="G880" s="1">
        <v>2174.4499999999998</v>
      </c>
      <c r="H880" s="1" t="s">
        <v>99</v>
      </c>
      <c r="I880" s="2">
        <v>26397</v>
      </c>
      <c r="J880" s="2">
        <v>44501</v>
      </c>
      <c r="K880" s="1">
        <v>42.65</v>
      </c>
      <c r="L880" s="4">
        <f>G880*K880%</f>
        <v>927.40292499999987</v>
      </c>
      <c r="M880" s="4">
        <f>G880-L880</f>
        <v>1247.0470749999999</v>
      </c>
    </row>
    <row r="881" spans="2:13" x14ac:dyDescent="0.3">
      <c r="B881" s="1">
        <v>1376</v>
      </c>
      <c r="C881" s="2">
        <v>45705</v>
      </c>
      <c r="D881" s="1" t="s">
        <v>10</v>
      </c>
      <c r="E881" s="1" t="s">
        <v>30</v>
      </c>
      <c r="F881" s="1" t="s">
        <v>31</v>
      </c>
      <c r="G881" s="1">
        <v>102.8</v>
      </c>
      <c r="H881" s="1" t="s">
        <v>99</v>
      </c>
      <c r="I881" s="2">
        <v>26397</v>
      </c>
      <c r="J881" s="2">
        <v>45716</v>
      </c>
      <c r="K881" s="1">
        <v>43.1</v>
      </c>
      <c r="L881" s="4">
        <f>G881*K881%</f>
        <v>44.306799999999996</v>
      </c>
      <c r="M881" s="4">
        <f>G881-L881</f>
        <v>58.493200000000002</v>
      </c>
    </row>
    <row r="882" spans="2:13" x14ac:dyDescent="0.3">
      <c r="B882" s="1">
        <v>1318</v>
      </c>
      <c r="C882" s="2">
        <v>44888</v>
      </c>
      <c r="D882" s="1" t="s">
        <v>10</v>
      </c>
      <c r="E882" s="1" t="s">
        <v>69</v>
      </c>
      <c r="F882" s="1" t="s">
        <v>12</v>
      </c>
      <c r="G882" s="1">
        <v>1085.3800000000001</v>
      </c>
      <c r="H882" s="1" t="s">
        <v>242</v>
      </c>
      <c r="I882" s="2">
        <v>21785</v>
      </c>
      <c r="J882" s="2">
        <v>44891</v>
      </c>
      <c r="K882" s="1">
        <v>47.43</v>
      </c>
      <c r="L882" s="4">
        <f>G882*K882%</f>
        <v>514.79573400000004</v>
      </c>
      <c r="M882" s="4">
        <f>G882-L882</f>
        <v>570.58426600000007</v>
      </c>
    </row>
    <row r="883" spans="2:13" x14ac:dyDescent="0.3">
      <c r="B883" s="1">
        <v>1735</v>
      </c>
      <c r="C883" s="2">
        <v>44139</v>
      </c>
      <c r="D883" s="1" t="s">
        <v>10</v>
      </c>
      <c r="E883" s="1" t="s">
        <v>15</v>
      </c>
      <c r="F883" s="1" t="s">
        <v>16</v>
      </c>
      <c r="G883" s="1">
        <v>4781.58</v>
      </c>
      <c r="H883" s="1" t="s">
        <v>138</v>
      </c>
      <c r="I883" s="2">
        <v>25948</v>
      </c>
      <c r="J883" s="2">
        <v>44145</v>
      </c>
      <c r="K883" s="1">
        <v>23.78</v>
      </c>
      <c r="L883" s="4">
        <f>G883*K883%</f>
        <v>1137.059724</v>
      </c>
      <c r="M883" s="4">
        <f>G883-L883</f>
        <v>3644.5202760000002</v>
      </c>
    </row>
    <row r="884" spans="2:13" x14ac:dyDescent="0.3">
      <c r="B884" s="1">
        <v>1950</v>
      </c>
      <c r="C884" s="2">
        <v>45678</v>
      </c>
      <c r="D884" s="1" t="s">
        <v>10</v>
      </c>
      <c r="E884" s="1" t="s">
        <v>11</v>
      </c>
      <c r="F884" s="1" t="s">
        <v>12</v>
      </c>
      <c r="G884" s="1">
        <v>3443.53</v>
      </c>
      <c r="H884" s="1" t="s">
        <v>138</v>
      </c>
      <c r="I884" s="2">
        <v>25948</v>
      </c>
      <c r="J884" s="2">
        <v>45679</v>
      </c>
      <c r="K884" s="1">
        <v>21.96</v>
      </c>
      <c r="L884" s="4">
        <f>G884*K884%</f>
        <v>756.19918800000005</v>
      </c>
      <c r="M884" s="4">
        <f>G884-L884</f>
        <v>2687.3308120000002</v>
      </c>
    </row>
    <row r="885" spans="2:13" x14ac:dyDescent="0.3">
      <c r="B885" s="1">
        <v>1426</v>
      </c>
      <c r="C885" s="2">
        <v>45399</v>
      </c>
      <c r="D885" s="1" t="s">
        <v>10</v>
      </c>
      <c r="E885" s="1" t="s">
        <v>38</v>
      </c>
      <c r="F885" s="1" t="s">
        <v>28</v>
      </c>
      <c r="G885" s="1">
        <v>4168.8999999999996</v>
      </c>
      <c r="H885" s="1" t="s">
        <v>265</v>
      </c>
      <c r="I885" s="2">
        <v>38899</v>
      </c>
      <c r="J885" s="2">
        <v>45402</v>
      </c>
      <c r="K885" s="1">
        <v>10.38</v>
      </c>
      <c r="L885" s="4">
        <f>G885*K885%</f>
        <v>432.73181999999997</v>
      </c>
      <c r="M885" s="4">
        <f>G885-L885</f>
        <v>3736.1681799999997</v>
      </c>
    </row>
    <row r="886" spans="2:13" x14ac:dyDescent="0.3">
      <c r="B886" s="1">
        <v>1370</v>
      </c>
      <c r="C886" s="2">
        <v>45702</v>
      </c>
      <c r="D886" s="1" t="s">
        <v>10</v>
      </c>
      <c r="E886" s="1" t="s">
        <v>102</v>
      </c>
      <c r="F886" s="1" t="s">
        <v>12</v>
      </c>
      <c r="G886" s="1">
        <v>2623.27</v>
      </c>
      <c r="H886" s="1" t="s">
        <v>202</v>
      </c>
      <c r="I886" s="2">
        <v>24802</v>
      </c>
      <c r="J886" s="2">
        <v>45707</v>
      </c>
      <c r="K886" s="1">
        <v>29.54</v>
      </c>
      <c r="L886" s="4">
        <f>G886*K886%</f>
        <v>774.91395799999998</v>
      </c>
      <c r="M886" s="4">
        <f>G886-L886</f>
        <v>1848.3560419999999</v>
      </c>
    </row>
    <row r="887" spans="2:13" x14ac:dyDescent="0.3">
      <c r="B887" s="1">
        <v>1077</v>
      </c>
      <c r="C887" s="2">
        <v>44472</v>
      </c>
      <c r="D887" s="1" t="s">
        <v>10</v>
      </c>
      <c r="E887" s="1" t="s">
        <v>33</v>
      </c>
      <c r="F887" s="1" t="s">
        <v>16</v>
      </c>
      <c r="G887" s="1">
        <v>2607.7399999999998</v>
      </c>
      <c r="H887" s="1" t="s">
        <v>112</v>
      </c>
      <c r="I887" s="2">
        <v>38171</v>
      </c>
      <c r="J887" s="2">
        <v>44482</v>
      </c>
      <c r="K887" s="1">
        <v>36.32</v>
      </c>
      <c r="L887" s="4">
        <f>G887*K887%</f>
        <v>947.131168</v>
      </c>
      <c r="M887" s="4">
        <f>G887-L887</f>
        <v>1660.6088319999999</v>
      </c>
    </row>
    <row r="888" spans="2:13" x14ac:dyDescent="0.3">
      <c r="B888" s="1">
        <v>1989</v>
      </c>
      <c r="C888" s="2">
        <v>45091</v>
      </c>
      <c r="D888" s="1" t="s">
        <v>10</v>
      </c>
      <c r="E888" s="1" t="s">
        <v>102</v>
      </c>
      <c r="F888" s="1" t="s">
        <v>12</v>
      </c>
      <c r="G888" s="1">
        <v>3431.74</v>
      </c>
      <c r="H888" s="1" t="s">
        <v>151</v>
      </c>
      <c r="I888" s="2">
        <v>34427</v>
      </c>
      <c r="J888" s="2">
        <v>45093</v>
      </c>
      <c r="K888" s="1">
        <v>31.94</v>
      </c>
      <c r="L888" s="4">
        <f>G888*K888%</f>
        <v>1096.0977559999999</v>
      </c>
      <c r="M888" s="4">
        <f>G888-L888</f>
        <v>2335.6422439999997</v>
      </c>
    </row>
    <row r="889" spans="2:13" x14ac:dyDescent="0.3">
      <c r="B889" s="1">
        <v>1402</v>
      </c>
      <c r="C889" s="2">
        <v>45145</v>
      </c>
      <c r="D889" s="1" t="s">
        <v>10</v>
      </c>
      <c r="E889" s="1" t="s">
        <v>102</v>
      </c>
      <c r="F889" s="1" t="s">
        <v>12</v>
      </c>
      <c r="G889" s="1">
        <v>1537.76</v>
      </c>
      <c r="H889" s="1" t="s">
        <v>169</v>
      </c>
      <c r="I889" s="2">
        <v>37894</v>
      </c>
      <c r="J889" s="2">
        <v>45147</v>
      </c>
      <c r="K889" s="1">
        <v>32.08</v>
      </c>
      <c r="L889" s="4">
        <f>G889*K889%</f>
        <v>493.31340799999998</v>
      </c>
      <c r="M889" s="4">
        <f>G889-L889</f>
        <v>1044.446592</v>
      </c>
    </row>
    <row r="890" spans="2:13" x14ac:dyDescent="0.3">
      <c r="B890" s="1">
        <v>1419</v>
      </c>
      <c r="C890" s="2">
        <v>44665</v>
      </c>
      <c r="D890" s="1" t="s">
        <v>10</v>
      </c>
      <c r="E890" s="1" t="s">
        <v>102</v>
      </c>
      <c r="F890" s="1" t="s">
        <v>12</v>
      </c>
      <c r="G890" s="1">
        <v>3084.03</v>
      </c>
      <c r="H890" s="1" t="s">
        <v>56</v>
      </c>
      <c r="I890" s="2">
        <v>25712</v>
      </c>
      <c r="J890" s="2">
        <v>44678</v>
      </c>
      <c r="K890" s="1">
        <v>21.74</v>
      </c>
      <c r="L890" s="4">
        <f>G890*K890%</f>
        <v>670.46812199999999</v>
      </c>
      <c r="M890" s="4">
        <f>G890-L890</f>
        <v>2413.5618780000004</v>
      </c>
    </row>
    <row r="891" spans="2:13" x14ac:dyDescent="0.3">
      <c r="B891" s="1">
        <v>1873</v>
      </c>
      <c r="C891" s="2">
        <v>44844</v>
      </c>
      <c r="D891" s="1" t="s">
        <v>10</v>
      </c>
      <c r="E891" s="1" t="s">
        <v>47</v>
      </c>
      <c r="F891" s="1" t="s">
        <v>12</v>
      </c>
      <c r="G891" s="1">
        <v>824.63</v>
      </c>
      <c r="H891" s="1" t="s">
        <v>302</v>
      </c>
      <c r="I891" s="2">
        <v>32940</v>
      </c>
      <c r="J891" s="2">
        <v>44857</v>
      </c>
      <c r="K891" s="1">
        <v>18.21</v>
      </c>
      <c r="L891" s="4">
        <f>G891*K891%</f>
        <v>150.16512300000002</v>
      </c>
      <c r="M891" s="4">
        <f>G891-L891</f>
        <v>674.464877</v>
      </c>
    </row>
    <row r="892" spans="2:13" x14ac:dyDescent="0.3">
      <c r="B892" s="1">
        <v>1740</v>
      </c>
      <c r="C892" s="2">
        <v>45856</v>
      </c>
      <c r="D892" s="1" t="s">
        <v>10</v>
      </c>
      <c r="E892" s="1" t="s">
        <v>18</v>
      </c>
      <c r="F892" s="1" t="s">
        <v>19</v>
      </c>
      <c r="G892" s="1">
        <v>2521.89</v>
      </c>
      <c r="H892" s="1" t="s">
        <v>279</v>
      </c>
      <c r="I892" s="2">
        <v>38934</v>
      </c>
      <c r="J892" s="2">
        <v>45864</v>
      </c>
      <c r="K892" s="1">
        <v>18.59</v>
      </c>
      <c r="L892" s="4">
        <f>G892*K892%</f>
        <v>468.81935099999998</v>
      </c>
      <c r="M892" s="4">
        <f>G892-L892</f>
        <v>2053.0706489999998</v>
      </c>
    </row>
    <row r="893" spans="2:13" x14ac:dyDescent="0.3">
      <c r="B893" s="1">
        <v>1921</v>
      </c>
      <c r="C893" s="2">
        <v>45361</v>
      </c>
      <c r="D893" s="1" t="s">
        <v>10</v>
      </c>
      <c r="E893" s="1" t="s">
        <v>69</v>
      </c>
      <c r="F893" s="1" t="s">
        <v>12</v>
      </c>
      <c r="G893" s="1">
        <v>106.78</v>
      </c>
      <c r="H893" s="1" t="s">
        <v>323</v>
      </c>
      <c r="I893" s="2">
        <v>33840</v>
      </c>
      <c r="J893" s="2">
        <v>45373</v>
      </c>
      <c r="K893" s="1">
        <v>44.76</v>
      </c>
      <c r="L893" s="4">
        <f>G893*K893%</f>
        <v>47.794727999999999</v>
      </c>
      <c r="M893" s="4">
        <f>G893-L893</f>
        <v>58.985272000000002</v>
      </c>
    </row>
    <row r="894" spans="2:13" x14ac:dyDescent="0.3">
      <c r="B894" s="1">
        <v>1028</v>
      </c>
      <c r="C894" s="2">
        <v>45841</v>
      </c>
      <c r="D894" s="1" t="s">
        <v>10</v>
      </c>
      <c r="E894" s="1" t="s">
        <v>15</v>
      </c>
      <c r="F894" s="1" t="s">
        <v>16</v>
      </c>
      <c r="G894" s="1">
        <v>4018.52</v>
      </c>
      <c r="H894" s="1" t="s">
        <v>67</v>
      </c>
      <c r="I894" s="2">
        <v>34016</v>
      </c>
      <c r="J894" s="2">
        <v>45852</v>
      </c>
      <c r="K894" s="1">
        <v>19.98</v>
      </c>
      <c r="L894" s="4">
        <f>G894*K894%</f>
        <v>802.90029600000003</v>
      </c>
      <c r="M894" s="4">
        <f>G894-L894</f>
        <v>3215.6197039999997</v>
      </c>
    </row>
    <row r="895" spans="2:13" x14ac:dyDescent="0.3">
      <c r="B895" s="1">
        <v>1352</v>
      </c>
      <c r="C895" s="2">
        <v>45140</v>
      </c>
      <c r="D895" s="1" t="s">
        <v>10</v>
      </c>
      <c r="E895" s="1" t="s">
        <v>58</v>
      </c>
      <c r="F895" s="1" t="s">
        <v>31</v>
      </c>
      <c r="G895" s="1">
        <v>4005.07</v>
      </c>
      <c r="H895" s="1" t="s">
        <v>248</v>
      </c>
      <c r="I895" s="2">
        <v>32685</v>
      </c>
      <c r="J895" s="2">
        <v>45143</v>
      </c>
      <c r="K895" s="1">
        <v>41.83</v>
      </c>
      <c r="L895" s="4">
        <f>G895*K895%</f>
        <v>1675.3207810000001</v>
      </c>
      <c r="M895" s="4">
        <f>G895-L895</f>
        <v>2329.7492190000003</v>
      </c>
    </row>
    <row r="896" spans="2:13" x14ac:dyDescent="0.3">
      <c r="B896" s="1">
        <v>1979</v>
      </c>
      <c r="C896" s="2">
        <v>45714</v>
      </c>
      <c r="D896" s="1" t="s">
        <v>10</v>
      </c>
      <c r="E896" s="1" t="s">
        <v>55</v>
      </c>
      <c r="F896" s="1" t="s">
        <v>31</v>
      </c>
      <c r="G896" s="1">
        <v>3651.65</v>
      </c>
      <c r="H896" s="1" t="s">
        <v>295</v>
      </c>
      <c r="I896" s="2">
        <v>23369</v>
      </c>
      <c r="J896" s="2">
        <v>45723</v>
      </c>
      <c r="K896" s="1">
        <v>17.829999999999998</v>
      </c>
      <c r="L896" s="4">
        <f>G896*K896%</f>
        <v>651.08919500000002</v>
      </c>
      <c r="M896" s="4">
        <f>G896-L896</f>
        <v>3000.5608050000001</v>
      </c>
    </row>
    <row r="897" spans="2:13" x14ac:dyDescent="0.3">
      <c r="B897" s="1">
        <v>1560</v>
      </c>
      <c r="C897" s="2">
        <v>44451</v>
      </c>
      <c r="D897" s="1" t="s">
        <v>10</v>
      </c>
      <c r="E897" s="1" t="s">
        <v>65</v>
      </c>
      <c r="F897" s="1" t="s">
        <v>19</v>
      </c>
      <c r="G897" s="1">
        <v>1662.62</v>
      </c>
      <c r="H897" s="1" t="s">
        <v>295</v>
      </c>
      <c r="I897" s="2">
        <v>23369</v>
      </c>
      <c r="J897" s="2">
        <v>44454</v>
      </c>
      <c r="K897" s="1">
        <v>44.39</v>
      </c>
      <c r="L897" s="4">
        <f>G897*K897%</f>
        <v>738.03701799999999</v>
      </c>
      <c r="M897" s="4">
        <f>G897-L897</f>
        <v>924.5829819999999</v>
      </c>
    </row>
    <row r="898" spans="2:13" x14ac:dyDescent="0.3">
      <c r="B898" s="1">
        <v>1401</v>
      </c>
      <c r="C898" s="2">
        <v>44345</v>
      </c>
      <c r="D898" s="1" t="s">
        <v>10</v>
      </c>
      <c r="E898" s="1" t="s">
        <v>38</v>
      </c>
      <c r="F898" s="1" t="s">
        <v>28</v>
      </c>
      <c r="G898" s="1">
        <v>3686.7</v>
      </c>
      <c r="H898" s="1" t="s">
        <v>140</v>
      </c>
      <c r="I898" s="2">
        <v>24579</v>
      </c>
      <c r="J898" s="2">
        <v>44355</v>
      </c>
      <c r="K898" s="1">
        <v>4.78</v>
      </c>
      <c r="L898" s="4">
        <f>G898*K898%</f>
        <v>176.22425999999999</v>
      </c>
      <c r="M898" s="4">
        <f>G898-L898</f>
        <v>3510.4757399999999</v>
      </c>
    </row>
    <row r="899" spans="2:13" x14ac:dyDescent="0.3">
      <c r="B899" s="1">
        <v>1117</v>
      </c>
      <c r="C899" s="2">
        <v>44445</v>
      </c>
      <c r="D899" s="1" t="s">
        <v>10</v>
      </c>
      <c r="E899" s="1" t="s">
        <v>40</v>
      </c>
      <c r="F899" s="1" t="s">
        <v>16</v>
      </c>
      <c r="G899" s="1">
        <v>1567.51</v>
      </c>
      <c r="H899" s="1" t="s">
        <v>140</v>
      </c>
      <c r="I899" s="2">
        <v>24579</v>
      </c>
      <c r="J899" s="2">
        <v>44456</v>
      </c>
      <c r="K899" s="1">
        <v>30.47</v>
      </c>
      <c r="L899" s="4">
        <f>G899*K899%</f>
        <v>477.62029699999994</v>
      </c>
      <c r="M899" s="4">
        <f>G899-L899</f>
        <v>1089.8897030000001</v>
      </c>
    </row>
    <row r="900" spans="2:13" x14ac:dyDescent="0.3">
      <c r="B900" s="1">
        <v>1760</v>
      </c>
      <c r="C900" s="2">
        <v>45011</v>
      </c>
      <c r="D900" s="1" t="s">
        <v>10</v>
      </c>
      <c r="E900" s="1" t="s">
        <v>47</v>
      </c>
      <c r="F900" s="1" t="s">
        <v>12</v>
      </c>
      <c r="G900" s="1">
        <v>4430.37</v>
      </c>
      <c r="H900" s="1" t="s">
        <v>42</v>
      </c>
      <c r="I900" s="2">
        <v>26027</v>
      </c>
      <c r="J900" s="2">
        <v>45025</v>
      </c>
      <c r="K900" s="1">
        <v>32.93</v>
      </c>
      <c r="L900" s="4">
        <f>G900*K900%</f>
        <v>1458.9208409999999</v>
      </c>
      <c r="M900" s="4">
        <f>G900-L900</f>
        <v>2971.4491589999998</v>
      </c>
    </row>
    <row r="901" spans="2:13" x14ac:dyDescent="0.3">
      <c r="B901" s="1">
        <v>1011</v>
      </c>
      <c r="C901" s="2">
        <v>44588</v>
      </c>
      <c r="D901" s="1" t="s">
        <v>10</v>
      </c>
      <c r="E901" s="1" t="s">
        <v>40</v>
      </c>
      <c r="F901" s="1" t="s">
        <v>16</v>
      </c>
      <c r="G901" s="1">
        <v>3282.77</v>
      </c>
      <c r="H901" s="1" t="s">
        <v>42</v>
      </c>
      <c r="I901" s="2">
        <v>26027</v>
      </c>
      <c r="J901" s="2">
        <v>44597</v>
      </c>
      <c r="K901" s="1">
        <v>27.39</v>
      </c>
      <c r="L901" s="4">
        <f>G901*K901%</f>
        <v>899.15070300000014</v>
      </c>
      <c r="M901" s="4">
        <f>G901-L901</f>
        <v>2383.6192969999997</v>
      </c>
    </row>
    <row r="902" spans="2:13" x14ac:dyDescent="0.3">
      <c r="B902" s="1">
        <v>1751</v>
      </c>
      <c r="C902" s="2">
        <v>44450</v>
      </c>
      <c r="D902" s="1" t="s">
        <v>10</v>
      </c>
      <c r="E902" s="1" t="s">
        <v>18</v>
      </c>
      <c r="F902" s="1" t="s">
        <v>19</v>
      </c>
      <c r="G902" s="1">
        <v>2959.72</v>
      </c>
      <c r="H902" s="1" t="s">
        <v>316</v>
      </c>
      <c r="I902" s="2">
        <v>36087</v>
      </c>
      <c r="J902" s="2">
        <v>44453</v>
      </c>
      <c r="K902" s="1">
        <v>13.94</v>
      </c>
      <c r="L902" s="4">
        <f>G902*K902%</f>
        <v>412.58496799999995</v>
      </c>
      <c r="M902" s="4">
        <f>G902-L902</f>
        <v>2547.1350319999997</v>
      </c>
    </row>
    <row r="903" spans="2:13" x14ac:dyDescent="0.3">
      <c r="B903" s="1">
        <v>1256</v>
      </c>
      <c r="C903" s="2">
        <v>44829</v>
      </c>
      <c r="D903" s="1" t="s">
        <v>10</v>
      </c>
      <c r="E903" s="1" t="s">
        <v>22</v>
      </c>
      <c r="F903" s="1" t="s">
        <v>19</v>
      </c>
      <c r="G903" s="1">
        <v>1161.73</v>
      </c>
      <c r="H903" s="1" t="s">
        <v>220</v>
      </c>
      <c r="I903" s="2">
        <v>30755</v>
      </c>
      <c r="J903" s="2">
        <v>44838</v>
      </c>
      <c r="K903" s="1">
        <v>8.2799999999999994</v>
      </c>
      <c r="L903" s="4">
        <f>G903*K903%</f>
        <v>96.191243999999998</v>
      </c>
      <c r="M903" s="4">
        <f>G903-L903</f>
        <v>1065.5387559999999</v>
      </c>
    </row>
    <row r="904" spans="2:13" x14ac:dyDescent="0.3">
      <c r="B904" s="1">
        <v>1333</v>
      </c>
      <c r="C904" s="2">
        <v>44309</v>
      </c>
      <c r="D904" s="1" t="s">
        <v>10</v>
      </c>
      <c r="E904" s="1" t="s">
        <v>18</v>
      </c>
      <c r="F904" s="1" t="s">
        <v>19</v>
      </c>
      <c r="G904" s="1">
        <v>244.84</v>
      </c>
      <c r="H904" s="1" t="s">
        <v>220</v>
      </c>
      <c r="I904" s="2">
        <v>30755</v>
      </c>
      <c r="J904" s="2">
        <v>44316</v>
      </c>
      <c r="K904" s="1">
        <v>1.56</v>
      </c>
      <c r="L904" s="4">
        <f>G904*K904%</f>
        <v>3.8195040000000002</v>
      </c>
      <c r="M904" s="4">
        <f>G904-L904</f>
        <v>241.02049600000001</v>
      </c>
    </row>
    <row r="905" spans="2:13" x14ac:dyDescent="0.3">
      <c r="B905" s="1">
        <v>1054</v>
      </c>
      <c r="C905" s="2">
        <v>45579</v>
      </c>
      <c r="D905" s="1" t="s">
        <v>10</v>
      </c>
      <c r="E905" s="1" t="s">
        <v>15</v>
      </c>
      <c r="F905" s="1" t="s">
        <v>16</v>
      </c>
      <c r="G905" s="1">
        <v>1414.61</v>
      </c>
      <c r="H905" s="1" t="s">
        <v>95</v>
      </c>
      <c r="I905" s="2">
        <v>25821</v>
      </c>
      <c r="J905" s="2">
        <v>45580</v>
      </c>
      <c r="K905" s="1">
        <v>10.31</v>
      </c>
      <c r="L905" s="4">
        <f>G905*K905%</f>
        <v>145.84629100000001</v>
      </c>
      <c r="M905" s="4">
        <f>G905-L905</f>
        <v>1268.7637089999998</v>
      </c>
    </row>
    <row r="906" spans="2:13" x14ac:dyDescent="0.3">
      <c r="B906" s="1">
        <v>1164</v>
      </c>
      <c r="C906" s="2">
        <v>44551</v>
      </c>
      <c r="D906" s="1" t="s">
        <v>10</v>
      </c>
      <c r="E906" s="1" t="s">
        <v>47</v>
      </c>
      <c r="F906" s="1" t="s">
        <v>12</v>
      </c>
      <c r="G906" s="1">
        <v>1339.01</v>
      </c>
      <c r="H906" s="1" t="s">
        <v>173</v>
      </c>
      <c r="I906" s="2">
        <v>22016</v>
      </c>
      <c r="J906" s="2">
        <v>44553</v>
      </c>
      <c r="K906" s="1">
        <v>22.21</v>
      </c>
      <c r="L906" s="4">
        <f>G906*K906%</f>
        <v>297.39412100000004</v>
      </c>
      <c r="M906" s="4">
        <f>G906-L906</f>
        <v>1041.6158789999999</v>
      </c>
    </row>
    <row r="907" spans="2:13" x14ac:dyDescent="0.3">
      <c r="B907" s="1">
        <v>1741</v>
      </c>
      <c r="C907" s="2">
        <v>44786</v>
      </c>
      <c r="D907" s="1" t="s">
        <v>10</v>
      </c>
      <c r="E907" s="1" t="s">
        <v>40</v>
      </c>
      <c r="F907" s="1" t="s">
        <v>16</v>
      </c>
      <c r="G907" s="1">
        <v>507.92</v>
      </c>
      <c r="H907" s="1" t="s">
        <v>173</v>
      </c>
      <c r="I907" s="2">
        <v>22016</v>
      </c>
      <c r="J907" s="2">
        <v>44790</v>
      </c>
      <c r="K907" s="1">
        <v>15.96</v>
      </c>
      <c r="L907" s="4">
        <f>G907*K907%</f>
        <v>81.064032000000012</v>
      </c>
      <c r="M907" s="4">
        <f>G907-L907</f>
        <v>426.85596800000002</v>
      </c>
    </row>
    <row r="908" spans="2:13" x14ac:dyDescent="0.3">
      <c r="B908" s="1">
        <v>1983</v>
      </c>
      <c r="C908" s="2">
        <v>45556</v>
      </c>
      <c r="D908" s="1" t="s">
        <v>10</v>
      </c>
      <c r="E908" s="1" t="s">
        <v>47</v>
      </c>
      <c r="F908" s="1" t="s">
        <v>12</v>
      </c>
      <c r="G908" s="1">
        <v>2860.02</v>
      </c>
      <c r="H908" s="1" t="s">
        <v>309</v>
      </c>
      <c r="I908" s="2">
        <v>23838</v>
      </c>
      <c r="J908" s="2">
        <v>45568</v>
      </c>
      <c r="K908" s="1">
        <v>9.4600000000000009</v>
      </c>
      <c r="L908" s="4">
        <f>G908*K908%</f>
        <v>270.55789199999998</v>
      </c>
      <c r="M908" s="4">
        <f>G908-L908</f>
        <v>2589.4621080000002</v>
      </c>
    </row>
    <row r="909" spans="2:13" x14ac:dyDescent="0.3">
      <c r="B909" s="1">
        <v>1056</v>
      </c>
      <c r="C909" s="2">
        <v>44987</v>
      </c>
      <c r="D909" s="1" t="s">
        <v>10</v>
      </c>
      <c r="E909" s="1" t="s">
        <v>40</v>
      </c>
      <c r="F909" s="1" t="s">
        <v>16</v>
      </c>
      <c r="G909" s="1">
        <v>3373.61</v>
      </c>
      <c r="H909" s="1" t="s">
        <v>97</v>
      </c>
      <c r="I909" s="2">
        <v>24706</v>
      </c>
      <c r="J909" s="2">
        <v>45000</v>
      </c>
      <c r="K909" s="1">
        <v>23.87</v>
      </c>
      <c r="L909" s="4">
        <f>G909*K909%</f>
        <v>805.28070700000012</v>
      </c>
      <c r="M909" s="4">
        <f>G909-L909</f>
        <v>2568.3292929999998</v>
      </c>
    </row>
    <row r="910" spans="2:13" x14ac:dyDescent="0.3">
      <c r="B910" s="1">
        <v>1846</v>
      </c>
      <c r="C910" s="2">
        <v>44952</v>
      </c>
      <c r="D910" s="1" t="s">
        <v>10</v>
      </c>
      <c r="E910" s="1" t="s">
        <v>30</v>
      </c>
      <c r="F910" s="1" t="s">
        <v>31</v>
      </c>
      <c r="G910" s="1">
        <v>3256.35</v>
      </c>
      <c r="H910" s="1" t="s">
        <v>249</v>
      </c>
      <c r="I910" s="2">
        <v>28555</v>
      </c>
      <c r="J910" s="2">
        <v>44958</v>
      </c>
      <c r="K910" s="1">
        <v>24.45</v>
      </c>
      <c r="L910" s="4">
        <f>G910*K910%</f>
        <v>796.17757499999993</v>
      </c>
      <c r="M910" s="4">
        <f>G910-L910</f>
        <v>2460.1724249999997</v>
      </c>
    </row>
    <row r="911" spans="2:13" x14ac:dyDescent="0.3">
      <c r="B911" s="1">
        <v>1830</v>
      </c>
      <c r="C911" s="2">
        <v>44398</v>
      </c>
      <c r="D911" s="1" t="s">
        <v>10</v>
      </c>
      <c r="E911" s="1" t="s">
        <v>53</v>
      </c>
      <c r="F911" s="1" t="s">
        <v>28</v>
      </c>
      <c r="G911" s="1">
        <v>2312.25</v>
      </c>
      <c r="H911" s="1" t="s">
        <v>269</v>
      </c>
      <c r="I911" s="2">
        <v>30976</v>
      </c>
      <c r="J911" s="2">
        <v>44408</v>
      </c>
      <c r="K911" s="1">
        <v>8.42</v>
      </c>
      <c r="L911" s="4">
        <f>G911*K911%</f>
        <v>194.69145</v>
      </c>
      <c r="M911" s="4">
        <f>G911-L911</f>
        <v>2117.5585500000002</v>
      </c>
    </row>
    <row r="912" spans="2:13" x14ac:dyDescent="0.3">
      <c r="B912" s="1">
        <v>1984</v>
      </c>
      <c r="C912" s="2">
        <v>44207</v>
      </c>
      <c r="D912" s="1" t="s">
        <v>10</v>
      </c>
      <c r="E912" s="1" t="s">
        <v>24</v>
      </c>
      <c r="F912" s="1" t="s">
        <v>19</v>
      </c>
      <c r="G912" s="1">
        <v>2382.77</v>
      </c>
      <c r="H912" s="1" t="s">
        <v>269</v>
      </c>
      <c r="I912" s="2">
        <v>30976</v>
      </c>
      <c r="J912" s="2">
        <v>44210</v>
      </c>
      <c r="K912" s="1">
        <v>28.79</v>
      </c>
      <c r="L912" s="4">
        <f>G912*K912%</f>
        <v>685.99948299999994</v>
      </c>
      <c r="M912" s="4">
        <f>G912-L912</f>
        <v>1696.7705169999999</v>
      </c>
    </row>
    <row r="913" spans="2:13" x14ac:dyDescent="0.3">
      <c r="B913" s="1">
        <v>1062</v>
      </c>
      <c r="C913" s="2">
        <v>45749</v>
      </c>
      <c r="D913" s="1" t="s">
        <v>10</v>
      </c>
      <c r="E913" s="1" t="s">
        <v>33</v>
      </c>
      <c r="F913" s="1" t="s">
        <v>16</v>
      </c>
      <c r="G913" s="1">
        <v>4834.29</v>
      </c>
      <c r="H913" s="1" t="s">
        <v>101</v>
      </c>
      <c r="I913" s="2">
        <v>31331</v>
      </c>
      <c r="J913" s="2">
        <v>45759</v>
      </c>
      <c r="K913" s="1">
        <v>2.39</v>
      </c>
      <c r="L913" s="4">
        <f>G913*K913%</f>
        <v>115.53953100000001</v>
      </c>
      <c r="M913" s="4">
        <f>G913-L913</f>
        <v>4718.7504689999996</v>
      </c>
    </row>
    <row r="914" spans="2:13" x14ac:dyDescent="0.3">
      <c r="B914" s="1">
        <v>1277</v>
      </c>
      <c r="C914" s="2">
        <v>44414</v>
      </c>
      <c r="D914" s="1" t="s">
        <v>10</v>
      </c>
      <c r="E914" s="1" t="s">
        <v>38</v>
      </c>
      <c r="F914" s="1" t="s">
        <v>28</v>
      </c>
      <c r="G914" s="1">
        <v>1138.02</v>
      </c>
      <c r="H914" s="1" t="s">
        <v>212</v>
      </c>
      <c r="I914" s="2">
        <v>23674</v>
      </c>
      <c r="J914" s="2">
        <v>44426</v>
      </c>
      <c r="K914" s="1">
        <v>44.7</v>
      </c>
      <c r="L914" s="4">
        <f>G914*K914%</f>
        <v>508.69493999999997</v>
      </c>
      <c r="M914" s="4">
        <f>G914-L914</f>
        <v>629.32506000000001</v>
      </c>
    </row>
    <row r="915" spans="2:13" x14ac:dyDescent="0.3">
      <c r="B915" s="1">
        <v>1874</v>
      </c>
      <c r="C915" s="2">
        <v>45511</v>
      </c>
      <c r="D915" s="1" t="s">
        <v>10</v>
      </c>
      <c r="E915" s="1" t="s">
        <v>27</v>
      </c>
      <c r="F915" s="1" t="s">
        <v>28</v>
      </c>
      <c r="G915" s="1">
        <v>3686.64</v>
      </c>
      <c r="H915" s="1" t="s">
        <v>128</v>
      </c>
      <c r="I915" s="2">
        <v>37961</v>
      </c>
      <c r="J915" s="2">
        <v>45515</v>
      </c>
      <c r="K915" s="1">
        <v>29.45</v>
      </c>
      <c r="L915" s="4">
        <f>G915*K915%</f>
        <v>1085.7154799999998</v>
      </c>
      <c r="M915" s="4">
        <f>G915-L915</f>
        <v>2600.92452</v>
      </c>
    </row>
    <row r="916" spans="2:13" x14ac:dyDescent="0.3">
      <c r="B916" s="1">
        <v>1092</v>
      </c>
      <c r="C916" s="2">
        <v>45544</v>
      </c>
      <c r="D916" s="1" t="s">
        <v>10</v>
      </c>
      <c r="E916" s="1" t="s">
        <v>53</v>
      </c>
      <c r="F916" s="1" t="s">
        <v>28</v>
      </c>
      <c r="G916" s="1">
        <v>2920.84</v>
      </c>
      <c r="H916" s="1" t="s">
        <v>110</v>
      </c>
      <c r="I916" s="2">
        <v>32064</v>
      </c>
      <c r="J916" s="2">
        <v>45556</v>
      </c>
      <c r="K916" s="1">
        <v>13.81</v>
      </c>
      <c r="L916" s="4">
        <f>G916*K916%</f>
        <v>403.36800400000004</v>
      </c>
      <c r="M916" s="4">
        <f>G916-L916</f>
        <v>2517.4719960000002</v>
      </c>
    </row>
    <row r="917" spans="2:13" x14ac:dyDescent="0.3">
      <c r="B917" s="1">
        <v>1389</v>
      </c>
      <c r="C917" s="2">
        <v>45137</v>
      </c>
      <c r="D917" s="1" t="s">
        <v>10</v>
      </c>
      <c r="E917" s="1" t="s">
        <v>73</v>
      </c>
      <c r="F917" s="1" t="s">
        <v>28</v>
      </c>
      <c r="G917" s="1">
        <v>2753.34</v>
      </c>
      <c r="H917" s="1" t="s">
        <v>234</v>
      </c>
      <c r="I917" s="2">
        <v>24368</v>
      </c>
      <c r="J917" s="2">
        <v>45151</v>
      </c>
      <c r="K917" s="1">
        <v>11.08</v>
      </c>
      <c r="L917" s="4">
        <f>G917*K917%</f>
        <v>305.07007199999998</v>
      </c>
      <c r="M917" s="4">
        <f>G917-L917</f>
        <v>2448.2699280000002</v>
      </c>
    </row>
    <row r="918" spans="2:13" x14ac:dyDescent="0.3">
      <c r="B918" s="1">
        <v>1338</v>
      </c>
      <c r="C918" s="2">
        <v>45729</v>
      </c>
      <c r="D918" s="1" t="s">
        <v>10</v>
      </c>
      <c r="E918" s="1" t="s">
        <v>22</v>
      </c>
      <c r="F918" s="1" t="s">
        <v>19</v>
      </c>
      <c r="G918" s="1">
        <v>2900.29</v>
      </c>
      <c r="H918" s="1" t="s">
        <v>234</v>
      </c>
      <c r="I918" s="2">
        <v>24368</v>
      </c>
      <c r="J918" s="2">
        <v>45739</v>
      </c>
      <c r="K918" s="1">
        <v>39.72</v>
      </c>
      <c r="L918" s="4">
        <f>G918*K918%</f>
        <v>1151.9951879999999</v>
      </c>
      <c r="M918" s="4">
        <f>G918-L918</f>
        <v>1748.2948120000001</v>
      </c>
    </row>
    <row r="919" spans="2:13" x14ac:dyDescent="0.3">
      <c r="B919" s="1">
        <v>1025</v>
      </c>
      <c r="C919" s="2">
        <v>45184</v>
      </c>
      <c r="D919" s="1" t="s">
        <v>10</v>
      </c>
      <c r="E919" s="1" t="s">
        <v>30</v>
      </c>
      <c r="F919" s="1" t="s">
        <v>31</v>
      </c>
      <c r="G919" s="1">
        <v>1341.71</v>
      </c>
      <c r="H919" s="1" t="s">
        <v>63</v>
      </c>
      <c r="I919" s="2">
        <v>25430</v>
      </c>
      <c r="J919" s="2">
        <v>45189</v>
      </c>
      <c r="K919" s="1">
        <v>38.22</v>
      </c>
      <c r="L919" s="4">
        <f>G919*K919%</f>
        <v>512.80156199999999</v>
      </c>
      <c r="M919" s="4">
        <f>G919-L919</f>
        <v>828.90843800000005</v>
      </c>
    </row>
    <row r="920" spans="2:13" x14ac:dyDescent="0.3">
      <c r="B920" s="1">
        <v>1970</v>
      </c>
      <c r="C920" s="2">
        <v>44111</v>
      </c>
      <c r="D920" s="1" t="s">
        <v>10</v>
      </c>
      <c r="E920" s="1" t="s">
        <v>58</v>
      </c>
      <c r="F920" s="1" t="s">
        <v>31</v>
      </c>
      <c r="G920" s="1">
        <v>4786.34</v>
      </c>
      <c r="H920" s="1" t="s">
        <v>327</v>
      </c>
      <c r="I920" s="2">
        <v>35343</v>
      </c>
      <c r="J920" s="2">
        <v>44115</v>
      </c>
      <c r="K920" s="1">
        <v>34.32</v>
      </c>
      <c r="L920" s="4">
        <f>G920*K920%</f>
        <v>1642.6718880000001</v>
      </c>
      <c r="M920" s="4">
        <f>G920-L920</f>
        <v>3143.6681120000003</v>
      </c>
    </row>
    <row r="921" spans="2:13" x14ac:dyDescent="0.3">
      <c r="B921" s="1">
        <v>1752</v>
      </c>
      <c r="C921" s="2">
        <v>44174</v>
      </c>
      <c r="D921" s="1" t="s">
        <v>10</v>
      </c>
      <c r="E921" s="1" t="s">
        <v>58</v>
      </c>
      <c r="F921" s="1" t="s">
        <v>31</v>
      </c>
      <c r="G921" s="1">
        <v>3761.77</v>
      </c>
      <c r="H921" s="1" t="s">
        <v>195</v>
      </c>
      <c r="I921" s="2">
        <v>28065</v>
      </c>
      <c r="J921" s="2">
        <v>44188</v>
      </c>
      <c r="K921" s="1">
        <v>24.9</v>
      </c>
      <c r="L921" s="4">
        <f>G921*K921%</f>
        <v>936.68073000000004</v>
      </c>
      <c r="M921" s="4">
        <f>G921-L921</f>
        <v>2825.0892699999999</v>
      </c>
    </row>
    <row r="922" spans="2:13" x14ac:dyDescent="0.3">
      <c r="B922" s="1">
        <v>1908</v>
      </c>
      <c r="C922" s="2">
        <v>45286</v>
      </c>
      <c r="D922" s="1" t="s">
        <v>10</v>
      </c>
      <c r="E922" s="1" t="s">
        <v>47</v>
      </c>
      <c r="F922" s="1" t="s">
        <v>12</v>
      </c>
      <c r="G922" s="1">
        <v>1275.42</v>
      </c>
      <c r="H922" s="1" t="s">
        <v>195</v>
      </c>
      <c r="I922" s="2">
        <v>28065</v>
      </c>
      <c r="J922" s="2">
        <v>45296</v>
      </c>
      <c r="K922" s="1">
        <v>4.88</v>
      </c>
      <c r="L922" s="4">
        <f>G922*K922%</f>
        <v>62.240496</v>
      </c>
      <c r="M922" s="4">
        <f>G922-L922</f>
        <v>1213.1795040000002</v>
      </c>
    </row>
    <row r="923" spans="2:13" x14ac:dyDescent="0.3">
      <c r="B923" s="1">
        <v>1415</v>
      </c>
      <c r="C923" s="2">
        <v>44729</v>
      </c>
      <c r="D923" s="1" t="s">
        <v>10</v>
      </c>
      <c r="E923" s="1" t="s">
        <v>11</v>
      </c>
      <c r="F923" s="1" t="s">
        <v>12</v>
      </c>
      <c r="G923" s="1">
        <v>2414.83</v>
      </c>
      <c r="H923" s="1" t="s">
        <v>142</v>
      </c>
      <c r="I923" s="2">
        <v>29541</v>
      </c>
      <c r="J923" s="2">
        <v>44736</v>
      </c>
      <c r="K923" s="1">
        <v>5</v>
      </c>
      <c r="L923" s="4">
        <f>G923*K923%</f>
        <v>120.7415</v>
      </c>
      <c r="M923" s="4">
        <f>G923-L923</f>
        <v>2294.0884999999998</v>
      </c>
    </row>
    <row r="924" spans="2:13" x14ac:dyDescent="0.3">
      <c r="B924" s="1">
        <v>1517</v>
      </c>
      <c r="C924" s="2">
        <v>45136</v>
      </c>
      <c r="D924" s="1" t="s">
        <v>10</v>
      </c>
      <c r="E924" s="1" t="s">
        <v>40</v>
      </c>
      <c r="F924" s="1" t="s">
        <v>16</v>
      </c>
      <c r="G924" s="1">
        <v>997.82</v>
      </c>
      <c r="H924" s="1" t="s">
        <v>141</v>
      </c>
      <c r="I924" s="2">
        <v>35559</v>
      </c>
      <c r="J924" s="2">
        <v>45144</v>
      </c>
      <c r="K924" s="1">
        <v>10.050000000000001</v>
      </c>
      <c r="L924" s="4">
        <f>G924*K924%</f>
        <v>100.28091000000001</v>
      </c>
      <c r="M924" s="4">
        <f>G924-L924</f>
        <v>897.53908999999999</v>
      </c>
    </row>
    <row r="925" spans="2:13" x14ac:dyDescent="0.3">
      <c r="B925" s="1">
        <v>1071</v>
      </c>
      <c r="C925" s="2">
        <v>45780</v>
      </c>
      <c r="D925" s="1" t="s">
        <v>10</v>
      </c>
      <c r="E925" s="1" t="s">
        <v>11</v>
      </c>
      <c r="F925" s="1" t="s">
        <v>12</v>
      </c>
      <c r="G925" s="1">
        <v>3450.56</v>
      </c>
      <c r="H925" s="1" t="s">
        <v>108</v>
      </c>
      <c r="I925" s="2">
        <v>33413</v>
      </c>
      <c r="J925" s="2">
        <v>45792</v>
      </c>
      <c r="K925" s="1">
        <v>28.47</v>
      </c>
      <c r="L925" s="4">
        <f>G925*K925%</f>
        <v>982.37443200000007</v>
      </c>
      <c r="M925" s="4">
        <f>G925-L925</f>
        <v>2468.1855679999999</v>
      </c>
    </row>
    <row r="926" spans="2:13" x14ac:dyDescent="0.3">
      <c r="B926" s="1">
        <v>1657</v>
      </c>
      <c r="C926" s="2">
        <v>44362</v>
      </c>
      <c r="D926" s="1" t="s">
        <v>10</v>
      </c>
      <c r="E926" s="1" t="s">
        <v>55</v>
      </c>
      <c r="F926" s="1" t="s">
        <v>31</v>
      </c>
      <c r="G926" s="1">
        <v>528.41999999999996</v>
      </c>
      <c r="H926" s="1" t="s">
        <v>108</v>
      </c>
      <c r="I926" s="2">
        <v>33413</v>
      </c>
      <c r="J926" s="2">
        <v>44371</v>
      </c>
      <c r="K926" s="1">
        <v>23.23</v>
      </c>
      <c r="L926" s="4">
        <f>G926*K926%</f>
        <v>122.751966</v>
      </c>
      <c r="M926" s="4">
        <f>G926-L926</f>
        <v>405.66803399999998</v>
      </c>
    </row>
    <row r="927" spans="2:13" x14ac:dyDescent="0.3">
      <c r="B927" s="1">
        <v>1549</v>
      </c>
      <c r="C927" s="2">
        <v>45554</v>
      </c>
      <c r="D927" s="1" t="s">
        <v>10</v>
      </c>
      <c r="E927" s="1" t="s">
        <v>69</v>
      </c>
      <c r="F927" s="1" t="s">
        <v>31</v>
      </c>
      <c r="G927" s="1">
        <v>3780.34</v>
      </c>
      <c r="H927" s="1" t="s">
        <v>80</v>
      </c>
      <c r="I927" s="2">
        <v>31578</v>
      </c>
      <c r="J927" s="2">
        <v>45562</v>
      </c>
      <c r="K927" s="1">
        <v>24.49</v>
      </c>
      <c r="L927" s="4">
        <f>G927*K927%</f>
        <v>925.80526599999996</v>
      </c>
      <c r="M927" s="4">
        <f>G927-L927</f>
        <v>2854.5347340000003</v>
      </c>
    </row>
    <row r="928" spans="2:13" x14ac:dyDescent="0.3">
      <c r="B928" s="1">
        <v>1431</v>
      </c>
      <c r="C928" s="2">
        <v>44784</v>
      </c>
      <c r="D928" s="1" t="s">
        <v>10</v>
      </c>
      <c r="E928" s="1" t="s">
        <v>33</v>
      </c>
      <c r="F928" s="1" t="s">
        <v>16</v>
      </c>
      <c r="G928" s="1">
        <v>1991.8</v>
      </c>
      <c r="H928" s="1" t="s">
        <v>80</v>
      </c>
      <c r="I928" s="2">
        <v>31578</v>
      </c>
      <c r="J928" s="2">
        <v>44787</v>
      </c>
      <c r="K928" s="1">
        <v>41.42</v>
      </c>
      <c r="L928" s="4">
        <f>G928*K928%</f>
        <v>825.00355999999999</v>
      </c>
      <c r="M928" s="4">
        <f>G928-L928</f>
        <v>1166.7964400000001</v>
      </c>
    </row>
    <row r="929" spans="2:13" x14ac:dyDescent="0.3">
      <c r="B929" s="1">
        <v>1139</v>
      </c>
      <c r="C929" s="2">
        <v>45699</v>
      </c>
      <c r="D929" s="1" t="s">
        <v>10</v>
      </c>
      <c r="E929" s="1" t="s">
        <v>47</v>
      </c>
      <c r="F929" s="1" t="s">
        <v>12</v>
      </c>
      <c r="G929" s="1">
        <v>1474.93</v>
      </c>
      <c r="H929" s="1" t="s">
        <v>157</v>
      </c>
      <c r="I929" s="2">
        <v>37189</v>
      </c>
      <c r="J929" s="2">
        <v>45710</v>
      </c>
      <c r="K929" s="1">
        <v>13.15</v>
      </c>
      <c r="L929" s="4">
        <f>G929*K929%</f>
        <v>193.95329500000003</v>
      </c>
      <c r="M929" s="4">
        <f>G929-L929</f>
        <v>1280.976705</v>
      </c>
    </row>
    <row r="930" spans="2:13" x14ac:dyDescent="0.3">
      <c r="B930" s="1">
        <v>1536</v>
      </c>
      <c r="C930" s="2">
        <v>44997</v>
      </c>
      <c r="D930" s="1" t="s">
        <v>10</v>
      </c>
      <c r="E930" s="1" t="s">
        <v>69</v>
      </c>
      <c r="F930" s="1" t="s">
        <v>31</v>
      </c>
      <c r="G930" s="1">
        <v>3137.31</v>
      </c>
      <c r="H930" s="1" t="s">
        <v>174</v>
      </c>
      <c r="I930" s="2">
        <v>38118</v>
      </c>
      <c r="J930" s="2">
        <v>45008</v>
      </c>
      <c r="K930" s="1">
        <v>43.28</v>
      </c>
      <c r="L930" s="4">
        <f>G930*K930%</f>
        <v>1357.8277680000001</v>
      </c>
      <c r="M930" s="4">
        <f>G930-L930</f>
        <v>1779.4822319999998</v>
      </c>
    </row>
    <row r="931" spans="2:13" x14ac:dyDescent="0.3">
      <c r="B931" s="1">
        <v>1166</v>
      </c>
      <c r="C931" s="2">
        <v>44783</v>
      </c>
      <c r="D931" s="1" t="s">
        <v>10</v>
      </c>
      <c r="E931" s="1" t="s">
        <v>24</v>
      </c>
      <c r="F931" s="1" t="s">
        <v>19</v>
      </c>
      <c r="G931" s="1">
        <v>720.87</v>
      </c>
      <c r="H931" s="1" t="s">
        <v>174</v>
      </c>
      <c r="I931" s="2">
        <v>38118</v>
      </c>
      <c r="J931" s="2">
        <v>44791</v>
      </c>
      <c r="K931" s="1">
        <v>21.76</v>
      </c>
      <c r="L931" s="4">
        <f>G931*K931%</f>
        <v>156.861312</v>
      </c>
      <c r="M931" s="4">
        <f>G931-L931</f>
        <v>564.00868800000001</v>
      </c>
    </row>
    <row r="932" spans="2:13" x14ac:dyDescent="0.3">
      <c r="B932" s="1">
        <v>1435</v>
      </c>
      <c r="C932" s="2">
        <v>45366</v>
      </c>
      <c r="D932" s="1" t="s">
        <v>10</v>
      </c>
      <c r="E932" s="1" t="s">
        <v>38</v>
      </c>
      <c r="F932" s="1" t="s">
        <v>28</v>
      </c>
      <c r="G932" s="1">
        <v>3093.12</v>
      </c>
      <c r="H932" s="1" t="s">
        <v>89</v>
      </c>
      <c r="I932" s="2">
        <v>37141</v>
      </c>
      <c r="J932" s="2">
        <v>45369</v>
      </c>
      <c r="K932" s="1">
        <v>20.13</v>
      </c>
      <c r="L932" s="4">
        <f>G932*K932%</f>
        <v>622.64505599999995</v>
      </c>
      <c r="M932" s="4">
        <f>G932-L932</f>
        <v>2470.4749440000001</v>
      </c>
    </row>
    <row r="933" spans="2:13" x14ac:dyDescent="0.3">
      <c r="B933" s="1">
        <v>1964</v>
      </c>
      <c r="C933" s="2">
        <v>44421</v>
      </c>
      <c r="D933" s="1" t="s">
        <v>10</v>
      </c>
      <c r="E933" s="1" t="s">
        <v>71</v>
      </c>
      <c r="F933" s="1" t="s">
        <v>31</v>
      </c>
      <c r="G933" s="1">
        <v>1024.3699999999999</v>
      </c>
      <c r="H933" s="1" t="s">
        <v>260</v>
      </c>
      <c r="I933" s="2">
        <v>38628</v>
      </c>
      <c r="J933" s="2">
        <v>44430</v>
      </c>
      <c r="K933" s="1">
        <v>41.87</v>
      </c>
      <c r="L933" s="4">
        <f>G933*K933%</f>
        <v>428.90371899999991</v>
      </c>
      <c r="M933" s="4">
        <f>G933-L933</f>
        <v>595.46628099999998</v>
      </c>
    </row>
    <row r="934" spans="2:13" x14ac:dyDescent="0.3">
      <c r="B934" s="1">
        <v>1900</v>
      </c>
      <c r="C934" s="2">
        <v>45824</v>
      </c>
      <c r="D934" s="1" t="s">
        <v>10</v>
      </c>
      <c r="E934" s="1" t="s">
        <v>27</v>
      </c>
      <c r="F934" s="1" t="s">
        <v>28</v>
      </c>
      <c r="G934" s="1">
        <v>3162.97</v>
      </c>
      <c r="H934" s="1" t="s">
        <v>236</v>
      </c>
      <c r="I934" s="2">
        <v>36099</v>
      </c>
      <c r="J934" s="2">
        <v>45836</v>
      </c>
      <c r="K934" s="1">
        <v>5.03</v>
      </c>
      <c r="L934" s="4">
        <f>G934*K934%</f>
        <v>159.09739100000002</v>
      </c>
      <c r="M934" s="4">
        <f>G934-L934</f>
        <v>3003.872609</v>
      </c>
    </row>
    <row r="935" spans="2:13" x14ac:dyDescent="0.3">
      <c r="B935" s="1">
        <v>1309</v>
      </c>
      <c r="C935" s="2">
        <v>44701</v>
      </c>
      <c r="D935" s="1" t="s">
        <v>10</v>
      </c>
      <c r="E935" s="1" t="s">
        <v>61</v>
      </c>
      <c r="F935" s="1" t="s">
        <v>19</v>
      </c>
      <c r="G935" s="1">
        <v>2214.5700000000002</v>
      </c>
      <c r="H935" s="1" t="s">
        <v>237</v>
      </c>
      <c r="I935" s="2">
        <v>27455</v>
      </c>
      <c r="J935" s="2">
        <v>44713</v>
      </c>
      <c r="K935" s="1">
        <v>13.3</v>
      </c>
      <c r="L935" s="4">
        <f>G935*K935%</f>
        <v>294.53781000000004</v>
      </c>
      <c r="M935" s="4">
        <f>G935-L935</f>
        <v>1920.0321900000001</v>
      </c>
    </row>
    <row r="936" spans="2:13" x14ac:dyDescent="0.3">
      <c r="B936" s="1">
        <v>1424</v>
      </c>
      <c r="C936" s="2">
        <v>45879</v>
      </c>
      <c r="D936" s="1" t="s">
        <v>10</v>
      </c>
      <c r="E936" s="1" t="s">
        <v>22</v>
      </c>
      <c r="F936" s="1" t="s">
        <v>19</v>
      </c>
      <c r="G936" s="1">
        <v>1786.83</v>
      </c>
      <c r="H936" s="1" t="s">
        <v>237</v>
      </c>
      <c r="I936" s="2">
        <v>27455</v>
      </c>
      <c r="J936" s="2">
        <v>45891</v>
      </c>
      <c r="K936" s="1">
        <v>9.4</v>
      </c>
      <c r="L936" s="4">
        <f>G936*K936%</f>
        <v>167.96202</v>
      </c>
      <c r="M936" s="4">
        <f>G936-L936</f>
        <v>1618.86798</v>
      </c>
    </row>
    <row r="937" spans="2:13" x14ac:dyDescent="0.3">
      <c r="B937" s="1">
        <v>1695</v>
      </c>
      <c r="C937" s="2">
        <v>44766</v>
      </c>
      <c r="D937" s="1" t="s">
        <v>10</v>
      </c>
      <c r="E937" s="1" t="s">
        <v>38</v>
      </c>
      <c r="F937" s="1" t="s">
        <v>28</v>
      </c>
      <c r="G937" s="1">
        <v>1621.73</v>
      </c>
      <c r="H937" s="1" t="s">
        <v>237</v>
      </c>
      <c r="I937" s="2">
        <v>27455</v>
      </c>
      <c r="J937" s="2">
        <v>44773</v>
      </c>
      <c r="K937" s="1">
        <v>28.48</v>
      </c>
      <c r="L937" s="4">
        <f>G937*K937%</f>
        <v>461.86870399999998</v>
      </c>
      <c r="M937" s="4">
        <f>G937-L937</f>
        <v>1159.861296</v>
      </c>
    </row>
    <row r="938" spans="2:13" x14ac:dyDescent="0.3">
      <c r="B938" s="1">
        <v>1236</v>
      </c>
      <c r="C938" s="2">
        <v>45408</v>
      </c>
      <c r="D938" s="1" t="s">
        <v>10</v>
      </c>
      <c r="E938" s="1" t="s">
        <v>40</v>
      </c>
      <c r="F938" s="1" t="s">
        <v>16</v>
      </c>
      <c r="G938" s="1">
        <v>4464.05</v>
      </c>
      <c r="H938" s="1" t="s">
        <v>116</v>
      </c>
      <c r="I938" s="2">
        <v>39294</v>
      </c>
      <c r="J938" s="2">
        <v>45415</v>
      </c>
      <c r="K938" s="1">
        <v>27.44</v>
      </c>
      <c r="L938" s="4">
        <f>G938*K938%</f>
        <v>1224.9353200000003</v>
      </c>
      <c r="M938" s="4">
        <f>G938-L938</f>
        <v>3239.1146799999997</v>
      </c>
    </row>
    <row r="939" spans="2:13" x14ac:dyDescent="0.3">
      <c r="B939" s="1">
        <v>1262</v>
      </c>
      <c r="C939" s="2">
        <v>45103</v>
      </c>
      <c r="D939" s="1" t="s">
        <v>10</v>
      </c>
      <c r="E939" s="1" t="s">
        <v>73</v>
      </c>
      <c r="F939" s="1" t="s">
        <v>28</v>
      </c>
      <c r="G939" s="1">
        <v>2491.4899999999998</v>
      </c>
      <c r="H939" s="1" t="s">
        <v>221</v>
      </c>
      <c r="I939" s="2">
        <v>35658</v>
      </c>
      <c r="J939" s="2">
        <v>45113</v>
      </c>
      <c r="K939" s="1">
        <v>21.1</v>
      </c>
      <c r="L939" s="4">
        <f>G939*K939%</f>
        <v>525.70438999999999</v>
      </c>
      <c r="M939" s="4">
        <f>G939-L939</f>
        <v>1965.7856099999999</v>
      </c>
    </row>
    <row r="940" spans="2:13" x14ac:dyDescent="0.3">
      <c r="B940" s="1">
        <v>1938</v>
      </c>
      <c r="C940" s="2">
        <v>45162</v>
      </c>
      <c r="D940" s="1" t="s">
        <v>10</v>
      </c>
      <c r="E940" s="1" t="s">
        <v>22</v>
      </c>
      <c r="F940" s="1" t="s">
        <v>19</v>
      </c>
      <c r="G940" s="1">
        <v>3591.8</v>
      </c>
      <c r="H940" s="1" t="s">
        <v>219</v>
      </c>
      <c r="I940" s="2">
        <v>25321</v>
      </c>
      <c r="J940" s="2">
        <v>45171</v>
      </c>
      <c r="K940" s="1">
        <v>14.86</v>
      </c>
      <c r="L940" s="4">
        <f>G940*K940%</f>
        <v>533.74147999999991</v>
      </c>
      <c r="M940" s="4">
        <f>G940-L940</f>
        <v>3058.0585200000005</v>
      </c>
    </row>
    <row r="941" spans="2:13" x14ac:dyDescent="0.3">
      <c r="B941" s="1">
        <v>1825</v>
      </c>
      <c r="C941" s="2">
        <v>44660</v>
      </c>
      <c r="D941" s="1" t="s">
        <v>10</v>
      </c>
      <c r="E941" s="1" t="s">
        <v>102</v>
      </c>
      <c r="F941" s="1" t="s">
        <v>12</v>
      </c>
      <c r="G941" s="1">
        <v>3209.4</v>
      </c>
      <c r="H941" s="1" t="s">
        <v>254</v>
      </c>
      <c r="I941" s="2">
        <v>29366</v>
      </c>
      <c r="J941" s="2">
        <v>44674</v>
      </c>
      <c r="K941" s="1">
        <v>14.74</v>
      </c>
      <c r="L941" s="4">
        <f>G941*K941%</f>
        <v>473.06556</v>
      </c>
      <c r="M941" s="4">
        <f>G941-L941</f>
        <v>2736.3344400000001</v>
      </c>
    </row>
    <row r="942" spans="2:13" x14ac:dyDescent="0.3">
      <c r="B942" s="1">
        <v>1969</v>
      </c>
      <c r="C942" s="2">
        <v>45483</v>
      </c>
      <c r="D942" s="1" t="s">
        <v>10</v>
      </c>
      <c r="E942" s="1" t="s">
        <v>71</v>
      </c>
      <c r="F942" s="1" t="s">
        <v>31</v>
      </c>
      <c r="G942" s="1">
        <v>1321.82</v>
      </c>
      <c r="H942" s="1" t="s">
        <v>254</v>
      </c>
      <c r="I942" s="2">
        <v>29366</v>
      </c>
      <c r="J942" s="2">
        <v>45497</v>
      </c>
      <c r="K942" s="1">
        <v>8.65</v>
      </c>
      <c r="L942" s="4">
        <f>G942*K942%</f>
        <v>114.33743</v>
      </c>
      <c r="M942" s="4">
        <f>G942-L942</f>
        <v>1207.4825699999999</v>
      </c>
    </row>
    <row r="943" spans="2:13" x14ac:dyDescent="0.3">
      <c r="B943" s="1">
        <v>1866</v>
      </c>
      <c r="C943" s="2">
        <v>45399</v>
      </c>
      <c r="D943" s="1" t="s">
        <v>10</v>
      </c>
      <c r="E943" s="1" t="s">
        <v>61</v>
      </c>
      <c r="F943" s="1" t="s">
        <v>19</v>
      </c>
      <c r="G943" s="1">
        <v>1168.96</v>
      </c>
      <c r="H943" s="1" t="s">
        <v>209</v>
      </c>
      <c r="I943" s="2">
        <v>28522</v>
      </c>
      <c r="J943" s="2">
        <v>45401</v>
      </c>
      <c r="K943" s="1">
        <v>28.15</v>
      </c>
      <c r="L943" s="4">
        <f>G943*K943%</f>
        <v>329.06223999999997</v>
      </c>
      <c r="M943" s="4">
        <f>G943-L943</f>
        <v>839.89776000000006</v>
      </c>
    </row>
    <row r="944" spans="2:13" x14ac:dyDescent="0.3">
      <c r="B944" s="1">
        <v>1407</v>
      </c>
      <c r="C944" s="2">
        <v>45775</v>
      </c>
      <c r="D944" s="1" t="s">
        <v>10</v>
      </c>
      <c r="E944" s="1" t="s">
        <v>44</v>
      </c>
      <c r="F944" s="1" t="s">
        <v>16</v>
      </c>
      <c r="G944" s="1">
        <v>4875.7700000000004</v>
      </c>
      <c r="H944" s="1" t="s">
        <v>25</v>
      </c>
      <c r="I944" s="2">
        <v>33386</v>
      </c>
      <c r="J944" s="2">
        <v>45786</v>
      </c>
      <c r="K944" s="1">
        <v>7.58</v>
      </c>
      <c r="L944" s="4">
        <f>G944*K944%</f>
        <v>369.58336600000007</v>
      </c>
      <c r="M944" s="4">
        <f>G944-L944</f>
        <v>4506.1866340000006</v>
      </c>
    </row>
    <row r="945" spans="2:13" x14ac:dyDescent="0.3">
      <c r="B945" s="1">
        <v>1471</v>
      </c>
      <c r="C945" s="2">
        <v>45744</v>
      </c>
      <c r="D945" s="1" t="s">
        <v>10</v>
      </c>
      <c r="E945" s="1" t="s">
        <v>22</v>
      </c>
      <c r="F945" s="1" t="s">
        <v>19</v>
      </c>
      <c r="G945" s="1">
        <v>2582.08</v>
      </c>
      <c r="H945" s="1" t="s">
        <v>150</v>
      </c>
      <c r="I945" s="2">
        <v>31231</v>
      </c>
      <c r="J945" s="2">
        <v>45752</v>
      </c>
      <c r="K945" s="1">
        <v>38.43</v>
      </c>
      <c r="L945" s="4">
        <f>G945*K945%</f>
        <v>992.29334399999993</v>
      </c>
      <c r="M945" s="4">
        <f>G945-L945</f>
        <v>1589.786656</v>
      </c>
    </row>
    <row r="946" spans="2:13" x14ac:dyDescent="0.3">
      <c r="B946" s="1">
        <v>1302</v>
      </c>
      <c r="C946" s="2">
        <v>44344</v>
      </c>
      <c r="D946" s="1" t="s">
        <v>10</v>
      </c>
      <c r="E946" s="1" t="s">
        <v>73</v>
      </c>
      <c r="F946" s="1" t="s">
        <v>28</v>
      </c>
      <c r="G946" s="1">
        <v>3401.09</v>
      </c>
      <c r="H946" s="1" t="s">
        <v>113</v>
      </c>
      <c r="I946" s="2">
        <v>25579</v>
      </c>
      <c r="J946" s="2">
        <v>44348</v>
      </c>
      <c r="K946" s="1">
        <v>29.35</v>
      </c>
      <c r="L946" s="4">
        <f>G946*K946%</f>
        <v>998.21991500000013</v>
      </c>
      <c r="M946" s="4">
        <f>G946-L946</f>
        <v>2402.870085</v>
      </c>
    </row>
    <row r="947" spans="2:13" x14ac:dyDescent="0.3">
      <c r="B947" s="1">
        <v>1209</v>
      </c>
      <c r="C947" s="2">
        <v>44543</v>
      </c>
      <c r="D947" s="1" t="s">
        <v>10</v>
      </c>
      <c r="E947" s="1" t="s">
        <v>65</v>
      </c>
      <c r="F947" s="1" t="s">
        <v>19</v>
      </c>
      <c r="G947" s="1">
        <v>173.02</v>
      </c>
      <c r="H947" s="1" t="s">
        <v>200</v>
      </c>
      <c r="I947" s="2">
        <v>30222</v>
      </c>
      <c r="J947" s="2">
        <v>44553</v>
      </c>
      <c r="K947" s="1">
        <v>15.94</v>
      </c>
      <c r="L947" s="4">
        <f>G947*K947%</f>
        <v>27.579387999999998</v>
      </c>
      <c r="M947" s="4">
        <f>G947-L947</f>
        <v>145.44061200000002</v>
      </c>
    </row>
    <row r="948" spans="2:13" x14ac:dyDescent="0.3">
      <c r="B948" s="1">
        <v>1546</v>
      </c>
      <c r="C948" s="2">
        <v>45115</v>
      </c>
      <c r="D948" s="1" t="s">
        <v>10</v>
      </c>
      <c r="E948" s="1" t="s">
        <v>65</v>
      </c>
      <c r="F948" s="1" t="s">
        <v>19</v>
      </c>
      <c r="G948" s="1">
        <v>2231.37</v>
      </c>
      <c r="H948" s="1" t="s">
        <v>43</v>
      </c>
      <c r="I948" s="2">
        <v>30054</v>
      </c>
      <c r="J948" s="2">
        <v>45119</v>
      </c>
      <c r="K948" s="1">
        <v>27.76</v>
      </c>
      <c r="L948" s="4">
        <f>G948*K948%</f>
        <v>619.42831200000001</v>
      </c>
      <c r="M948" s="4">
        <f>G948-L948</f>
        <v>1611.9416879999999</v>
      </c>
    </row>
    <row r="949" spans="2:13" x14ac:dyDescent="0.3">
      <c r="B949" s="1">
        <v>1613</v>
      </c>
      <c r="C949" s="2">
        <v>44391</v>
      </c>
      <c r="D949" s="1" t="s">
        <v>10</v>
      </c>
      <c r="E949" s="1" t="s">
        <v>33</v>
      </c>
      <c r="F949" s="1" t="s">
        <v>16</v>
      </c>
      <c r="G949" s="1">
        <v>1981.39</v>
      </c>
      <c r="H949" s="1" t="s">
        <v>45</v>
      </c>
      <c r="I949" s="2">
        <v>34367</v>
      </c>
      <c r="J949" s="2">
        <v>44402</v>
      </c>
      <c r="K949" s="1">
        <v>38.67</v>
      </c>
      <c r="L949" s="4">
        <f>G949*K949%</f>
        <v>766.20351300000016</v>
      </c>
      <c r="M949" s="4">
        <f>G949-L949</f>
        <v>1215.1864869999999</v>
      </c>
    </row>
    <row r="950" spans="2:13" x14ac:dyDescent="0.3">
      <c r="B950" s="1">
        <v>1106</v>
      </c>
      <c r="C950" s="2">
        <v>44176</v>
      </c>
      <c r="D950" s="1" t="s">
        <v>10</v>
      </c>
      <c r="E950" s="1" t="s">
        <v>40</v>
      </c>
      <c r="F950" s="1" t="s">
        <v>16</v>
      </c>
      <c r="G950" s="1">
        <v>2597.9899999999998</v>
      </c>
      <c r="H950" s="1" t="s">
        <v>131</v>
      </c>
      <c r="I950" s="2">
        <v>38087</v>
      </c>
      <c r="J950" s="2">
        <v>44189</v>
      </c>
      <c r="K950" s="1">
        <v>13.57</v>
      </c>
      <c r="L950" s="4">
        <f>G950*K950%</f>
        <v>352.54724300000004</v>
      </c>
      <c r="M950" s="4">
        <f>G950-L950</f>
        <v>2245.4427569999998</v>
      </c>
    </row>
    <row r="951" spans="2:13" x14ac:dyDescent="0.3">
      <c r="B951" s="1">
        <v>1502</v>
      </c>
      <c r="C951" s="2">
        <v>44328</v>
      </c>
      <c r="D951" s="1" t="s">
        <v>10</v>
      </c>
      <c r="E951" s="1" t="s">
        <v>22</v>
      </c>
      <c r="F951" s="1" t="s">
        <v>19</v>
      </c>
      <c r="G951" s="1">
        <v>1825.7</v>
      </c>
      <c r="H951" s="1" t="s">
        <v>284</v>
      </c>
      <c r="I951" s="2">
        <v>34338</v>
      </c>
      <c r="J951" s="2">
        <v>44340</v>
      </c>
      <c r="K951" s="1">
        <v>34.07</v>
      </c>
      <c r="L951" s="4">
        <f>G951*K951%</f>
        <v>622.01598999999999</v>
      </c>
      <c r="M951" s="4">
        <f>G951-L951</f>
        <v>1203.6840099999999</v>
      </c>
    </row>
    <row r="952" spans="2:13" x14ac:dyDescent="0.3">
      <c r="B952" s="1">
        <v>1284</v>
      </c>
      <c r="C952" s="2">
        <v>45082</v>
      </c>
      <c r="D952" s="1" t="s">
        <v>10</v>
      </c>
      <c r="E952" s="1" t="s">
        <v>102</v>
      </c>
      <c r="F952" s="1" t="s">
        <v>12</v>
      </c>
      <c r="G952" s="1">
        <v>3756.55</v>
      </c>
      <c r="H952" s="1" t="s">
        <v>120</v>
      </c>
      <c r="I952" s="2">
        <v>30820</v>
      </c>
      <c r="J952" s="2">
        <v>45088</v>
      </c>
      <c r="K952" s="1">
        <v>23.22</v>
      </c>
      <c r="L952" s="4">
        <f>G952*K952%</f>
        <v>872.27090999999996</v>
      </c>
      <c r="M952" s="4">
        <f>G952-L952</f>
        <v>2884.27909</v>
      </c>
    </row>
    <row r="953" spans="2:13" x14ac:dyDescent="0.3">
      <c r="B953" s="1">
        <v>1909</v>
      </c>
      <c r="C953" s="2">
        <v>44909</v>
      </c>
      <c r="D953" s="1" t="s">
        <v>10</v>
      </c>
      <c r="E953" s="1" t="s">
        <v>24</v>
      </c>
      <c r="F953" s="1" t="s">
        <v>19</v>
      </c>
      <c r="G953" s="1">
        <v>3335.8</v>
      </c>
      <c r="H953" s="1" t="s">
        <v>120</v>
      </c>
      <c r="I953" s="2">
        <v>30820</v>
      </c>
      <c r="J953" s="2">
        <v>44917</v>
      </c>
      <c r="K953" s="1">
        <v>33.119999999999997</v>
      </c>
      <c r="L953" s="4">
        <f>G953*K953%</f>
        <v>1104.8169600000001</v>
      </c>
      <c r="M953" s="4">
        <f>G953-L953</f>
        <v>2230.9830400000001</v>
      </c>
    </row>
    <row r="954" spans="2:13" x14ac:dyDescent="0.3">
      <c r="B954" s="1">
        <v>1026</v>
      </c>
      <c r="C954" s="2">
        <v>44998</v>
      </c>
      <c r="D954" s="1" t="s">
        <v>10</v>
      </c>
      <c r="E954" s="1" t="s">
        <v>44</v>
      </c>
      <c r="F954" s="1" t="s">
        <v>16</v>
      </c>
      <c r="G954" s="1">
        <v>2239.94</v>
      </c>
      <c r="H954" s="1" t="s">
        <v>64</v>
      </c>
      <c r="I954" s="2">
        <v>32375</v>
      </c>
      <c r="J954" s="2">
        <v>45003</v>
      </c>
      <c r="K954" s="1">
        <v>40.1</v>
      </c>
      <c r="L954" s="4">
        <f>G954*K954%</f>
        <v>898.21594000000005</v>
      </c>
      <c r="M954" s="4">
        <f>G954-L954</f>
        <v>1341.72406</v>
      </c>
    </row>
    <row r="955" spans="2:13" x14ac:dyDescent="0.3">
      <c r="B955" s="1">
        <v>1059</v>
      </c>
      <c r="C955" s="2">
        <v>45636</v>
      </c>
      <c r="D955" s="1" t="s">
        <v>10</v>
      </c>
      <c r="E955" s="1" t="s">
        <v>15</v>
      </c>
      <c r="F955" s="1" t="s">
        <v>16</v>
      </c>
      <c r="G955" s="1">
        <v>401.47</v>
      </c>
      <c r="H955" s="1" t="s">
        <v>66</v>
      </c>
      <c r="I955" s="2">
        <v>33192</v>
      </c>
      <c r="J955" s="2">
        <v>45637</v>
      </c>
      <c r="K955" s="1">
        <v>41.19</v>
      </c>
      <c r="L955" s="4">
        <f>G955*K955%</f>
        <v>165.36549300000001</v>
      </c>
      <c r="M955" s="4">
        <f>G955-L955</f>
        <v>236.10450700000001</v>
      </c>
    </row>
    <row r="956" spans="2:13" x14ac:dyDescent="0.3">
      <c r="B956" s="1">
        <v>1438</v>
      </c>
      <c r="C956" s="2">
        <v>45469</v>
      </c>
      <c r="D956" s="1" t="s">
        <v>10</v>
      </c>
      <c r="E956" s="1" t="s">
        <v>24</v>
      </c>
      <c r="F956" s="1" t="s">
        <v>19</v>
      </c>
      <c r="G956" s="1">
        <v>278.02999999999997</v>
      </c>
      <c r="H956" s="1" t="s">
        <v>66</v>
      </c>
      <c r="I956" s="2">
        <v>33192</v>
      </c>
      <c r="J956" s="2">
        <v>45478</v>
      </c>
      <c r="K956" s="1">
        <v>26.87</v>
      </c>
      <c r="L956" s="4">
        <f>G956*K956%</f>
        <v>74.706660999999997</v>
      </c>
      <c r="M956" s="4">
        <f>G956-L956</f>
        <v>203.32333899999998</v>
      </c>
    </row>
    <row r="957" spans="2:13" x14ac:dyDescent="0.3">
      <c r="B957" s="1">
        <v>1357</v>
      </c>
      <c r="C957" s="2">
        <v>44525</v>
      </c>
      <c r="D957" s="1" t="s">
        <v>10</v>
      </c>
      <c r="E957" s="1" t="s">
        <v>15</v>
      </c>
      <c r="F957" s="1" t="s">
        <v>16</v>
      </c>
      <c r="G957" s="1">
        <v>3300.32</v>
      </c>
      <c r="H957" s="1" t="s">
        <v>54</v>
      </c>
      <c r="I957" s="2">
        <v>31082</v>
      </c>
      <c r="J957" s="2">
        <v>44534</v>
      </c>
      <c r="K957" s="1">
        <v>29.45</v>
      </c>
      <c r="L957" s="4">
        <f>G957*K957%</f>
        <v>971.94424000000004</v>
      </c>
      <c r="M957" s="4">
        <f>G957-L957</f>
        <v>2328.3757599999999</v>
      </c>
    </row>
    <row r="958" spans="2:13" x14ac:dyDescent="0.3">
      <c r="B958" s="1">
        <v>1213</v>
      </c>
      <c r="C958" s="2">
        <v>44481</v>
      </c>
      <c r="D958" s="1" t="s">
        <v>10</v>
      </c>
      <c r="E958" s="1" t="s">
        <v>69</v>
      </c>
      <c r="F958" s="1" t="s">
        <v>31</v>
      </c>
      <c r="G958" s="1">
        <v>2889.24</v>
      </c>
      <c r="H958" s="1" t="s">
        <v>13</v>
      </c>
      <c r="I958" s="2">
        <v>24348</v>
      </c>
      <c r="J958" s="2">
        <v>44488</v>
      </c>
      <c r="K958" s="1">
        <v>28.37</v>
      </c>
      <c r="L958" s="4">
        <f>G958*K958%</f>
        <v>819.67738799999995</v>
      </c>
      <c r="M958" s="4">
        <f>G958-L958</f>
        <v>2069.5626119999997</v>
      </c>
    </row>
    <row r="959" spans="2:13" x14ac:dyDescent="0.3">
      <c r="B959" s="1">
        <v>1000</v>
      </c>
      <c r="C959" s="2">
        <v>44474</v>
      </c>
      <c r="D959" s="1" t="s">
        <v>10</v>
      </c>
      <c r="E959" s="1" t="s">
        <v>11</v>
      </c>
      <c r="F959" s="1" t="s">
        <v>12</v>
      </c>
      <c r="G959" s="1">
        <v>631.19000000000005</v>
      </c>
      <c r="H959" s="1" t="s">
        <v>13</v>
      </c>
      <c r="I959" s="2">
        <v>24348</v>
      </c>
      <c r="J959" s="2">
        <v>44481</v>
      </c>
      <c r="K959" s="1">
        <v>23.27</v>
      </c>
      <c r="L959" s="4">
        <f>G959*K959%</f>
        <v>146.87791300000001</v>
      </c>
      <c r="M959" s="4">
        <f>G959-L959</f>
        <v>484.31208700000002</v>
      </c>
    </row>
    <row r="960" spans="2:13" x14ac:dyDescent="0.3">
      <c r="B960" s="1">
        <v>1726</v>
      </c>
      <c r="C960" s="2">
        <v>45492</v>
      </c>
      <c r="D960" s="1" t="s">
        <v>10</v>
      </c>
      <c r="E960" s="1" t="s">
        <v>58</v>
      </c>
      <c r="F960" s="1" t="s">
        <v>31</v>
      </c>
      <c r="G960" s="1">
        <v>154.96</v>
      </c>
      <c r="H960" s="1" t="s">
        <v>13</v>
      </c>
      <c r="I960" s="2">
        <v>24348</v>
      </c>
      <c r="J960" s="2">
        <v>45495</v>
      </c>
      <c r="K960" s="1">
        <v>21.2</v>
      </c>
      <c r="L960" s="4">
        <f>G960*K960%</f>
        <v>32.851520000000001</v>
      </c>
      <c r="M960" s="4">
        <f>G960-L960</f>
        <v>122.10848000000001</v>
      </c>
    </row>
    <row r="961" spans="2:13" x14ac:dyDescent="0.3">
      <c r="B961" s="1">
        <v>1017</v>
      </c>
      <c r="C961" s="2">
        <v>45057</v>
      </c>
      <c r="D961" s="1" t="s">
        <v>10</v>
      </c>
      <c r="E961" s="1" t="s">
        <v>27</v>
      </c>
      <c r="F961" s="1" t="s">
        <v>28</v>
      </c>
      <c r="G961" s="1">
        <v>300.31</v>
      </c>
      <c r="H961" s="1" t="s">
        <v>51</v>
      </c>
      <c r="I961" s="2">
        <v>30183</v>
      </c>
      <c r="J961" s="2">
        <v>45069</v>
      </c>
      <c r="K961" s="1">
        <v>23.72</v>
      </c>
      <c r="L961" s="4">
        <f>G961*K961%</f>
        <v>71.233531999999997</v>
      </c>
      <c r="M961" s="4">
        <f>G961-L961</f>
        <v>229.07646800000001</v>
      </c>
    </row>
    <row r="962" spans="2:13" x14ac:dyDescent="0.3">
      <c r="B962" s="1">
        <v>1724</v>
      </c>
      <c r="C962" s="2">
        <v>44535</v>
      </c>
      <c r="D962" s="1" t="s">
        <v>10</v>
      </c>
      <c r="E962" s="1" t="s">
        <v>69</v>
      </c>
      <c r="F962" s="1" t="s">
        <v>31</v>
      </c>
      <c r="G962" s="1">
        <v>3256.95</v>
      </c>
      <c r="H962" s="1" t="s">
        <v>83</v>
      </c>
      <c r="I962" s="2">
        <v>24673</v>
      </c>
      <c r="J962" s="2">
        <v>44546</v>
      </c>
      <c r="K962" s="1">
        <v>10.63</v>
      </c>
      <c r="L962" s="4">
        <f>G962*K962%</f>
        <v>346.21378499999997</v>
      </c>
      <c r="M962" s="4">
        <f>G962-L962</f>
        <v>2910.7362149999999</v>
      </c>
    </row>
    <row r="963" spans="2:13" x14ac:dyDescent="0.3">
      <c r="B963" s="1">
        <v>1882</v>
      </c>
      <c r="C963" s="2">
        <v>44507</v>
      </c>
      <c r="D963" s="1" t="s">
        <v>10</v>
      </c>
      <c r="E963" s="1" t="s">
        <v>30</v>
      </c>
      <c r="F963" s="1" t="s">
        <v>31</v>
      </c>
      <c r="G963" s="1">
        <v>1293.52</v>
      </c>
      <c r="H963" s="1" t="s">
        <v>227</v>
      </c>
      <c r="I963" s="2">
        <v>34932</v>
      </c>
      <c r="J963" s="2">
        <v>44508</v>
      </c>
      <c r="K963" s="1">
        <v>14.31</v>
      </c>
      <c r="L963" s="4">
        <f>G963*K963%</f>
        <v>185.102712</v>
      </c>
      <c r="M963" s="4">
        <f>G963-L963</f>
        <v>1108.4172880000001</v>
      </c>
    </row>
    <row r="964" spans="2:13" x14ac:dyDescent="0.3">
      <c r="B964" s="1">
        <v>1138</v>
      </c>
      <c r="C964" s="2">
        <v>44765</v>
      </c>
      <c r="D964" s="1" t="s">
        <v>10</v>
      </c>
      <c r="E964" s="1" t="s">
        <v>27</v>
      </c>
      <c r="F964" s="1" t="s">
        <v>28</v>
      </c>
      <c r="G964" s="1">
        <v>4691.68</v>
      </c>
      <c r="H964" s="1" t="s">
        <v>156</v>
      </c>
      <c r="I964" s="2">
        <v>38693</v>
      </c>
      <c r="J964" s="2">
        <v>44777</v>
      </c>
      <c r="K964" s="1">
        <v>24.19</v>
      </c>
      <c r="L964" s="4">
        <f>G964*K964%</f>
        <v>1134.9173920000001</v>
      </c>
      <c r="M964" s="4">
        <f>G964-L964</f>
        <v>3556.762608</v>
      </c>
    </row>
    <row r="965" spans="2:13" x14ac:dyDescent="0.3">
      <c r="B965" s="1">
        <v>1474</v>
      </c>
      <c r="C965" s="2">
        <v>45823</v>
      </c>
      <c r="D965" s="1" t="s">
        <v>10</v>
      </c>
      <c r="E965" s="1" t="s">
        <v>22</v>
      </c>
      <c r="F965" s="1" t="s">
        <v>19</v>
      </c>
      <c r="G965" s="1">
        <v>366.94</v>
      </c>
      <c r="H965" s="1" t="s">
        <v>191</v>
      </c>
      <c r="I965" s="2">
        <v>37495</v>
      </c>
      <c r="J965" s="2">
        <v>45829</v>
      </c>
      <c r="K965" s="1">
        <v>48.35</v>
      </c>
      <c r="L965" s="4">
        <f>G965*K965%</f>
        <v>177.41549000000001</v>
      </c>
      <c r="M965" s="4">
        <f>G965-L965</f>
        <v>189.52450999999999</v>
      </c>
    </row>
    <row r="966" spans="2:13" x14ac:dyDescent="0.3">
      <c r="B966" s="1">
        <v>1246</v>
      </c>
      <c r="C966" s="2">
        <v>44489</v>
      </c>
      <c r="D966" s="1" t="s">
        <v>10</v>
      </c>
      <c r="E966" s="1" t="s">
        <v>88</v>
      </c>
      <c r="F966" s="1" t="s">
        <v>16</v>
      </c>
      <c r="G966" s="1">
        <v>4390.6000000000004</v>
      </c>
      <c r="H966" s="1" t="s">
        <v>144</v>
      </c>
      <c r="I966" s="2">
        <v>34571</v>
      </c>
      <c r="J966" s="2">
        <v>44491</v>
      </c>
      <c r="K966" s="1">
        <v>15.44</v>
      </c>
      <c r="L966" s="4">
        <f>G966*K966%</f>
        <v>677.90863999999999</v>
      </c>
      <c r="M966" s="4">
        <f>G966-L966</f>
        <v>3712.6913600000003</v>
      </c>
    </row>
    <row r="967" spans="2:13" x14ac:dyDescent="0.3">
      <c r="B967" s="1">
        <v>1850</v>
      </c>
      <c r="C967" s="2">
        <v>44377</v>
      </c>
      <c r="D967" s="1" t="s">
        <v>10</v>
      </c>
      <c r="E967" s="1" t="s">
        <v>58</v>
      </c>
      <c r="F967" s="1" t="s">
        <v>31</v>
      </c>
      <c r="G967" s="1">
        <v>2546.6</v>
      </c>
      <c r="H967" s="1" t="s">
        <v>79</v>
      </c>
      <c r="I967" s="2">
        <v>28675</v>
      </c>
      <c r="J967" s="2">
        <v>44389</v>
      </c>
      <c r="K967" s="1">
        <v>20</v>
      </c>
      <c r="L967" s="4">
        <f>G967*K967%</f>
        <v>509.32</v>
      </c>
      <c r="M967" s="4">
        <f>G967-L967</f>
        <v>2037.28</v>
      </c>
    </row>
    <row r="968" spans="2:13" x14ac:dyDescent="0.3">
      <c r="B968" s="1">
        <v>1127</v>
      </c>
      <c r="C968" s="2">
        <v>45488</v>
      </c>
      <c r="D968" s="1" t="s">
        <v>10</v>
      </c>
      <c r="E968" s="1" t="s">
        <v>30</v>
      </c>
      <c r="F968" s="1" t="s">
        <v>31</v>
      </c>
      <c r="G968" s="1">
        <v>1990.67</v>
      </c>
      <c r="H968" s="1" t="s">
        <v>148</v>
      </c>
      <c r="I968" s="2">
        <v>22007</v>
      </c>
      <c r="J968" s="2">
        <v>45495</v>
      </c>
      <c r="K968" s="1">
        <v>1.56</v>
      </c>
      <c r="L968" s="4">
        <f>G968*K968%</f>
        <v>31.054452000000005</v>
      </c>
      <c r="M968" s="4">
        <f>G968-L968</f>
        <v>1959.615548</v>
      </c>
    </row>
    <row r="969" spans="2:13" x14ac:dyDescent="0.3">
      <c r="B969" s="1">
        <v>1912</v>
      </c>
      <c r="C969" s="2">
        <v>44738</v>
      </c>
      <c r="D969" s="1" t="s">
        <v>10</v>
      </c>
      <c r="E969" s="1" t="s">
        <v>24</v>
      </c>
      <c r="F969" s="1" t="s">
        <v>19</v>
      </c>
      <c r="G969" s="1">
        <v>708.62</v>
      </c>
      <c r="H969" s="1" t="s">
        <v>148</v>
      </c>
      <c r="I969" s="2">
        <v>22007</v>
      </c>
      <c r="J969" s="2">
        <v>44747</v>
      </c>
      <c r="K969" s="1">
        <v>26.71</v>
      </c>
      <c r="L969" s="4">
        <f>G969*K969%</f>
        <v>189.272402</v>
      </c>
      <c r="M969" s="4">
        <f>G969-L969</f>
        <v>519.34759800000006</v>
      </c>
    </row>
    <row r="970" spans="2:13" x14ac:dyDescent="0.3">
      <c r="B970" s="1">
        <v>1030</v>
      </c>
      <c r="C970" s="2">
        <v>44911</v>
      </c>
      <c r="D970" s="1" t="s">
        <v>10</v>
      </c>
      <c r="E970" s="1" t="s">
        <v>69</v>
      </c>
      <c r="F970" s="1" t="s">
        <v>12</v>
      </c>
      <c r="G970" s="1">
        <v>4976.51</v>
      </c>
      <c r="H970" s="1" t="s">
        <v>70</v>
      </c>
      <c r="I970" s="2">
        <v>30887</v>
      </c>
      <c r="J970" s="2">
        <v>44925</v>
      </c>
      <c r="K970" s="1">
        <v>36.06</v>
      </c>
      <c r="L970" s="4">
        <f>G970*K970%</f>
        <v>1794.5295060000003</v>
      </c>
      <c r="M970" s="4">
        <f>G970-L970</f>
        <v>3181.9804939999999</v>
      </c>
    </row>
    <row r="971" spans="2:13" x14ac:dyDescent="0.3">
      <c r="B971" s="1">
        <v>1807</v>
      </c>
      <c r="C971" s="2">
        <v>45319</v>
      </c>
      <c r="D971" s="1" t="s">
        <v>10</v>
      </c>
      <c r="E971" s="1" t="s">
        <v>88</v>
      </c>
      <c r="F971" s="1" t="s">
        <v>16</v>
      </c>
      <c r="G971" s="1">
        <v>129.44999999999999</v>
      </c>
      <c r="H971" s="1" t="s">
        <v>70</v>
      </c>
      <c r="I971" s="2">
        <v>30887</v>
      </c>
      <c r="J971" s="2">
        <v>45323</v>
      </c>
      <c r="K971" s="1">
        <v>11.55</v>
      </c>
      <c r="L971" s="4">
        <f>G971*K971%</f>
        <v>14.951474999999999</v>
      </c>
      <c r="M971" s="4">
        <f>G971-L971</f>
        <v>114.49852499999999</v>
      </c>
    </row>
    <row r="972" spans="2:13" x14ac:dyDescent="0.3">
      <c r="B972" s="1">
        <v>1400</v>
      </c>
      <c r="C972" s="2">
        <v>44865</v>
      </c>
      <c r="D972" s="1" t="s">
        <v>10</v>
      </c>
      <c r="E972" s="1" t="s">
        <v>88</v>
      </c>
      <c r="F972" s="1" t="s">
        <v>16</v>
      </c>
      <c r="G972" s="1">
        <v>3393.17</v>
      </c>
      <c r="H972" s="1" t="s">
        <v>258</v>
      </c>
      <c r="I972" s="2">
        <v>37946</v>
      </c>
      <c r="J972" s="2">
        <v>44873</v>
      </c>
      <c r="K972" s="1">
        <v>49.78</v>
      </c>
      <c r="L972" s="4">
        <f>G972*K972%</f>
        <v>1689.1200260000001</v>
      </c>
      <c r="M972" s="4">
        <f>G972-L972</f>
        <v>1704.049974</v>
      </c>
    </row>
    <row r="973" spans="2:13" x14ac:dyDescent="0.3">
      <c r="B973" s="1">
        <v>1577</v>
      </c>
      <c r="C973" s="2">
        <v>44397</v>
      </c>
      <c r="D973" s="1" t="s">
        <v>10</v>
      </c>
      <c r="E973" s="1" t="s">
        <v>65</v>
      </c>
      <c r="F973" s="1" t="s">
        <v>19</v>
      </c>
      <c r="G973" s="1">
        <v>2793.83</v>
      </c>
      <c r="H973" s="1" t="s">
        <v>215</v>
      </c>
      <c r="I973" s="2">
        <v>31386</v>
      </c>
      <c r="J973" s="2">
        <v>44407</v>
      </c>
      <c r="K973" s="1">
        <v>41.17</v>
      </c>
      <c r="L973" s="4">
        <f>G973*K973%</f>
        <v>1150.2198109999999</v>
      </c>
      <c r="M973" s="4">
        <f>G973-L973</f>
        <v>1643.610189</v>
      </c>
    </row>
    <row r="974" spans="2:13" x14ac:dyDescent="0.3">
      <c r="B974" s="1">
        <v>1316</v>
      </c>
      <c r="C974" s="2">
        <v>44804</v>
      </c>
      <c r="D974" s="1" t="s">
        <v>10</v>
      </c>
      <c r="E974" s="1" t="s">
        <v>88</v>
      </c>
      <c r="F974" s="1" t="s">
        <v>16</v>
      </c>
      <c r="G974" s="1">
        <v>130.38</v>
      </c>
      <c r="H974" s="1" t="s">
        <v>215</v>
      </c>
      <c r="I974" s="2">
        <v>31386</v>
      </c>
      <c r="J974" s="2">
        <v>44814</v>
      </c>
      <c r="K974" s="1">
        <v>23.3</v>
      </c>
      <c r="L974" s="4">
        <f>G974*K974%</f>
        <v>30.378540000000001</v>
      </c>
      <c r="M974" s="4">
        <f>G974-L974</f>
        <v>100.00145999999999</v>
      </c>
    </row>
    <row r="975" spans="2:13" x14ac:dyDescent="0.3">
      <c r="B975" s="1">
        <v>1404</v>
      </c>
      <c r="C975" s="2">
        <v>44971</v>
      </c>
      <c r="D975" s="1" t="s">
        <v>10</v>
      </c>
      <c r="E975" s="1" t="s">
        <v>11</v>
      </c>
      <c r="F975" s="1" t="s">
        <v>12</v>
      </c>
      <c r="G975" s="1">
        <v>4251.04</v>
      </c>
      <c r="H975" s="1" t="s">
        <v>122</v>
      </c>
      <c r="I975" s="2">
        <v>29720</v>
      </c>
      <c r="J975" s="2">
        <v>44977</v>
      </c>
      <c r="K975" s="1">
        <v>32.68</v>
      </c>
      <c r="L975" s="4">
        <f>G975*K975%</f>
        <v>1389.2398719999999</v>
      </c>
      <c r="M975" s="4">
        <f>G975-L975</f>
        <v>2861.8001279999999</v>
      </c>
    </row>
    <row r="976" spans="2:13" x14ac:dyDescent="0.3">
      <c r="B976" s="1">
        <v>1292</v>
      </c>
      <c r="C976" s="2">
        <v>45799</v>
      </c>
      <c r="D976" s="1" t="s">
        <v>10</v>
      </c>
      <c r="E976" s="1" t="s">
        <v>69</v>
      </c>
      <c r="F976" s="1" t="s">
        <v>12</v>
      </c>
      <c r="G976" s="1">
        <v>1365.32</v>
      </c>
      <c r="H976" s="1" t="s">
        <v>217</v>
      </c>
      <c r="I976" s="2">
        <v>36951</v>
      </c>
      <c r="J976" s="2">
        <v>45803</v>
      </c>
      <c r="K976" s="1">
        <v>19.55</v>
      </c>
      <c r="L976" s="4">
        <f>G976*K976%</f>
        <v>266.92005999999998</v>
      </c>
      <c r="M976" s="4">
        <f>G976-L976</f>
        <v>1098.39994</v>
      </c>
    </row>
    <row r="977" spans="2:13" x14ac:dyDescent="0.3">
      <c r="B977" s="1">
        <v>1788</v>
      </c>
      <c r="C977" s="2">
        <v>44890</v>
      </c>
      <c r="D977" s="1" t="s">
        <v>10</v>
      </c>
      <c r="E977" s="1" t="s">
        <v>36</v>
      </c>
      <c r="F977" s="1" t="s">
        <v>28</v>
      </c>
      <c r="G977" s="1">
        <v>3882.31</v>
      </c>
      <c r="H977" s="1" t="s">
        <v>149</v>
      </c>
      <c r="I977" s="2">
        <v>26155</v>
      </c>
      <c r="J977" s="2">
        <v>44891</v>
      </c>
      <c r="K977" s="1">
        <v>17.09</v>
      </c>
      <c r="L977" s="4">
        <f>G977*K977%</f>
        <v>663.48677899999996</v>
      </c>
      <c r="M977" s="4">
        <f>G977-L977</f>
        <v>3218.8232210000001</v>
      </c>
    </row>
    <row r="978" spans="2:13" x14ac:dyDescent="0.3">
      <c r="B978" s="1">
        <v>1763</v>
      </c>
      <c r="C978" s="2">
        <v>44063</v>
      </c>
      <c r="D978" s="1" t="s">
        <v>10</v>
      </c>
      <c r="E978" s="1" t="s">
        <v>71</v>
      </c>
      <c r="F978" s="1" t="s">
        <v>31</v>
      </c>
      <c r="G978" s="1">
        <v>965.67</v>
      </c>
      <c r="H978" s="1" t="s">
        <v>230</v>
      </c>
      <c r="I978" s="2">
        <v>35642</v>
      </c>
      <c r="J978" s="2">
        <v>44071</v>
      </c>
      <c r="K978" s="1">
        <v>13.52</v>
      </c>
      <c r="L978" s="4">
        <f>G978*K978%</f>
        <v>130.55858399999997</v>
      </c>
      <c r="M978" s="4">
        <f>G978-L978</f>
        <v>835.11141599999996</v>
      </c>
    </row>
    <row r="979" spans="2:13" x14ac:dyDescent="0.3">
      <c r="B979" s="1">
        <v>1801</v>
      </c>
      <c r="C979" s="2">
        <v>45314</v>
      </c>
      <c r="D979" s="1" t="s">
        <v>10</v>
      </c>
      <c r="E979" s="1" t="s">
        <v>53</v>
      </c>
      <c r="F979" s="1" t="s">
        <v>28</v>
      </c>
      <c r="G979" s="1">
        <v>3379.46</v>
      </c>
      <c r="H979" s="1" t="s">
        <v>322</v>
      </c>
      <c r="I979" s="2">
        <v>36924</v>
      </c>
      <c r="J979" s="2">
        <v>45325</v>
      </c>
      <c r="K979" s="1">
        <v>7.14</v>
      </c>
      <c r="L979" s="4">
        <f>G979*K979%</f>
        <v>241.29344399999997</v>
      </c>
      <c r="M979" s="4">
        <f>G979-L979</f>
        <v>3138.1665560000001</v>
      </c>
    </row>
    <row r="980" spans="2:13" x14ac:dyDescent="0.3">
      <c r="B980" s="1">
        <v>1506</v>
      </c>
      <c r="C980" s="2">
        <v>44372</v>
      </c>
      <c r="D980" s="1" t="s">
        <v>10</v>
      </c>
      <c r="E980" s="1" t="s">
        <v>18</v>
      </c>
      <c r="F980" s="1" t="s">
        <v>19</v>
      </c>
      <c r="G980" s="1">
        <v>4408.54</v>
      </c>
      <c r="H980" s="1" t="s">
        <v>208</v>
      </c>
      <c r="I980" s="2">
        <v>32188</v>
      </c>
      <c r="J980" s="2">
        <v>44382</v>
      </c>
      <c r="K980" s="1">
        <v>12.47</v>
      </c>
      <c r="L980" s="4">
        <f>G980*K980%</f>
        <v>549.74493800000005</v>
      </c>
      <c r="M980" s="4">
        <f>G980-L980</f>
        <v>3858.7950620000001</v>
      </c>
    </row>
    <row r="981" spans="2:13" x14ac:dyDescent="0.3">
      <c r="B981" s="1">
        <v>1034</v>
      </c>
      <c r="C981" s="2">
        <v>45016</v>
      </c>
      <c r="D981" s="1" t="s">
        <v>10</v>
      </c>
      <c r="E981" s="1" t="s">
        <v>47</v>
      </c>
      <c r="F981" s="1" t="s">
        <v>12</v>
      </c>
      <c r="G981" s="1">
        <v>3598.89</v>
      </c>
      <c r="H981" s="1" t="s">
        <v>75</v>
      </c>
      <c r="I981" s="2">
        <v>25853</v>
      </c>
      <c r="J981" s="2">
        <v>45026</v>
      </c>
      <c r="K981" s="1">
        <v>2.8</v>
      </c>
      <c r="L981" s="4">
        <f>G981*K981%</f>
        <v>100.76891999999998</v>
      </c>
      <c r="M981" s="4">
        <f>G981-L981</f>
        <v>3498.1210799999999</v>
      </c>
    </row>
    <row r="982" spans="2:13" x14ac:dyDescent="0.3">
      <c r="B982" s="1">
        <v>1151</v>
      </c>
      <c r="C982" s="2">
        <v>44914</v>
      </c>
      <c r="D982" s="1" t="s">
        <v>10</v>
      </c>
      <c r="E982" s="1" t="s">
        <v>65</v>
      </c>
      <c r="F982" s="1" t="s">
        <v>19</v>
      </c>
      <c r="G982" s="1">
        <v>2012.94</v>
      </c>
      <c r="H982" s="1" t="s">
        <v>165</v>
      </c>
      <c r="I982" s="2">
        <v>29887</v>
      </c>
      <c r="J982" s="2">
        <v>44915</v>
      </c>
      <c r="K982" s="1">
        <v>44.45</v>
      </c>
      <c r="L982" s="4">
        <f>G982*K982%</f>
        <v>894.75183000000004</v>
      </c>
      <c r="M982" s="4">
        <f>G982-L982</f>
        <v>1118.1881699999999</v>
      </c>
    </row>
    <row r="983" spans="2:13" x14ac:dyDescent="0.3">
      <c r="B983" s="1">
        <v>1914</v>
      </c>
      <c r="C983" s="2">
        <v>44398</v>
      </c>
      <c r="D983" s="1" t="s">
        <v>10</v>
      </c>
      <c r="E983" s="1" t="s">
        <v>102</v>
      </c>
      <c r="F983" s="1" t="s">
        <v>12</v>
      </c>
      <c r="G983" s="1">
        <v>4270.34</v>
      </c>
      <c r="H983" s="1" t="s">
        <v>238</v>
      </c>
      <c r="I983" s="2">
        <v>31880</v>
      </c>
      <c r="J983" s="2">
        <v>44410</v>
      </c>
      <c r="K983" s="1">
        <v>8.23</v>
      </c>
      <c r="L983" s="4">
        <f>G983*K983%</f>
        <v>351.448982</v>
      </c>
      <c r="M983" s="4">
        <f>G983-L983</f>
        <v>3918.8910180000003</v>
      </c>
    </row>
    <row r="984" spans="2:13" x14ac:dyDescent="0.3">
      <c r="B984" s="1">
        <v>1548</v>
      </c>
      <c r="C984" s="2">
        <v>45135</v>
      </c>
      <c r="D984" s="1" t="s">
        <v>10</v>
      </c>
      <c r="E984" s="1" t="s">
        <v>47</v>
      </c>
      <c r="F984" s="1" t="s">
        <v>12</v>
      </c>
      <c r="G984" s="1">
        <v>2867.29</v>
      </c>
      <c r="H984" s="1" t="s">
        <v>238</v>
      </c>
      <c r="I984" s="2">
        <v>31880</v>
      </c>
      <c r="J984" s="2">
        <v>45144</v>
      </c>
      <c r="K984" s="1">
        <v>27.85</v>
      </c>
      <c r="L984" s="4">
        <f>G984*K984%</f>
        <v>798.54026500000009</v>
      </c>
      <c r="M984" s="4">
        <f>G984-L984</f>
        <v>2068.7497349999999</v>
      </c>
    </row>
    <row r="985" spans="2:13" x14ac:dyDescent="0.3">
      <c r="B985" s="1">
        <v>1348</v>
      </c>
      <c r="C985" s="2">
        <v>45264</v>
      </c>
      <c r="D985" s="1" t="s">
        <v>10</v>
      </c>
      <c r="E985" s="1" t="s">
        <v>55</v>
      </c>
      <c r="F985" s="1" t="s">
        <v>31</v>
      </c>
      <c r="G985" s="1">
        <v>2795.27</v>
      </c>
      <c r="H985" s="1" t="s">
        <v>238</v>
      </c>
      <c r="I985" s="2">
        <v>31880</v>
      </c>
      <c r="J985" s="2">
        <v>45278</v>
      </c>
      <c r="K985" s="1">
        <v>43.19</v>
      </c>
      <c r="L985" s="4">
        <f>G985*K985%</f>
        <v>1207.2771129999999</v>
      </c>
      <c r="M985" s="4">
        <f>G985-L985</f>
        <v>1587.9928870000001</v>
      </c>
    </row>
    <row r="986" spans="2:13" x14ac:dyDescent="0.3">
      <c r="B986" s="1">
        <v>1311</v>
      </c>
      <c r="C986" s="2">
        <v>45832</v>
      </c>
      <c r="D986" s="1" t="s">
        <v>10</v>
      </c>
      <c r="E986" s="1" t="s">
        <v>36</v>
      </c>
      <c r="F986" s="1" t="s">
        <v>28</v>
      </c>
      <c r="G986" s="1">
        <v>1078.81</v>
      </c>
      <c r="H986" s="1" t="s">
        <v>238</v>
      </c>
      <c r="I986" s="2">
        <v>31880</v>
      </c>
      <c r="J986" s="2">
        <v>45840</v>
      </c>
      <c r="K986" s="1">
        <v>28.29</v>
      </c>
      <c r="L986" s="4">
        <f>G986*K986%</f>
        <v>305.19534899999996</v>
      </c>
      <c r="M986" s="4">
        <f>G986-L986</f>
        <v>773.61465099999998</v>
      </c>
    </row>
    <row r="987" spans="2:13" x14ac:dyDescent="0.3">
      <c r="B987" s="1">
        <v>1040</v>
      </c>
      <c r="C987" s="2">
        <v>45056</v>
      </c>
      <c r="D987" s="1" t="s">
        <v>10</v>
      </c>
      <c r="E987" s="1" t="s">
        <v>24</v>
      </c>
      <c r="F987" s="1" t="s">
        <v>19</v>
      </c>
      <c r="G987" s="1">
        <v>2421.06</v>
      </c>
      <c r="H987" s="1" t="s">
        <v>81</v>
      </c>
      <c r="I987" s="2">
        <v>38350</v>
      </c>
      <c r="J987" s="2">
        <v>45069</v>
      </c>
      <c r="K987" s="1">
        <v>41.86</v>
      </c>
      <c r="L987" s="4">
        <f>G987*K987%</f>
        <v>1013.4557159999999</v>
      </c>
      <c r="M987" s="4">
        <f>G987-L987</f>
        <v>1407.604284</v>
      </c>
    </row>
    <row r="988" spans="2:13" x14ac:dyDescent="0.3">
      <c r="B988" s="1">
        <v>1015</v>
      </c>
      <c r="C988" s="2">
        <v>45567</v>
      </c>
      <c r="D988" s="1" t="s">
        <v>10</v>
      </c>
      <c r="E988" s="1" t="s">
        <v>47</v>
      </c>
      <c r="F988" s="1" t="s">
        <v>12</v>
      </c>
      <c r="G988" s="1">
        <v>1994.4</v>
      </c>
      <c r="H988" s="1" t="s">
        <v>48</v>
      </c>
      <c r="I988" s="2">
        <v>22315</v>
      </c>
      <c r="J988" s="2">
        <v>45572</v>
      </c>
      <c r="K988" s="1">
        <v>14.86</v>
      </c>
      <c r="L988" s="4">
        <f>G988*K988%</f>
        <v>296.36784</v>
      </c>
      <c r="M988" s="4">
        <f>G988-L988</f>
        <v>1698.0321600000002</v>
      </c>
    </row>
    <row r="989" spans="2:13" x14ac:dyDescent="0.3">
      <c r="B989" s="1">
        <v>1190</v>
      </c>
      <c r="C989" s="2">
        <v>44120</v>
      </c>
      <c r="D989" s="1" t="s">
        <v>10</v>
      </c>
      <c r="E989" s="1" t="s">
        <v>15</v>
      </c>
      <c r="F989" s="1" t="s">
        <v>16</v>
      </c>
      <c r="G989" s="1">
        <v>4441.87</v>
      </c>
      <c r="H989" s="1" t="s">
        <v>184</v>
      </c>
      <c r="I989" s="2">
        <v>29547</v>
      </c>
      <c r="J989" s="2">
        <v>44123</v>
      </c>
      <c r="K989" s="1">
        <v>1.02</v>
      </c>
      <c r="L989" s="4">
        <f>G989*K989%</f>
        <v>45.307074</v>
      </c>
      <c r="M989" s="4">
        <f>G989-L989</f>
        <v>4396.5629259999996</v>
      </c>
    </row>
    <row r="990" spans="2:13" x14ac:dyDescent="0.3">
      <c r="B990" s="1">
        <v>1109</v>
      </c>
      <c r="C990" s="2">
        <v>44456</v>
      </c>
      <c r="D990" s="1" t="s">
        <v>10</v>
      </c>
      <c r="E990" s="1" t="s">
        <v>36</v>
      </c>
      <c r="F990" s="1" t="s">
        <v>28</v>
      </c>
      <c r="G990" s="1">
        <v>4143.1899999999996</v>
      </c>
      <c r="H990" s="1" t="s">
        <v>133</v>
      </c>
      <c r="I990" s="2">
        <v>23264</v>
      </c>
      <c r="J990" s="2">
        <v>44468</v>
      </c>
      <c r="K990" s="1">
        <v>10.54</v>
      </c>
      <c r="L990" s="4">
        <f>G990*K990%</f>
        <v>436.69222599999995</v>
      </c>
      <c r="M990" s="4">
        <f>G990-L990</f>
        <v>3706.4977739999995</v>
      </c>
    </row>
    <row r="991" spans="2:13" x14ac:dyDescent="0.3">
      <c r="B991" s="1">
        <v>1499</v>
      </c>
      <c r="C991" s="2">
        <v>44540</v>
      </c>
      <c r="D991" s="1" t="s">
        <v>10</v>
      </c>
      <c r="E991" s="1" t="s">
        <v>44</v>
      </c>
      <c r="F991" s="1" t="s">
        <v>16</v>
      </c>
      <c r="G991" s="1">
        <v>2393.89</v>
      </c>
      <c r="H991" s="1" t="s">
        <v>283</v>
      </c>
      <c r="I991" s="2">
        <v>30117</v>
      </c>
      <c r="J991" s="2">
        <v>44551</v>
      </c>
      <c r="K991" s="1">
        <v>10.87</v>
      </c>
      <c r="L991" s="4">
        <f>G991*K991%</f>
        <v>260.21584299999995</v>
      </c>
      <c r="M991" s="4">
        <f>G991-L991</f>
        <v>2133.6741569999999</v>
      </c>
    </row>
    <row r="992" spans="2:13" x14ac:dyDescent="0.3">
      <c r="B992" s="1">
        <v>1275</v>
      </c>
      <c r="C992" s="2">
        <v>45724</v>
      </c>
      <c r="D992" s="1" t="s">
        <v>10</v>
      </c>
      <c r="E992" s="1" t="s">
        <v>49</v>
      </c>
      <c r="F992" s="1" t="s">
        <v>12</v>
      </c>
      <c r="G992" s="1">
        <v>2674.72</v>
      </c>
      <c r="H992" s="1" t="s">
        <v>90</v>
      </c>
      <c r="I992" s="2">
        <v>29348</v>
      </c>
      <c r="J992" s="2">
        <v>45730</v>
      </c>
      <c r="K992" s="1">
        <v>41</v>
      </c>
      <c r="L992" s="4">
        <f>G992*K992%</f>
        <v>1096.6351999999999</v>
      </c>
      <c r="M992" s="4">
        <f>G992-L992</f>
        <v>1578.0847999999999</v>
      </c>
    </row>
    <row r="993" spans="2:13" x14ac:dyDescent="0.3">
      <c r="B993" s="1">
        <v>1006</v>
      </c>
      <c r="C993" s="2">
        <v>45582</v>
      </c>
      <c r="D993" s="1" t="s">
        <v>10</v>
      </c>
      <c r="E993" s="1" t="s">
        <v>30</v>
      </c>
      <c r="F993" s="1" t="s">
        <v>31</v>
      </c>
      <c r="G993" s="1">
        <v>1661.65</v>
      </c>
      <c r="H993" s="1" t="s">
        <v>32</v>
      </c>
      <c r="I993" s="2">
        <v>27166</v>
      </c>
      <c r="J993" s="2">
        <v>45596</v>
      </c>
      <c r="K993" s="1">
        <v>23.68</v>
      </c>
      <c r="L993" s="4">
        <f>G993*K993%</f>
        <v>393.47872000000007</v>
      </c>
      <c r="M993" s="4">
        <f>G993-L993</f>
        <v>1268.17128</v>
      </c>
    </row>
    <row r="994" spans="2:13" x14ac:dyDescent="0.3">
      <c r="B994" s="1">
        <v>1268</v>
      </c>
      <c r="C994" s="2">
        <v>44776</v>
      </c>
      <c r="D994" s="1" t="s">
        <v>10</v>
      </c>
      <c r="E994" s="1" t="s">
        <v>69</v>
      </c>
      <c r="F994" s="1" t="s">
        <v>12</v>
      </c>
      <c r="G994" s="1">
        <v>1206.06</v>
      </c>
      <c r="H994" s="1" t="s">
        <v>32</v>
      </c>
      <c r="I994" s="2">
        <v>27166</v>
      </c>
      <c r="J994" s="2">
        <v>44782</v>
      </c>
      <c r="K994" s="1">
        <v>10.39</v>
      </c>
      <c r="L994" s="4">
        <f>G994*K994%</f>
        <v>125.309634</v>
      </c>
      <c r="M994" s="4">
        <f>G994-L994</f>
        <v>1080.750366</v>
      </c>
    </row>
    <row r="995" spans="2:13" x14ac:dyDescent="0.3">
      <c r="B995" s="1">
        <v>1264</v>
      </c>
      <c r="C995" s="2">
        <v>45805</v>
      </c>
      <c r="D995" s="1" t="s">
        <v>10</v>
      </c>
      <c r="E995" s="1" t="s">
        <v>38</v>
      </c>
      <c r="F995" s="1" t="s">
        <v>28</v>
      </c>
      <c r="G995" s="1">
        <v>762.49</v>
      </c>
      <c r="H995" s="1" t="s">
        <v>32</v>
      </c>
      <c r="I995" s="2">
        <v>27166</v>
      </c>
      <c r="J995" s="2">
        <v>45807</v>
      </c>
      <c r="K995" s="1">
        <v>16.559999999999999</v>
      </c>
      <c r="L995" s="4">
        <f>G995*K995%</f>
        <v>126.268344</v>
      </c>
      <c r="M995" s="4">
        <f>G995-L995</f>
        <v>636.22165600000005</v>
      </c>
    </row>
    <row r="996" spans="2:13" x14ac:dyDescent="0.3">
      <c r="B996" s="1">
        <v>1627</v>
      </c>
      <c r="C996" s="2">
        <v>44274</v>
      </c>
      <c r="D996" s="1" t="s">
        <v>10</v>
      </c>
      <c r="E996" s="1" t="s">
        <v>69</v>
      </c>
      <c r="F996" s="1" t="s">
        <v>31</v>
      </c>
      <c r="G996" s="1">
        <v>639.01</v>
      </c>
      <c r="H996" s="1" t="s">
        <v>164</v>
      </c>
      <c r="I996" s="2">
        <v>28046</v>
      </c>
      <c r="J996" s="2">
        <v>44277</v>
      </c>
      <c r="K996" s="1">
        <v>25.46</v>
      </c>
      <c r="L996" s="4">
        <f>G996*K996%</f>
        <v>162.691946</v>
      </c>
      <c r="M996" s="4">
        <f>G996-L996</f>
        <v>476.31805399999996</v>
      </c>
    </row>
    <row r="997" spans="2:13" x14ac:dyDescent="0.3">
      <c r="B997" s="1">
        <v>1745</v>
      </c>
      <c r="C997" s="2">
        <v>45477</v>
      </c>
      <c r="D997" s="1" t="s">
        <v>10</v>
      </c>
      <c r="E997" s="1" t="s">
        <v>61</v>
      </c>
      <c r="F997" s="1" t="s">
        <v>19</v>
      </c>
      <c r="G997" s="1">
        <v>1967.8</v>
      </c>
      <c r="H997" s="1" t="s">
        <v>314</v>
      </c>
      <c r="I997" s="2">
        <v>31569</v>
      </c>
      <c r="J997" s="2">
        <v>45486</v>
      </c>
      <c r="K997" s="1">
        <v>32.020000000000003</v>
      </c>
      <c r="L997" s="4">
        <f>G997*K997%</f>
        <v>630.08956000000012</v>
      </c>
      <c r="M997" s="4">
        <f>G997-L997</f>
        <v>1337.7104399999998</v>
      </c>
    </row>
    <row r="998" spans="2:13" x14ac:dyDescent="0.3">
      <c r="B998" s="1">
        <v>1899</v>
      </c>
      <c r="C998" s="2">
        <v>45325</v>
      </c>
      <c r="D998" s="1" t="s">
        <v>10</v>
      </c>
      <c r="E998" s="1" t="s">
        <v>88</v>
      </c>
      <c r="F998" s="1" t="s">
        <v>16</v>
      </c>
      <c r="G998" s="1">
        <v>1048.28</v>
      </c>
      <c r="H998" s="1" t="s">
        <v>204</v>
      </c>
      <c r="I998" s="2">
        <v>23718</v>
      </c>
      <c r="J998" s="2">
        <v>45326</v>
      </c>
      <c r="K998" s="1">
        <v>24.55</v>
      </c>
      <c r="L998" s="4">
        <f>G998*K998%</f>
        <v>257.35273999999998</v>
      </c>
      <c r="M998" s="4">
        <f>G998-L998</f>
        <v>790.92725999999993</v>
      </c>
    </row>
    <row r="999" spans="2:13" x14ac:dyDescent="0.3">
      <c r="B999" s="1">
        <v>1937</v>
      </c>
      <c r="C999" s="2">
        <v>44704</v>
      </c>
      <c r="D999" s="1" t="s">
        <v>10</v>
      </c>
      <c r="E999" s="1" t="s">
        <v>36</v>
      </c>
      <c r="F999" s="1" t="s">
        <v>28</v>
      </c>
      <c r="G999" s="1">
        <v>4141.28</v>
      </c>
      <c r="H999" s="1" t="s">
        <v>239</v>
      </c>
      <c r="I999" s="2">
        <v>38442</v>
      </c>
      <c r="J999" s="2">
        <v>44713</v>
      </c>
      <c r="K999" s="1">
        <v>45.35</v>
      </c>
      <c r="L999" s="4">
        <f>G999*K999%</f>
        <v>1878.0704799999999</v>
      </c>
      <c r="M999" s="4">
        <f>G999-L999</f>
        <v>2263.2095199999999</v>
      </c>
    </row>
    <row r="1000" spans="2:13" x14ac:dyDescent="0.3">
      <c r="B1000" s="1">
        <v>1823</v>
      </c>
      <c r="C1000" s="2">
        <v>45363</v>
      </c>
      <c r="D1000" s="1" t="s">
        <v>10</v>
      </c>
      <c r="E1000" s="1" t="s">
        <v>11</v>
      </c>
      <c r="F1000" s="1" t="s">
        <v>12</v>
      </c>
      <c r="G1000" s="1">
        <v>559.32000000000005</v>
      </c>
      <c r="H1000" s="1" t="s">
        <v>192</v>
      </c>
      <c r="I1000" s="2">
        <v>33626</v>
      </c>
      <c r="J1000" s="2">
        <v>45375</v>
      </c>
      <c r="K1000" s="1">
        <v>2.1800000000000002</v>
      </c>
      <c r="L1000" s="4">
        <f>G1000*K1000%</f>
        <v>12.193176000000001</v>
      </c>
      <c r="M1000" s="4">
        <f>G1000-L1000</f>
        <v>547.12682400000006</v>
      </c>
    </row>
    <row r="1001" spans="2:13" x14ac:dyDescent="0.3">
      <c r="B1001" s="1">
        <v>1196</v>
      </c>
      <c r="C1001" s="2">
        <v>45182</v>
      </c>
      <c r="D1001" s="1" t="s">
        <v>10</v>
      </c>
      <c r="E1001" s="1" t="s">
        <v>102</v>
      </c>
      <c r="F1001" s="1" t="s">
        <v>12</v>
      </c>
      <c r="G1001" s="1">
        <v>505.23</v>
      </c>
      <c r="H1001" s="1" t="s">
        <v>192</v>
      </c>
      <c r="I1001" s="2">
        <v>33626</v>
      </c>
      <c r="J1001" s="2">
        <v>45186</v>
      </c>
      <c r="K1001" s="1">
        <v>32.119999999999997</v>
      </c>
      <c r="L1001" s="4">
        <f>G1001*K1001%</f>
        <v>162.279876</v>
      </c>
      <c r="M1001" s="4">
        <f>G1001-L1001</f>
        <v>342.95012400000002</v>
      </c>
    </row>
    <row r="1002" spans="2:13" x14ac:dyDescent="0.3">
      <c r="B1002" s="1">
        <v>1468</v>
      </c>
      <c r="C1002" s="2">
        <v>45292</v>
      </c>
      <c r="D1002" s="1" t="s">
        <v>10</v>
      </c>
      <c r="E1002" s="1" t="s">
        <v>65</v>
      </c>
      <c r="F1002" s="1" t="s">
        <v>19</v>
      </c>
      <c r="G1002" s="1">
        <v>3282.15</v>
      </c>
      <c r="H1002" s="1" t="s">
        <v>59</v>
      </c>
      <c r="I1002" s="2">
        <v>25166</v>
      </c>
      <c r="J1002" s="2">
        <v>45294</v>
      </c>
      <c r="K1002" s="1">
        <v>46.01</v>
      </c>
      <c r="L1002" s="4">
        <f>G1002*K1002%</f>
        <v>1510.117215</v>
      </c>
      <c r="M1002" s="4">
        <f>G1002-L1002</f>
        <v>1772.0327850000001</v>
      </c>
    </row>
  </sheetData>
  <autoFilter ref="B2:M1002" xr:uid="{4B73718F-3CA7-400F-90B6-B625A746A950}"/>
  <sortState xmlns:xlrd2="http://schemas.microsoft.com/office/spreadsheetml/2017/richdata2" ref="B3:M1002">
    <sortCondition ref="D3:D1002"/>
    <sortCondition ref="H3:H1002"/>
    <sortCondition descending="1" ref="M3:M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new1 (1)</vt:lpstr>
      <vt:lpstr>Gorup by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SURYAVANSHI</dc:creator>
  <cp:lastModifiedBy>bhanusuryavanshi@hotmail.com</cp:lastModifiedBy>
  <dcterms:created xsi:type="dcterms:W3CDTF">2026-01-16T04:14:48Z</dcterms:created>
  <dcterms:modified xsi:type="dcterms:W3CDTF">2026-01-22T04:51:49Z</dcterms:modified>
</cp:coreProperties>
</file>
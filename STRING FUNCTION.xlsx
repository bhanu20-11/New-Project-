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BHANU SURYAVANSHI\Desktop\new Excel Project\"/>
    </mc:Choice>
  </mc:AlternateContent>
  <xr:revisionPtr revIDLastSave="0" documentId="13_ncr:1_{C4ABA087-153B-421D-A274-35E297067D64}" xr6:coauthVersionLast="47" xr6:coauthVersionMax="47" xr10:uidLastSave="{00000000-0000-0000-0000-000000000000}"/>
  <bookViews>
    <workbookView xWindow="-108" yWindow="-108" windowWidth="23256" windowHeight="13896" activeTab="1" xr2:uid="{44AF71D8-2D69-49EB-BD9A-1DEAB06697AA}"/>
  </bookViews>
  <sheets>
    <sheet name="FUNCTION" sheetId="1" r:id="rId1"/>
    <sheet name="Sheet1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19" i="2" l="1"/>
  <c r="G20" i="2"/>
  <c r="G21" i="2"/>
  <c r="G18" i="2"/>
  <c r="G34" i="2"/>
  <c r="G35" i="2"/>
  <c r="G36" i="2"/>
  <c r="G33" i="2"/>
  <c r="F33" i="2"/>
  <c r="F34" i="2"/>
  <c r="F35" i="2"/>
  <c r="F36" i="2"/>
  <c r="E34" i="2"/>
  <c r="E35" i="2"/>
  <c r="E36" i="2"/>
  <c r="E33" i="2"/>
  <c r="D34" i="2"/>
  <c r="D35" i="2"/>
  <c r="D36" i="2"/>
  <c r="D33" i="2"/>
  <c r="C34" i="2"/>
  <c r="C35" i="2"/>
  <c r="C36" i="2"/>
  <c r="C33" i="2"/>
  <c r="C26" i="2"/>
  <c r="C27" i="2"/>
  <c r="C28" i="2"/>
  <c r="C25" i="2"/>
  <c r="F19" i="2"/>
  <c r="F20" i="2"/>
  <c r="F21" i="2"/>
  <c r="F18" i="2"/>
  <c r="E19" i="2"/>
  <c r="E20" i="2"/>
  <c r="E21" i="2"/>
  <c r="E18" i="2"/>
  <c r="D19" i="2"/>
  <c r="D20" i="2"/>
  <c r="D21" i="2"/>
  <c r="D18" i="2"/>
  <c r="C19" i="2"/>
  <c r="C20" i="2"/>
  <c r="C21" i="2"/>
  <c r="C18" i="2"/>
  <c r="B18" i="2"/>
  <c r="F12" i="2"/>
  <c r="F13" i="2"/>
  <c r="F14" i="2"/>
  <c r="F11" i="2"/>
  <c r="E14" i="2"/>
  <c r="D14" i="2"/>
  <c r="D11" i="2"/>
  <c r="E11" i="2" s="1"/>
  <c r="C12" i="2"/>
  <c r="D12" i="2" s="1"/>
  <c r="E12" i="2" s="1"/>
  <c r="C13" i="2"/>
  <c r="D13" i="2" s="1"/>
  <c r="E13" i="2" s="1"/>
  <c r="C14" i="2"/>
  <c r="C11" i="2"/>
  <c r="F2" i="2"/>
  <c r="I32" i="1"/>
  <c r="I33" i="1"/>
  <c r="I34" i="1"/>
  <c r="I31" i="1"/>
  <c r="I25" i="1"/>
  <c r="I26" i="1"/>
  <c r="I27" i="1"/>
  <c r="I24" i="1"/>
  <c r="I18" i="1"/>
  <c r="I19" i="1"/>
  <c r="I20" i="1"/>
  <c r="I17" i="1"/>
  <c r="I11" i="1"/>
  <c r="I12" i="1"/>
  <c r="I13" i="1"/>
  <c r="I10" i="1"/>
  <c r="A32" i="1"/>
  <c r="B32" i="1"/>
  <c r="C32" i="1"/>
  <c r="D32" i="1"/>
  <c r="E32" i="1"/>
  <c r="F32" i="1"/>
  <c r="A33" i="1"/>
  <c r="B33" i="1"/>
  <c r="C33" i="1"/>
  <c r="D33" i="1"/>
  <c r="E33" i="1"/>
  <c r="F33" i="1"/>
  <c r="A34" i="1"/>
  <c r="B34" i="1"/>
  <c r="C34" i="1"/>
  <c r="D34" i="1"/>
  <c r="E34" i="1"/>
  <c r="F34" i="1"/>
  <c r="B31" i="1"/>
  <c r="C31" i="1"/>
  <c r="D31" i="1"/>
  <c r="E31" i="1"/>
  <c r="A31" i="1"/>
  <c r="A18" i="1"/>
  <c r="A25" i="1" s="1"/>
  <c r="B18" i="1"/>
  <c r="B25" i="1" s="1"/>
  <c r="C18" i="1"/>
  <c r="C25" i="1" s="1"/>
  <c r="D18" i="1"/>
  <c r="D25" i="1" s="1"/>
  <c r="E18" i="1"/>
  <c r="E25" i="1" s="1"/>
  <c r="F18" i="1"/>
  <c r="F25" i="1" s="1"/>
  <c r="A19" i="1"/>
  <c r="A26" i="1" s="1"/>
  <c r="B19" i="1"/>
  <c r="B26" i="1" s="1"/>
  <c r="C19" i="1"/>
  <c r="C26" i="1" s="1"/>
  <c r="D19" i="1"/>
  <c r="D26" i="1" s="1"/>
  <c r="E19" i="1"/>
  <c r="E26" i="1" s="1"/>
  <c r="F19" i="1"/>
  <c r="F26" i="1" s="1"/>
  <c r="A20" i="1"/>
  <c r="A27" i="1" s="1"/>
  <c r="B20" i="1"/>
  <c r="B27" i="1" s="1"/>
  <c r="C20" i="1"/>
  <c r="C27" i="1" s="1"/>
  <c r="D20" i="1"/>
  <c r="D27" i="1" s="1"/>
  <c r="E20" i="1"/>
  <c r="E27" i="1" s="1"/>
  <c r="F20" i="1"/>
  <c r="F27" i="1" s="1"/>
  <c r="B17" i="1"/>
  <c r="B24" i="1" s="1"/>
  <c r="C17" i="1"/>
  <c r="C24" i="1" s="1"/>
  <c r="D17" i="1"/>
  <c r="D24" i="1" s="1"/>
  <c r="E17" i="1"/>
  <c r="E24" i="1" s="1"/>
  <c r="F17" i="1"/>
  <c r="F24" i="1" s="1"/>
  <c r="A17" i="1"/>
  <c r="A24" i="1" s="1"/>
  <c r="A11" i="1"/>
  <c r="B11" i="1"/>
  <c r="C11" i="1"/>
  <c r="D11" i="1"/>
  <c r="E11" i="1"/>
  <c r="F11" i="1"/>
  <c r="A12" i="1"/>
  <c r="B12" i="1"/>
  <c r="C12" i="1"/>
  <c r="D12" i="1"/>
  <c r="E12" i="1"/>
  <c r="F12" i="1"/>
  <c r="A13" i="1"/>
  <c r="B13" i="1"/>
  <c r="C13" i="1"/>
  <c r="D13" i="1"/>
  <c r="E13" i="1"/>
  <c r="F13" i="1"/>
  <c r="B10" i="1"/>
  <c r="C10" i="1"/>
  <c r="D10" i="1"/>
  <c r="E10" i="1"/>
  <c r="F10" i="1"/>
  <c r="A10" i="1"/>
  <c r="F2" i="1"/>
  <c r="F31" i="1" s="1"/>
</calcChain>
</file>

<file path=xl/sharedStrings.xml><?xml version="1.0" encoding="utf-8"?>
<sst xmlns="http://schemas.openxmlformats.org/spreadsheetml/2006/main" count="115" uniqueCount="54">
  <si>
    <t>Emp_ID</t>
  </si>
  <si>
    <t>Full_Name</t>
  </si>
  <si>
    <t>Email_ID</t>
  </si>
  <si>
    <t>Dept_Code</t>
  </si>
  <si>
    <t>Location_Code</t>
  </si>
  <si>
    <t>Phone_No</t>
  </si>
  <si>
    <t>E101</t>
  </si>
  <si>
    <t>rahul  sharma</t>
  </si>
  <si>
    <t>rahul.sharma@company.com</t>
  </si>
  <si>
    <t>HR-01</t>
  </si>
  <si>
    <t>IND-DEL</t>
  </si>
  <si>
    <t>E102</t>
  </si>
  <si>
    <t>ANITA.Mehta</t>
  </si>
  <si>
    <t>anita_mehta@company.com</t>
  </si>
  <si>
    <t>FIN-02</t>
  </si>
  <si>
    <t>IND-MUM</t>
  </si>
  <si>
    <t>98765 43210</t>
  </si>
  <si>
    <t>E103</t>
  </si>
  <si>
    <t>Rajiv Roy</t>
  </si>
  <si>
    <t>rajivroy@company.com</t>
  </si>
  <si>
    <t>IT-03</t>
  </si>
  <si>
    <t>IND-BLR</t>
  </si>
  <si>
    <t>+91 9123456789</t>
  </si>
  <si>
    <t>E104</t>
  </si>
  <si>
    <t>sneha.patel</t>
  </si>
  <si>
    <t>sneha.patel@company.com</t>
  </si>
  <si>
    <t>IND-AHM</t>
  </si>
  <si>
    <t>091-9988776655</t>
  </si>
  <si>
    <t>LEN(LENTH BATA HE WORDS KI)</t>
  </si>
  <si>
    <t>TRIM(WORD KE AAGE PICHE KI SPAC HATA DEGA )</t>
  </si>
  <si>
    <t>LEFT ()(YE WORD KE LEFT SE WORDS NIKAL KE DEGA)</t>
  </si>
  <si>
    <t>RIGHT()(YEWORD KE RIGHT SE WORDS NIKAL KE DEGA )</t>
  </si>
  <si>
    <t>MID USE</t>
  </si>
  <si>
    <t xml:space="preserve">SUBSTITUTE USE </t>
  </si>
  <si>
    <t xml:space="preserve">SARCHE </t>
  </si>
  <si>
    <t>FIND USE (CASE SENSETIVE)</t>
  </si>
  <si>
    <t>anita_mehta@gmail.com</t>
  </si>
  <si>
    <t>rajivroy@yahoo.com</t>
  </si>
  <si>
    <t xml:space="preserve">email_validation </t>
  </si>
  <si>
    <t>Q.1) Create a column to identify whether the email address is an official company email.</t>
  </si>
  <si>
    <t>Q.2) Clean the phone number column and validate whether it contains a valid 10-digit number.</t>
  </si>
  <si>
    <t>ISNUMBER USE</t>
  </si>
  <si>
    <t xml:space="preserve">IF USE </t>
  </si>
  <si>
    <t>IF/ISNUMBER/FIND</t>
  </si>
  <si>
    <t xml:space="preserve">TRIM </t>
  </si>
  <si>
    <t>SUBSTITUET</t>
  </si>
  <si>
    <t>RIGHT</t>
  </si>
  <si>
    <t>PROPER / SUBSTITUET</t>
  </si>
  <si>
    <t>IT-033</t>
  </si>
  <si>
    <t>FIN-025</t>
  </si>
  <si>
    <t>Convert the city code into a readable city name.</t>
  </si>
  <si>
    <t>COD</t>
  </si>
  <si>
    <t>CITY</t>
  </si>
  <si>
    <t>CONCAT USE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</si>
</sst>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15"/>
      <color theme="1"/>
      <name val="Aptos Narrow"/>
      <family val="2"/>
      <scheme val="minor"/>
    </font>
    <font>
      <b/>
      <sz val="20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  <font>
      <u/>
      <sz val="15"/>
      <color theme="10"/>
      <name val="Aptos Narrow"/>
      <family val="2"/>
      <scheme val="minor"/>
    </font>
    <font>
      <b/>
      <sz val="15"/>
      <color theme="1"/>
      <name val="Aptos Narrow"/>
      <family val="2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3" tint="0.749992370372631"/>
        <bgColor indexed="64"/>
      </patternFill>
    </fill>
    <fill>
      <patternFill patternType="solid">
        <fgColor theme="6" tint="0.79998168889431442"/>
        <bgColor indexed="64"/>
      </patternFill>
    </fill>
  </fills>
  <borders count="12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43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20" fillId="0" borderId="0" applyNumberFormat="0" applyFill="0" applyBorder="0" applyAlignment="0" applyProtection="0"/>
  </cellStyleXfs>
  <cellXfs count="13">
    <xf numFmtId="0" fontId="0" fillId="0" borderId="0" xfId="0"/>
    <xf numFmtId="0" fontId="18" fillId="0" borderId="0" xfId="0" applyFont="1"/>
    <xf numFmtId="0" fontId="18" fillId="0" borderId="10" xfId="0" applyFont="1" applyBorder="1" applyAlignment="1">
      <alignment horizontal="left"/>
    </xf>
    <xf numFmtId="0" fontId="18" fillId="0" borderId="10" xfId="0" applyFont="1" applyBorder="1"/>
    <xf numFmtId="0" fontId="19" fillId="33" borderId="10" xfId="0" applyFont="1" applyFill="1" applyBorder="1" applyAlignment="1">
      <alignment horizontal="center" vertical="center"/>
    </xf>
    <xf numFmtId="0" fontId="19" fillId="33" borderId="10" xfId="0" applyFont="1" applyFill="1" applyBorder="1" applyAlignment="1">
      <alignment horizontal="center"/>
    </xf>
    <xf numFmtId="0" fontId="19" fillId="33" borderId="0" xfId="0" applyFont="1" applyFill="1" applyAlignment="1">
      <alignment horizontal="center"/>
    </xf>
    <xf numFmtId="0" fontId="19" fillId="33" borderId="11" xfId="0" applyFont="1" applyFill="1" applyBorder="1" applyAlignment="1">
      <alignment horizontal="center"/>
    </xf>
    <xf numFmtId="0" fontId="21" fillId="0" borderId="10" xfId="42" applyFont="1" applyBorder="1" applyAlignment="1">
      <alignment horizontal="left"/>
    </xf>
    <xf numFmtId="0" fontId="18" fillId="0" borderId="0" xfId="0" applyFont="1" applyAlignment="1">
      <alignment horizontal="center"/>
    </xf>
    <xf numFmtId="0" fontId="18" fillId="34" borderId="10" xfId="0" applyFont="1" applyFill="1" applyBorder="1" applyAlignment="1">
      <alignment horizontal="left"/>
    </xf>
    <xf numFmtId="0" fontId="18" fillId="34" borderId="0" xfId="0" applyFont="1" applyFill="1"/>
    <xf numFmtId="0" fontId="22" fillId="35" borderId="0" xfId="0" applyFont="1" applyFill="1" applyAlignment="1">
      <alignment horizontal="center"/>
    </xf>
  </cellXfs>
  <cellStyles count="43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Hyperlink" xfId="42" builtinId="8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hyperlink" Target="mailto:anita_mehta@gmail.com" TargetMode="External"/><Relationship Id="rId2" Type="http://schemas.openxmlformats.org/officeDocument/2006/relationships/hyperlink" Target="mailto:rajivroy@yahoo.com" TargetMode="External"/><Relationship Id="rId1" Type="http://schemas.openxmlformats.org/officeDocument/2006/relationships/hyperlink" Target="mailto:anita_mehta@gmail.com" TargetMode="External"/><Relationship Id="rId5" Type="http://schemas.openxmlformats.org/officeDocument/2006/relationships/printerSettings" Target="../printerSettings/printerSettings1.bin"/><Relationship Id="rId4" Type="http://schemas.openxmlformats.org/officeDocument/2006/relationships/hyperlink" Target="mailto:rajivroy@yahoo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F54895-885B-41F4-85D2-D98B670A475B}">
  <dimension ref="A1:I34"/>
  <sheetViews>
    <sheetView zoomScale="86" workbookViewId="0">
      <selection activeCell="A15" sqref="A15:F16"/>
    </sheetView>
  </sheetViews>
  <sheetFormatPr defaultRowHeight="19.8" x14ac:dyDescent="0.4"/>
  <cols>
    <col min="1" max="1" width="9.88671875" style="1" bestFit="1" customWidth="1"/>
    <col min="2" max="2" width="16.6640625" style="1" bestFit="1" customWidth="1"/>
    <col min="3" max="3" width="35.21875" style="1" bestFit="1" customWidth="1"/>
    <col min="4" max="4" width="13.77734375" style="1" bestFit="1" customWidth="1"/>
    <col min="5" max="5" width="18.21875" style="1" bestFit="1" customWidth="1"/>
    <col min="6" max="6" width="21.109375" style="1" bestFit="1" customWidth="1"/>
    <col min="7" max="7" width="8.88671875" style="1"/>
    <col min="8" max="8" width="35.21875" style="1" bestFit="1" customWidth="1"/>
    <col min="9" max="9" width="16.6640625" style="1" bestFit="1" customWidth="1"/>
    <col min="10" max="16384" width="8.88671875" style="1"/>
  </cols>
  <sheetData>
    <row r="1" spans="1:9" x14ac:dyDescent="0.4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</row>
    <row r="2" spans="1:9" x14ac:dyDescent="0.4">
      <c r="A2" s="2" t="s">
        <v>6</v>
      </c>
      <c r="B2" s="2" t="s">
        <v>7</v>
      </c>
      <c r="C2" s="2" t="s">
        <v>8</v>
      </c>
      <c r="D2" s="2" t="s">
        <v>9</v>
      </c>
      <c r="E2" s="2" t="s">
        <v>10</v>
      </c>
      <c r="F2" s="2">
        <f>91-9876543210</f>
        <v>-9876543119</v>
      </c>
    </row>
    <row r="3" spans="1:9" x14ac:dyDescent="0.4">
      <c r="A3" s="2" t="s">
        <v>11</v>
      </c>
      <c r="B3" s="2" t="s">
        <v>12</v>
      </c>
      <c r="C3" s="2" t="s">
        <v>13</v>
      </c>
      <c r="D3" s="2" t="s">
        <v>14</v>
      </c>
      <c r="E3" s="2" t="s">
        <v>15</v>
      </c>
      <c r="F3" s="2" t="s">
        <v>16</v>
      </c>
    </row>
    <row r="4" spans="1:9" x14ac:dyDescent="0.4">
      <c r="A4" s="2" t="s">
        <v>17</v>
      </c>
      <c r="B4" s="2" t="s">
        <v>18</v>
      </c>
      <c r="C4" s="2" t="s">
        <v>19</v>
      </c>
      <c r="D4" s="2" t="s">
        <v>20</v>
      </c>
      <c r="E4" s="2" t="s">
        <v>21</v>
      </c>
      <c r="F4" s="2" t="s">
        <v>22</v>
      </c>
    </row>
    <row r="5" spans="1:9" x14ac:dyDescent="0.4">
      <c r="A5" s="2" t="s">
        <v>23</v>
      </c>
      <c r="B5" s="2" t="s">
        <v>24</v>
      </c>
      <c r="C5" s="2" t="s">
        <v>25</v>
      </c>
      <c r="D5" s="2" t="s">
        <v>9</v>
      </c>
      <c r="E5" s="2" t="s">
        <v>26</v>
      </c>
      <c r="F5" s="2" t="s">
        <v>27</v>
      </c>
    </row>
    <row r="8" spans="1:9" x14ac:dyDescent="0.4">
      <c r="A8" s="4" t="s">
        <v>28</v>
      </c>
      <c r="B8" s="4"/>
      <c r="C8" s="4"/>
      <c r="D8" s="4"/>
      <c r="E8" s="4"/>
      <c r="F8" s="4"/>
      <c r="H8" s="6" t="s">
        <v>32</v>
      </c>
      <c r="I8" s="6"/>
    </row>
    <row r="9" spans="1:9" x14ac:dyDescent="0.4">
      <c r="A9" s="4"/>
      <c r="B9" s="4"/>
      <c r="C9" s="4"/>
      <c r="D9" s="4"/>
      <c r="E9" s="4"/>
      <c r="F9" s="4"/>
      <c r="H9" s="7"/>
      <c r="I9" s="7"/>
    </row>
    <row r="10" spans="1:9" x14ac:dyDescent="0.4">
      <c r="A10" s="3">
        <f>LEN(A2)</f>
        <v>4</v>
      </c>
      <c r="B10" s="3">
        <f t="shared" ref="B10:F10" si="0">LEN(B2)</f>
        <v>13</v>
      </c>
      <c r="C10" s="3">
        <f t="shared" si="0"/>
        <v>24</v>
      </c>
      <c r="D10" s="3">
        <f t="shared" si="0"/>
        <v>5</v>
      </c>
      <c r="E10" s="3">
        <f t="shared" si="0"/>
        <v>7</v>
      </c>
      <c r="F10" s="3">
        <f t="shared" si="0"/>
        <v>11</v>
      </c>
      <c r="H10" s="2" t="s">
        <v>8</v>
      </c>
      <c r="I10" s="3" t="str">
        <f>MID(H10,13,8)</f>
        <v>@company</v>
      </c>
    </row>
    <row r="11" spans="1:9" x14ac:dyDescent="0.4">
      <c r="A11" s="3">
        <f t="shared" ref="A11:F11" si="1">LEN(A3)</f>
        <v>4</v>
      </c>
      <c r="B11" s="3">
        <f t="shared" si="1"/>
        <v>11</v>
      </c>
      <c r="C11" s="3">
        <f t="shared" si="1"/>
        <v>23</v>
      </c>
      <c r="D11" s="3">
        <f t="shared" si="1"/>
        <v>6</v>
      </c>
      <c r="E11" s="3">
        <f t="shared" si="1"/>
        <v>7</v>
      </c>
      <c r="F11" s="3">
        <f t="shared" si="1"/>
        <v>11</v>
      </c>
      <c r="H11" s="2" t="s">
        <v>13</v>
      </c>
      <c r="I11" s="3" t="str">
        <f t="shared" ref="I11:I13" si="2">MID(H11,13,8)</f>
        <v>company.</v>
      </c>
    </row>
    <row r="12" spans="1:9" x14ac:dyDescent="0.4">
      <c r="A12" s="3">
        <f t="shared" ref="A12:F12" si="3">LEN(A4)</f>
        <v>4</v>
      </c>
      <c r="B12" s="3">
        <f t="shared" si="3"/>
        <v>9</v>
      </c>
      <c r="C12" s="3">
        <f t="shared" si="3"/>
        <v>20</v>
      </c>
      <c r="D12" s="3">
        <f t="shared" si="3"/>
        <v>5</v>
      </c>
      <c r="E12" s="3">
        <f t="shared" si="3"/>
        <v>7</v>
      </c>
      <c r="F12" s="3">
        <f t="shared" si="3"/>
        <v>14</v>
      </c>
      <c r="H12" s="2" t="s">
        <v>19</v>
      </c>
      <c r="I12" s="3" t="str">
        <f t="shared" si="2"/>
        <v>pany.com</v>
      </c>
    </row>
    <row r="13" spans="1:9" x14ac:dyDescent="0.4">
      <c r="A13" s="3">
        <f t="shared" ref="A13:F13" si="4">LEN(A5)</f>
        <v>4</v>
      </c>
      <c r="B13" s="3">
        <f t="shared" si="4"/>
        <v>11</v>
      </c>
      <c r="C13" s="3">
        <f t="shared" si="4"/>
        <v>23</v>
      </c>
      <c r="D13" s="3">
        <f t="shared" si="4"/>
        <v>5</v>
      </c>
      <c r="E13" s="3">
        <f t="shared" si="4"/>
        <v>7</v>
      </c>
      <c r="F13" s="3">
        <f t="shared" si="4"/>
        <v>14</v>
      </c>
      <c r="H13" s="2" t="s">
        <v>25</v>
      </c>
      <c r="I13" s="3" t="str">
        <f t="shared" si="2"/>
        <v>company.</v>
      </c>
    </row>
    <row r="15" spans="1:9" x14ac:dyDescent="0.4">
      <c r="A15" s="5" t="s">
        <v>29</v>
      </c>
      <c r="B15" s="5"/>
      <c r="C15" s="5"/>
      <c r="D15" s="5"/>
      <c r="E15" s="5"/>
      <c r="F15" s="5"/>
      <c r="H15" s="5" t="s">
        <v>33</v>
      </c>
      <c r="I15" s="5"/>
    </row>
    <row r="16" spans="1:9" x14ac:dyDescent="0.4">
      <c r="A16" s="5"/>
      <c r="B16" s="5"/>
      <c r="C16" s="5"/>
      <c r="D16" s="5"/>
      <c r="E16" s="5"/>
      <c r="F16" s="5"/>
      <c r="H16" s="5"/>
      <c r="I16" s="5"/>
    </row>
    <row r="17" spans="1:9" x14ac:dyDescent="0.4">
      <c r="A17" s="3" t="str">
        <f>TRIM(A2)</f>
        <v>E101</v>
      </c>
      <c r="B17" s="3" t="str">
        <f t="shared" ref="B17:F17" si="5">TRIM(B2)</f>
        <v>rahul sharma</v>
      </c>
      <c r="C17" s="3" t="str">
        <f t="shared" si="5"/>
        <v>rahul.sharma@company.com</v>
      </c>
      <c r="D17" s="3" t="str">
        <f t="shared" si="5"/>
        <v>HR-01</v>
      </c>
      <c r="E17" s="3" t="str">
        <f t="shared" si="5"/>
        <v>IND-DEL</v>
      </c>
      <c r="F17" s="3" t="str">
        <f t="shared" si="5"/>
        <v>-9876543119</v>
      </c>
      <c r="H17" s="2" t="s">
        <v>7</v>
      </c>
      <c r="I17" s="3" t="str">
        <f>SUBSTITUTE(H17,"."," ")</f>
        <v>rahul  sharma</v>
      </c>
    </row>
    <row r="18" spans="1:9" x14ac:dyDescent="0.4">
      <c r="A18" s="3" t="str">
        <f t="shared" ref="A18:F18" si="6">TRIM(A3)</f>
        <v>E102</v>
      </c>
      <c r="B18" s="3" t="str">
        <f t="shared" si="6"/>
        <v>ANITA.Mehta</v>
      </c>
      <c r="C18" s="3" t="str">
        <f t="shared" si="6"/>
        <v>anita_mehta@company.com</v>
      </c>
      <c r="D18" s="3" t="str">
        <f t="shared" si="6"/>
        <v>FIN-02</v>
      </c>
      <c r="E18" s="3" t="str">
        <f t="shared" si="6"/>
        <v>IND-MUM</v>
      </c>
      <c r="F18" s="3" t="str">
        <f t="shared" si="6"/>
        <v>98765 43210</v>
      </c>
      <c r="H18" s="2" t="s">
        <v>12</v>
      </c>
      <c r="I18" s="3" t="str">
        <f t="shared" ref="I18:I20" si="7">SUBSTITUTE(H18,"."," ")</f>
        <v>ANITA Mehta</v>
      </c>
    </row>
    <row r="19" spans="1:9" x14ac:dyDescent="0.4">
      <c r="A19" s="3" t="str">
        <f t="shared" ref="A19:F19" si="8">TRIM(A4)</f>
        <v>E103</v>
      </c>
      <c r="B19" s="3" t="str">
        <f t="shared" si="8"/>
        <v>Rajiv Roy</v>
      </c>
      <c r="C19" s="3" t="str">
        <f t="shared" si="8"/>
        <v>rajivroy@company.com</v>
      </c>
      <c r="D19" s="3" t="str">
        <f t="shared" si="8"/>
        <v>IT-03</v>
      </c>
      <c r="E19" s="3" t="str">
        <f t="shared" si="8"/>
        <v>IND-BLR</v>
      </c>
      <c r="F19" s="3" t="str">
        <f t="shared" si="8"/>
        <v>+91 9123456789</v>
      </c>
      <c r="H19" s="2" t="s">
        <v>18</v>
      </c>
      <c r="I19" s="3" t="str">
        <f t="shared" si="7"/>
        <v>Rajiv Roy</v>
      </c>
    </row>
    <row r="20" spans="1:9" x14ac:dyDescent="0.4">
      <c r="A20" s="3" t="str">
        <f t="shared" ref="A20:F20" si="9">TRIM(A5)</f>
        <v>E104</v>
      </c>
      <c r="B20" s="3" t="str">
        <f t="shared" si="9"/>
        <v>sneha.patel</v>
      </c>
      <c r="C20" s="3" t="str">
        <f t="shared" si="9"/>
        <v>sneha.patel@company.com</v>
      </c>
      <c r="D20" s="3" t="str">
        <f t="shared" si="9"/>
        <v>HR-01</v>
      </c>
      <c r="E20" s="3" t="str">
        <f t="shared" si="9"/>
        <v>IND-AHM</v>
      </c>
      <c r="F20" s="3" t="str">
        <f t="shared" si="9"/>
        <v>091-9988776655</v>
      </c>
      <c r="H20" s="2" t="s">
        <v>24</v>
      </c>
      <c r="I20" s="3" t="str">
        <f t="shared" si="7"/>
        <v>sneha patel</v>
      </c>
    </row>
    <row r="22" spans="1:9" x14ac:dyDescent="0.4">
      <c r="A22" s="5" t="s">
        <v>30</v>
      </c>
      <c r="B22" s="5"/>
      <c r="C22" s="5"/>
      <c r="D22" s="5"/>
      <c r="E22" s="5"/>
      <c r="F22" s="5"/>
      <c r="H22" s="5" t="s">
        <v>35</v>
      </c>
      <c r="I22" s="5"/>
    </row>
    <row r="23" spans="1:9" x14ac:dyDescent="0.4">
      <c r="A23" s="5"/>
      <c r="B23" s="5"/>
      <c r="C23" s="5"/>
      <c r="D23" s="5"/>
      <c r="E23" s="5"/>
      <c r="F23" s="5"/>
      <c r="H23" s="5"/>
      <c r="I23" s="5"/>
    </row>
    <row r="24" spans="1:9" x14ac:dyDescent="0.4">
      <c r="A24" s="3" t="str">
        <f>LEFT(A17,3)</f>
        <v>E10</v>
      </c>
      <c r="B24" s="3" t="str">
        <f t="shared" ref="B24:F24" si="10">LEFT(B17,3)</f>
        <v>rah</v>
      </c>
      <c r="C24" s="3" t="str">
        <f t="shared" si="10"/>
        <v>rah</v>
      </c>
      <c r="D24" s="3" t="str">
        <f t="shared" si="10"/>
        <v>HR-</v>
      </c>
      <c r="E24" s="3" t="str">
        <f t="shared" si="10"/>
        <v>IND</v>
      </c>
      <c r="F24" s="3" t="str">
        <f t="shared" si="10"/>
        <v>-98</v>
      </c>
      <c r="H24" s="2" t="s">
        <v>8</v>
      </c>
      <c r="I24" s="3">
        <f>FIND("@",H24)</f>
        <v>13</v>
      </c>
    </row>
    <row r="25" spans="1:9" x14ac:dyDescent="0.4">
      <c r="A25" s="3" t="str">
        <f t="shared" ref="A25:F25" si="11">LEFT(A18,3)</f>
        <v>E10</v>
      </c>
      <c r="B25" s="3" t="str">
        <f t="shared" si="11"/>
        <v>ANI</v>
      </c>
      <c r="C25" s="3" t="str">
        <f t="shared" si="11"/>
        <v>ani</v>
      </c>
      <c r="D25" s="3" t="str">
        <f t="shared" si="11"/>
        <v>FIN</v>
      </c>
      <c r="E25" s="3" t="str">
        <f t="shared" si="11"/>
        <v>IND</v>
      </c>
      <c r="F25" s="3" t="str">
        <f t="shared" si="11"/>
        <v>987</v>
      </c>
      <c r="H25" s="2" t="s">
        <v>13</v>
      </c>
      <c r="I25" s="3">
        <f t="shared" ref="I25:I27" si="12">FIND("@",H25)</f>
        <v>12</v>
      </c>
    </row>
    <row r="26" spans="1:9" x14ac:dyDescent="0.4">
      <c r="A26" s="3" t="str">
        <f t="shared" ref="A26:F26" si="13">LEFT(A19,3)</f>
        <v>E10</v>
      </c>
      <c r="B26" s="3" t="str">
        <f t="shared" si="13"/>
        <v>Raj</v>
      </c>
      <c r="C26" s="3" t="str">
        <f t="shared" si="13"/>
        <v>raj</v>
      </c>
      <c r="D26" s="3" t="str">
        <f t="shared" si="13"/>
        <v>IT-</v>
      </c>
      <c r="E26" s="3" t="str">
        <f t="shared" si="13"/>
        <v>IND</v>
      </c>
      <c r="F26" s="3" t="str">
        <f t="shared" si="13"/>
        <v>+91</v>
      </c>
      <c r="H26" s="2" t="s">
        <v>19</v>
      </c>
      <c r="I26" s="3">
        <f t="shared" si="12"/>
        <v>9</v>
      </c>
    </row>
    <row r="27" spans="1:9" x14ac:dyDescent="0.4">
      <c r="A27" s="3" t="str">
        <f t="shared" ref="A27:F27" si="14">LEFT(A20,3)</f>
        <v>E10</v>
      </c>
      <c r="B27" s="3" t="str">
        <f t="shared" si="14"/>
        <v>sne</v>
      </c>
      <c r="C27" s="3" t="str">
        <f t="shared" si="14"/>
        <v>sne</v>
      </c>
      <c r="D27" s="3" t="str">
        <f t="shared" si="14"/>
        <v>HR-</v>
      </c>
      <c r="E27" s="3" t="str">
        <f t="shared" si="14"/>
        <v>IND</v>
      </c>
      <c r="F27" s="3" t="str">
        <f t="shared" si="14"/>
        <v>091</v>
      </c>
      <c r="H27" s="2" t="s">
        <v>25</v>
      </c>
      <c r="I27" s="3">
        <f t="shared" si="12"/>
        <v>12</v>
      </c>
    </row>
    <row r="29" spans="1:9" x14ac:dyDescent="0.4">
      <c r="A29" s="5" t="s">
        <v>31</v>
      </c>
      <c r="B29" s="5"/>
      <c r="C29" s="5"/>
      <c r="D29" s="5"/>
      <c r="E29" s="5"/>
      <c r="F29" s="5"/>
      <c r="H29" s="6" t="s">
        <v>34</v>
      </c>
      <c r="I29" s="6"/>
    </row>
    <row r="30" spans="1:9" x14ac:dyDescent="0.4">
      <c r="A30" s="5"/>
      <c r="B30" s="5"/>
      <c r="C30" s="5"/>
      <c r="D30" s="5"/>
      <c r="E30" s="5"/>
      <c r="F30" s="5"/>
      <c r="H30" s="6"/>
      <c r="I30" s="6"/>
    </row>
    <row r="31" spans="1:9" x14ac:dyDescent="0.4">
      <c r="A31" s="3" t="str">
        <f>RIGHT(A2,3)</f>
        <v>101</v>
      </c>
      <c r="B31" s="3" t="str">
        <f t="shared" ref="B31:F31" si="15">RIGHT(B2,3)</f>
        <v>rma</v>
      </c>
      <c r="C31" s="3" t="str">
        <f t="shared" si="15"/>
        <v>com</v>
      </c>
      <c r="D31" s="3" t="str">
        <f t="shared" si="15"/>
        <v>-01</v>
      </c>
      <c r="E31" s="3" t="str">
        <f t="shared" si="15"/>
        <v>DEL</v>
      </c>
      <c r="F31" s="3" t="str">
        <f t="shared" si="15"/>
        <v>119</v>
      </c>
      <c r="H31" s="2" t="s">
        <v>8</v>
      </c>
      <c r="I31" s="3">
        <f>SEARCH("COM",H31)</f>
        <v>14</v>
      </c>
    </row>
    <row r="32" spans="1:9" x14ac:dyDescent="0.4">
      <c r="A32" s="3" t="str">
        <f t="shared" ref="A32:F32" si="16">RIGHT(A3,3)</f>
        <v>102</v>
      </c>
      <c r="B32" s="3" t="str">
        <f t="shared" si="16"/>
        <v>hta</v>
      </c>
      <c r="C32" s="3" t="str">
        <f t="shared" si="16"/>
        <v>com</v>
      </c>
      <c r="D32" s="3" t="str">
        <f t="shared" si="16"/>
        <v>-02</v>
      </c>
      <c r="E32" s="3" t="str">
        <f t="shared" si="16"/>
        <v>MUM</v>
      </c>
      <c r="F32" s="3" t="str">
        <f t="shared" si="16"/>
        <v>210</v>
      </c>
      <c r="H32" s="2" t="s">
        <v>13</v>
      </c>
      <c r="I32" s="3">
        <f t="shared" ref="I32:I34" si="17">SEARCH("COM",H32)</f>
        <v>13</v>
      </c>
    </row>
    <row r="33" spans="1:9" x14ac:dyDescent="0.4">
      <c r="A33" s="3" t="str">
        <f t="shared" ref="A33:F33" si="18">RIGHT(A4,3)</f>
        <v>103</v>
      </c>
      <c r="B33" s="3" t="str">
        <f t="shared" si="18"/>
        <v>Roy</v>
      </c>
      <c r="C33" s="3" t="str">
        <f t="shared" si="18"/>
        <v>com</v>
      </c>
      <c r="D33" s="3" t="str">
        <f t="shared" si="18"/>
        <v>-03</v>
      </c>
      <c r="E33" s="3" t="str">
        <f t="shared" si="18"/>
        <v>BLR</v>
      </c>
      <c r="F33" s="3" t="str">
        <f t="shared" si="18"/>
        <v>789</v>
      </c>
      <c r="H33" s="2" t="s">
        <v>19</v>
      </c>
      <c r="I33" s="3">
        <f t="shared" si="17"/>
        <v>10</v>
      </c>
    </row>
    <row r="34" spans="1:9" x14ac:dyDescent="0.4">
      <c r="A34" s="3" t="str">
        <f t="shared" ref="A34:F34" si="19">RIGHT(A5,3)</f>
        <v>104</v>
      </c>
      <c r="B34" s="3" t="str">
        <f t="shared" si="19"/>
        <v>tel</v>
      </c>
      <c r="C34" s="3" t="str">
        <f t="shared" si="19"/>
        <v>com</v>
      </c>
      <c r="D34" s="3" t="str">
        <f t="shared" si="19"/>
        <v>-01</v>
      </c>
      <c r="E34" s="3" t="str">
        <f t="shared" si="19"/>
        <v>AHM</v>
      </c>
      <c r="F34" s="3" t="str">
        <f t="shared" si="19"/>
        <v>655</v>
      </c>
      <c r="H34" s="2" t="s">
        <v>25</v>
      </c>
      <c r="I34" s="3">
        <f t="shared" si="17"/>
        <v>13</v>
      </c>
    </row>
  </sheetData>
  <mergeCells count="8">
    <mergeCell ref="A8:F9"/>
    <mergeCell ref="A15:F16"/>
    <mergeCell ref="A22:F23"/>
    <mergeCell ref="A29:F30"/>
    <mergeCell ref="H8:I9"/>
    <mergeCell ref="H15:I16"/>
    <mergeCell ref="H22:I23"/>
    <mergeCell ref="H29:I30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5FDA04-F22C-4608-B138-E586FED2236B}">
  <dimension ref="A1:G36"/>
  <sheetViews>
    <sheetView tabSelected="1" topLeftCell="A26" zoomScale="125" workbookViewId="0">
      <selection activeCell="D41" sqref="D41"/>
    </sheetView>
  </sheetViews>
  <sheetFormatPr defaultRowHeight="19.8" x14ac:dyDescent="0.4"/>
  <cols>
    <col min="1" max="1" width="9.88671875" style="1" bestFit="1" customWidth="1"/>
    <col min="2" max="3" width="35.21875" style="1" bestFit="1" customWidth="1"/>
    <col min="4" max="4" width="21.109375" style="1" bestFit="1" customWidth="1"/>
    <col min="5" max="5" width="18.21875" style="1" bestFit="1" customWidth="1"/>
    <col min="6" max="6" width="23.109375" style="1" bestFit="1" customWidth="1"/>
    <col min="7" max="7" width="18.33203125" style="1" bestFit="1" customWidth="1"/>
    <col min="8" max="16384" width="8.88671875" style="1"/>
  </cols>
  <sheetData>
    <row r="1" spans="1:6" x14ac:dyDescent="0.4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</row>
    <row r="2" spans="1:6" x14ac:dyDescent="0.4">
      <c r="A2" s="2" t="s">
        <v>6</v>
      </c>
      <c r="B2" s="2" t="s">
        <v>7</v>
      </c>
      <c r="C2" s="2" t="s">
        <v>8</v>
      </c>
      <c r="D2" s="2" t="s">
        <v>9</v>
      </c>
      <c r="E2" s="2" t="s">
        <v>10</v>
      </c>
      <c r="F2" s="2">
        <f>91-9876543210</f>
        <v>-9876543119</v>
      </c>
    </row>
    <row r="3" spans="1:6" x14ac:dyDescent="0.4">
      <c r="A3" s="2" t="s">
        <v>11</v>
      </c>
      <c r="B3" s="2" t="s">
        <v>12</v>
      </c>
      <c r="C3" s="8" t="s">
        <v>36</v>
      </c>
      <c r="D3" s="2" t="s">
        <v>14</v>
      </c>
      <c r="E3" s="2" t="s">
        <v>15</v>
      </c>
      <c r="F3" s="2" t="s">
        <v>16</v>
      </c>
    </row>
    <row r="4" spans="1:6" x14ac:dyDescent="0.4">
      <c r="A4" s="2" t="s">
        <v>17</v>
      </c>
      <c r="B4" s="2" t="s">
        <v>18</v>
      </c>
      <c r="C4" s="8" t="s">
        <v>37</v>
      </c>
      <c r="D4" s="2" t="s">
        <v>20</v>
      </c>
      <c r="E4" s="2" t="s">
        <v>21</v>
      </c>
      <c r="F4" s="2" t="s">
        <v>22</v>
      </c>
    </row>
    <row r="5" spans="1:6" x14ac:dyDescent="0.4">
      <c r="A5" s="2" t="s">
        <v>23</v>
      </c>
      <c r="B5" s="2" t="s">
        <v>24</v>
      </c>
      <c r="C5" s="2" t="s">
        <v>25</v>
      </c>
      <c r="D5" s="2" t="s">
        <v>9</v>
      </c>
      <c r="E5" s="2" t="s">
        <v>26</v>
      </c>
      <c r="F5" s="2" t="s">
        <v>27</v>
      </c>
    </row>
    <row r="9" spans="1:6" x14ac:dyDescent="0.4">
      <c r="A9" s="12" t="s">
        <v>39</v>
      </c>
      <c r="B9" s="12"/>
      <c r="C9" s="12"/>
      <c r="D9" s="12"/>
      <c r="E9" s="12"/>
      <c r="F9" s="12"/>
    </row>
    <row r="10" spans="1:6" x14ac:dyDescent="0.4">
      <c r="B10" s="10" t="s">
        <v>2</v>
      </c>
      <c r="C10" s="11" t="s">
        <v>38</v>
      </c>
      <c r="D10" s="11" t="s">
        <v>41</v>
      </c>
      <c r="E10" s="11" t="s">
        <v>42</v>
      </c>
      <c r="F10" s="11" t="s">
        <v>43</v>
      </c>
    </row>
    <row r="11" spans="1:6" x14ac:dyDescent="0.4">
      <c r="B11" s="2" t="s">
        <v>8</v>
      </c>
      <c r="C11" s="1">
        <f>FIND("@company",B11)</f>
        <v>13</v>
      </c>
      <c r="D11" s="1" t="b">
        <f>ISNUMBER(C11)</f>
        <v>1</v>
      </c>
      <c r="E11" s="1" t="str">
        <f>IF(D11,"Valid","invalid")</f>
        <v>Valid</v>
      </c>
      <c r="F11" s="1" t="str">
        <f>IF(ISNUMBER((FIND("@company",B11))),"valid","invalid")</f>
        <v>valid</v>
      </c>
    </row>
    <row r="12" spans="1:6" x14ac:dyDescent="0.4">
      <c r="B12" s="8" t="s">
        <v>36</v>
      </c>
      <c r="C12" s="1" t="e">
        <f t="shared" ref="C12:C14" si="0">FIND("@company",B12)</f>
        <v>#VALUE!</v>
      </c>
      <c r="D12" s="1" t="b">
        <f t="shared" ref="D12:D14" si="1">ISNUMBER(C12)</f>
        <v>0</v>
      </c>
      <c r="E12" s="1" t="str">
        <f t="shared" ref="E12:E14" si="2">IF(D12,"Valid","invalid")</f>
        <v>invalid</v>
      </c>
      <c r="F12" s="1" t="str">
        <f t="shared" ref="F12:F14" si="3">IF(ISNUMBER((FIND("@company",B12))),"valid","invalid")</f>
        <v>invalid</v>
      </c>
    </row>
    <row r="13" spans="1:6" x14ac:dyDescent="0.4">
      <c r="B13" s="8" t="s">
        <v>37</v>
      </c>
      <c r="C13" s="1" t="e">
        <f t="shared" si="0"/>
        <v>#VALUE!</v>
      </c>
      <c r="D13" s="1" t="b">
        <f t="shared" si="1"/>
        <v>0</v>
      </c>
      <c r="E13" s="1" t="str">
        <f t="shared" si="2"/>
        <v>invalid</v>
      </c>
      <c r="F13" s="1" t="str">
        <f t="shared" si="3"/>
        <v>invalid</v>
      </c>
    </row>
    <row r="14" spans="1:6" x14ac:dyDescent="0.4">
      <c r="B14" s="2" t="s">
        <v>25</v>
      </c>
      <c r="C14" s="1">
        <f t="shared" si="0"/>
        <v>12</v>
      </c>
      <c r="D14" s="1" t="b">
        <f t="shared" si="1"/>
        <v>1</v>
      </c>
      <c r="E14" s="1" t="str">
        <f t="shared" si="2"/>
        <v>Valid</v>
      </c>
      <c r="F14" s="1" t="str">
        <f t="shared" si="3"/>
        <v>valid</v>
      </c>
    </row>
    <row r="16" spans="1:6" x14ac:dyDescent="0.4">
      <c r="B16" s="9" t="s">
        <v>40</v>
      </c>
      <c r="C16" s="9"/>
      <c r="D16" s="9"/>
      <c r="E16" s="9"/>
      <c r="F16" s="9"/>
    </row>
    <row r="17" spans="2:7" x14ac:dyDescent="0.4">
      <c r="B17" s="2" t="s">
        <v>5</v>
      </c>
      <c r="C17" s="1" t="s">
        <v>44</v>
      </c>
      <c r="D17" s="1" t="s">
        <v>45</v>
      </c>
      <c r="E17" s="1" t="s">
        <v>46</v>
      </c>
      <c r="G17" s="1" t="s">
        <v>53</v>
      </c>
    </row>
    <row r="18" spans="2:7" x14ac:dyDescent="0.4">
      <c r="B18" s="2">
        <f>91-9876543210</f>
        <v>-9876543119</v>
      </c>
      <c r="C18" s="1" t="str">
        <f>TRIM(B18)</f>
        <v>-9876543119</v>
      </c>
      <c r="D18" s="1" t="str">
        <f>SUBSTITUTE(B18," ","")</f>
        <v>-9876543119</v>
      </c>
      <c r="E18" s="1" t="str">
        <f>RIGHT(D18,10)</f>
        <v>9876543119</v>
      </c>
      <c r="F18" s="1" t="str">
        <f>RIGHT(SUBSTITUTE(B18," ",""),10)</f>
        <v>9876543119</v>
      </c>
      <c r="G18" s="1" t="str">
        <f>_xlfn.CONCAT(LEFT(F18,2),"******",RIGHT(F18,2))</f>
        <v>98******19</v>
      </c>
    </row>
    <row r="19" spans="2:7" x14ac:dyDescent="0.4">
      <c r="B19" s="2" t="s">
        <v>16</v>
      </c>
      <c r="C19" s="1" t="str">
        <f t="shared" ref="C19:C21" si="4">TRIM(B19)</f>
        <v>98765 43210</v>
      </c>
      <c r="D19" s="1" t="str">
        <f t="shared" ref="D19:D21" si="5">SUBSTITUTE(B19," ","")</f>
        <v>9876543210</v>
      </c>
      <c r="E19" s="1" t="str">
        <f t="shared" ref="E19:E21" si="6">RIGHT(D19,10)</f>
        <v>9876543210</v>
      </c>
      <c r="F19" s="1" t="str">
        <f t="shared" ref="F19:F21" si="7">RIGHT(SUBSTITUTE(B19," ",""),10)</f>
        <v>9876543210</v>
      </c>
      <c r="G19" s="1" t="str">
        <f t="shared" ref="G19:G21" si="8">_xlfn.CONCAT(LEFT(F19,2),"******",RIGHT(F19,2))</f>
        <v>98******10</v>
      </c>
    </row>
    <row r="20" spans="2:7" x14ac:dyDescent="0.4">
      <c r="B20" s="2" t="s">
        <v>22</v>
      </c>
      <c r="C20" s="1" t="str">
        <f t="shared" si="4"/>
        <v>+91 9123456789</v>
      </c>
      <c r="D20" s="1" t="str">
        <f t="shared" si="5"/>
        <v>+919123456789</v>
      </c>
      <c r="E20" s="1" t="str">
        <f t="shared" si="6"/>
        <v>9123456789</v>
      </c>
      <c r="F20" s="1" t="str">
        <f t="shared" si="7"/>
        <v>9123456789</v>
      </c>
      <c r="G20" s="1" t="str">
        <f t="shared" si="8"/>
        <v>91******89</v>
      </c>
    </row>
    <row r="21" spans="2:7" x14ac:dyDescent="0.4">
      <c r="B21" s="2" t="s">
        <v>27</v>
      </c>
      <c r="C21" s="1" t="str">
        <f t="shared" si="4"/>
        <v>091-9988776655</v>
      </c>
      <c r="D21" s="1" t="str">
        <f t="shared" si="5"/>
        <v>091-9988776655</v>
      </c>
      <c r="E21" s="1" t="str">
        <f t="shared" si="6"/>
        <v>9988776655</v>
      </c>
      <c r="F21" s="1" t="str">
        <f t="shared" si="7"/>
        <v>9988776655</v>
      </c>
      <c r="G21" s="1" t="str">
        <f t="shared" si="8"/>
        <v>99******55</v>
      </c>
    </row>
    <row r="24" spans="2:7" x14ac:dyDescent="0.4">
      <c r="B24" s="2" t="s">
        <v>1</v>
      </c>
      <c r="C24" s="1" t="s">
        <v>47</v>
      </c>
    </row>
    <row r="25" spans="2:7" x14ac:dyDescent="0.4">
      <c r="B25" s="2" t="s">
        <v>7</v>
      </c>
      <c r="C25" s="1" t="str">
        <f>PROPER(SUBSTITUTE(B25,"."," "))</f>
        <v>Rahul  Sharma</v>
      </c>
    </row>
    <row r="26" spans="2:7" x14ac:dyDescent="0.4">
      <c r="B26" s="2" t="s">
        <v>12</v>
      </c>
      <c r="C26" s="1" t="str">
        <f t="shared" ref="C26:C28" si="9">PROPER(SUBSTITUTE(B26,"."," "))</f>
        <v>Anita Mehta</v>
      </c>
    </row>
    <row r="27" spans="2:7" x14ac:dyDescent="0.4">
      <c r="B27" s="2" t="s">
        <v>18</v>
      </c>
      <c r="C27" s="1" t="str">
        <f t="shared" si="9"/>
        <v>Rajiv Roy</v>
      </c>
    </row>
    <row r="28" spans="2:7" x14ac:dyDescent="0.4">
      <c r="B28" s="2" t="s">
        <v>24</v>
      </c>
      <c r="C28" s="1" t="str">
        <f t="shared" si="9"/>
        <v>Sneha Patel</v>
      </c>
    </row>
    <row r="31" spans="2:7" x14ac:dyDescent="0.4">
      <c r="B31" s="9" t="s">
        <v>50</v>
      </c>
      <c r="C31" s="9"/>
      <c r="D31" s="9"/>
      <c r="E31" s="9"/>
      <c r="F31" s="9"/>
    </row>
    <row r="32" spans="2:7" x14ac:dyDescent="0.4">
      <c r="B32" s="2" t="s">
        <v>3</v>
      </c>
      <c r="F32" s="1" t="s">
        <v>51</v>
      </c>
      <c r="G32" s="1" t="s">
        <v>52</v>
      </c>
    </row>
    <row r="33" spans="2:7" x14ac:dyDescent="0.4">
      <c r="B33" s="2" t="s">
        <v>9</v>
      </c>
      <c r="C33" s="1">
        <f>FIND("-",B33)</f>
        <v>3</v>
      </c>
      <c r="D33" s="1">
        <f>LEN(B33)-C33</f>
        <v>2</v>
      </c>
      <c r="E33" s="1" t="str">
        <f>RIGHT(B33,D33)</f>
        <v>01</v>
      </c>
      <c r="F33" s="1" t="str">
        <f>RIGHT(B33,LEN(B33)-FIND("-",B33))</f>
        <v>01</v>
      </c>
      <c r="G33" s="1" t="str">
        <f>LEFT(B33,FIND("-",B33)-1)</f>
        <v>HR</v>
      </c>
    </row>
    <row r="34" spans="2:7" x14ac:dyDescent="0.4">
      <c r="B34" s="2" t="s">
        <v>49</v>
      </c>
      <c r="C34" s="1">
        <f t="shared" ref="C34:C36" si="10">FIND("-",B34)</f>
        <v>4</v>
      </c>
      <c r="D34" s="1">
        <f t="shared" ref="D34:D36" si="11">LEN(B34)-C34</f>
        <v>3</v>
      </c>
      <c r="E34" s="1" t="str">
        <f t="shared" ref="E34:E36" si="12">RIGHT(B34,D34)</f>
        <v>025</v>
      </c>
      <c r="F34" s="1" t="str">
        <f t="shared" ref="F34:F36" si="13">RIGHT(B34,LEN(B34)-FIND("-",B34))</f>
        <v>025</v>
      </c>
      <c r="G34" s="1" t="str">
        <f t="shared" ref="G34:G36" si="14">LEFT(B34,FIND("-",B34)-1)</f>
        <v>FIN</v>
      </c>
    </row>
    <row r="35" spans="2:7" x14ac:dyDescent="0.4">
      <c r="B35" s="2" t="s">
        <v>48</v>
      </c>
      <c r="C35" s="1">
        <f t="shared" si="10"/>
        <v>3</v>
      </c>
      <c r="D35" s="1">
        <f t="shared" si="11"/>
        <v>3</v>
      </c>
      <c r="E35" s="1" t="str">
        <f t="shared" si="12"/>
        <v>033</v>
      </c>
      <c r="F35" s="1" t="str">
        <f t="shared" si="13"/>
        <v>033</v>
      </c>
      <c r="G35" s="1" t="str">
        <f t="shared" si="14"/>
        <v>IT</v>
      </c>
    </row>
    <row r="36" spans="2:7" x14ac:dyDescent="0.4">
      <c r="B36" s="2" t="s">
        <v>9</v>
      </c>
      <c r="C36" s="1">
        <f t="shared" si="10"/>
        <v>3</v>
      </c>
      <c r="D36" s="1">
        <f t="shared" si="11"/>
        <v>2</v>
      </c>
      <c r="E36" s="1" t="str">
        <f t="shared" si="12"/>
        <v>01</v>
      </c>
      <c r="F36" s="1" t="str">
        <f t="shared" si="13"/>
        <v>01</v>
      </c>
      <c r="G36" s="1" t="str">
        <f t="shared" si="14"/>
        <v>HR</v>
      </c>
    </row>
  </sheetData>
  <mergeCells count="3">
    <mergeCell ref="A9:F9"/>
    <mergeCell ref="B16:F16"/>
    <mergeCell ref="B31:F31"/>
  </mergeCells>
  <hyperlinks>
    <hyperlink ref="C3" r:id="rId1" xr:uid="{311232C4-A0AA-4EE0-B6CB-B16D2F909FB7}"/>
    <hyperlink ref="C4" r:id="rId2" xr:uid="{77AC533E-69CA-41A2-BD05-C686FB1185D5}"/>
    <hyperlink ref="B12" r:id="rId3" xr:uid="{020B98E4-C1C3-4EAC-AE4F-97327525C8C3}"/>
    <hyperlink ref="B13" r:id="rId4" xr:uid="{90560456-A25D-43EC-93AF-640E90778F76}"/>
  </hyperlinks>
  <pageMargins left="0.7" right="0.7" top="0.75" bottom="0.75" header="0.3" footer="0.3"/>
  <pageSetup orientation="portrait" r:id="rId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FUNCTION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BHANU SURYAVANSHI</dc:creator>
  <cp:lastModifiedBy>bhanusuryavanshi@hotmail.com</cp:lastModifiedBy>
  <cp:lastPrinted>2026-01-31T04:46:15Z</cp:lastPrinted>
  <dcterms:created xsi:type="dcterms:W3CDTF">2026-01-30T04:26:13Z</dcterms:created>
  <dcterms:modified xsi:type="dcterms:W3CDTF">2026-01-31T05:01:03Z</dcterms:modified>
</cp:coreProperties>
</file>
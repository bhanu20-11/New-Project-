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HANU SURYAVANSHI\Desktop\new Excel Project\"/>
    </mc:Choice>
  </mc:AlternateContent>
  <xr:revisionPtr revIDLastSave="0" documentId="13_ncr:1_{757343D9-350C-4526-A089-6F923290AA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 functio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I17" i="1"/>
  <c r="H6" i="1"/>
  <c r="H3" i="1"/>
  <c r="C27" i="1"/>
  <c r="D27" i="1" s="1"/>
  <c r="B20" i="1"/>
  <c r="C20" i="1" s="1"/>
  <c r="E17" i="1"/>
  <c r="F10" i="1"/>
  <c r="E10" i="1"/>
  <c r="B13" i="1" s="1"/>
  <c r="D10" i="1"/>
  <c r="C10" i="1"/>
  <c r="B10" i="1"/>
  <c r="D30" i="1" l="1"/>
  <c r="D29" i="1"/>
  <c r="D28" i="1"/>
  <c r="C23" i="1"/>
  <c r="C22" i="1"/>
  <c r="C21" i="1"/>
  <c r="C13" i="1"/>
</calcChain>
</file>

<file path=xl/sharedStrings.xml><?xml version="1.0" encoding="utf-8"?>
<sst xmlns="http://schemas.openxmlformats.org/spreadsheetml/2006/main" count="30" uniqueCount="30">
  <si>
    <t>OrderID</t>
  </si>
  <si>
    <t>OrderDate</t>
  </si>
  <si>
    <t>ShipDate</t>
  </si>
  <si>
    <t>DeliveryDate</t>
  </si>
  <si>
    <t>PaymentDate</t>
  </si>
  <si>
    <t>Amount</t>
  </si>
  <si>
    <t>DAY()</t>
  </si>
  <si>
    <t>MONTH()</t>
  </si>
  <si>
    <t>YEAR()</t>
  </si>
  <si>
    <t>NOW()</t>
  </si>
  <si>
    <t>TODAY()</t>
  </si>
  <si>
    <t>WEEKNUM()</t>
  </si>
  <si>
    <t>WEEKDAY()</t>
  </si>
  <si>
    <t>DATE ()</t>
  </si>
  <si>
    <t>DAY</t>
  </si>
  <si>
    <t>MONTH</t>
  </si>
  <si>
    <t xml:space="preserve">YEAR </t>
  </si>
  <si>
    <t>DATE()</t>
  </si>
  <si>
    <t>TEXT()</t>
  </si>
  <si>
    <t>datedif()</t>
  </si>
  <si>
    <t>year</t>
  </si>
  <si>
    <t>day</t>
  </si>
  <si>
    <t>month</t>
  </si>
  <si>
    <t>EDATE()</t>
  </si>
  <si>
    <t>EOMONTH()</t>
  </si>
  <si>
    <t>DATE</t>
  </si>
  <si>
    <t>HOLIDAY</t>
  </si>
  <si>
    <t>NETWORKDAYS()</t>
  </si>
  <si>
    <t>NETWORKDAYS.INTL</t>
  </si>
  <si>
    <t>NETWORKDAYS/NETWORKDAYS.INTL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</si>
</sst>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name val="Aptos Narrow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thick">
        <color theme="1"/>
      </left>
      <right style="medium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medium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n">
        <color indexed="64"/>
      </left>
      <right style="thick">
        <color theme="1"/>
      </right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1" xfId="1" applyFont="1" applyFill="1" applyBorder="1"/>
    <xf numFmtId="0" fontId="2" fillId="0" borderId="1" xfId="1" applyFont="1" applyBorder="1"/>
    <xf numFmtId="164" fontId="2" fillId="0" borderId="1" xfId="1" applyNumberFormat="1" applyFont="1" applyBorder="1"/>
    <xf numFmtId="0" fontId="0" fillId="2" borderId="1" xfId="0" applyFill="1" applyBorder="1" applyAlignment="1">
      <alignment horizontal="center"/>
    </xf>
    <xf numFmtId="22" fontId="0" fillId="2" borderId="1" xfId="0" applyNumberForma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22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6" xfId="0" applyBorder="1"/>
    <xf numFmtId="14" fontId="0" fillId="0" borderId="6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12" xfId="0" applyNumberFormat="1" applyBorder="1"/>
    <xf numFmtId="14" fontId="0" fillId="0" borderId="14" xfId="0" applyNumberFormat="1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4" fillId="2" borderId="1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19" xfId="0" applyBorder="1"/>
    <xf numFmtId="0" fontId="3" fillId="2" borderId="6" xfId="0" applyFont="1" applyFill="1" applyBorder="1"/>
    <xf numFmtId="0" fontId="0" fillId="2" borderId="2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</cellXfs>
  <cellStyles count="2">
    <cellStyle name="Normal" xfId="0" builtinId="0"/>
    <cellStyle name="Normal 2" xfId="1" xr:uid="{3F803529-6493-4FAB-A53E-791A6DDAF8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66" workbookViewId="0">
      <selection activeCell="F27" sqref="F27"/>
    </sheetView>
  </sheetViews>
  <sheetFormatPr defaultRowHeight="14.4" x14ac:dyDescent="0.3"/>
  <cols>
    <col min="1" max="1" width="6.88671875" bestFit="1" customWidth="1"/>
    <col min="2" max="2" width="10.6640625" bestFit="1" customWidth="1"/>
    <col min="3" max="3" width="26.33203125" bestFit="1" customWidth="1"/>
    <col min="4" max="4" width="21.5546875" bestFit="1" customWidth="1"/>
    <col min="5" max="5" width="11.109375" bestFit="1" customWidth="1"/>
    <col min="6" max="6" width="16" bestFit="1" customWidth="1"/>
    <col min="7" max="7" width="10.6640625" bestFit="1" customWidth="1"/>
    <col min="8" max="8" width="11" bestFit="1" customWidth="1"/>
    <col min="9" max="9" width="15" bestFit="1" customWidth="1"/>
    <col min="10" max="10" width="18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">
      <c r="A2" s="2">
        <v>101</v>
      </c>
      <c r="B2" s="3">
        <v>45296</v>
      </c>
      <c r="C2" s="3">
        <v>45297</v>
      </c>
      <c r="D2" s="3">
        <v>45301</v>
      </c>
      <c r="E2" s="3">
        <v>45296</v>
      </c>
      <c r="F2" s="2">
        <v>1200</v>
      </c>
      <c r="H2" s="9" t="s">
        <v>23</v>
      </c>
    </row>
    <row r="3" spans="1:11" x14ac:dyDescent="0.3">
      <c r="A3" s="2">
        <v>102</v>
      </c>
      <c r="B3" s="3">
        <v>45306</v>
      </c>
      <c r="C3" s="3">
        <v>45308</v>
      </c>
      <c r="D3" s="3">
        <v>45313</v>
      </c>
      <c r="E3" s="3">
        <v>45307</v>
      </c>
      <c r="F3" s="2">
        <v>850</v>
      </c>
      <c r="H3" s="7">
        <f>EDATE(B2,2)</f>
        <v>45356</v>
      </c>
    </row>
    <row r="4" spans="1:11" x14ac:dyDescent="0.3">
      <c r="A4" s="2">
        <v>103</v>
      </c>
      <c r="B4" s="3">
        <v>45350</v>
      </c>
      <c r="C4" s="3">
        <v>45351</v>
      </c>
      <c r="D4" s="3">
        <v>45356</v>
      </c>
      <c r="E4" s="3">
        <v>45350</v>
      </c>
      <c r="F4" s="2">
        <v>1500</v>
      </c>
    </row>
    <row r="5" spans="1:11" x14ac:dyDescent="0.3">
      <c r="A5" s="2">
        <v>104</v>
      </c>
      <c r="B5" s="3">
        <v>45382</v>
      </c>
      <c r="C5" s="3">
        <v>45383</v>
      </c>
      <c r="D5" s="3">
        <v>45389</v>
      </c>
      <c r="E5" s="3">
        <v>45382</v>
      </c>
      <c r="F5" s="2">
        <v>980</v>
      </c>
      <c r="H5" s="9" t="s">
        <v>24</v>
      </c>
    </row>
    <row r="6" spans="1:11" x14ac:dyDescent="0.3">
      <c r="A6" s="2">
        <v>105</v>
      </c>
      <c r="B6" s="3">
        <v>45453</v>
      </c>
      <c r="C6" s="3">
        <v>45455</v>
      </c>
      <c r="D6" s="3">
        <v>45461</v>
      </c>
      <c r="E6" s="3">
        <v>45454</v>
      </c>
      <c r="F6" s="2">
        <v>2200</v>
      </c>
      <c r="H6" s="7">
        <f>EOMONTH(B2,2)</f>
        <v>45382</v>
      </c>
    </row>
    <row r="9" spans="1:11" x14ac:dyDescent="0.3">
      <c r="B9" s="4" t="s">
        <v>6</v>
      </c>
      <c r="C9" s="4" t="s">
        <v>7</v>
      </c>
      <c r="D9" s="4" t="s">
        <v>8</v>
      </c>
      <c r="E9" s="5" t="s">
        <v>10</v>
      </c>
      <c r="F9" s="4" t="s">
        <v>9</v>
      </c>
    </row>
    <row r="10" spans="1:11" x14ac:dyDescent="0.3">
      <c r="B10" s="6">
        <f>DAY(B2)</f>
        <v>5</v>
      </c>
      <c r="C10" s="6">
        <f>MONTH(C2)</f>
        <v>1</v>
      </c>
      <c r="D10" s="6">
        <f>YEAR(D2)</f>
        <v>2024</v>
      </c>
      <c r="E10" s="7">
        <f ca="1">TODAY()</f>
        <v>46056</v>
      </c>
      <c r="F10" s="8">
        <f ca="1">NOW()</f>
        <v>46056.411453356479</v>
      </c>
    </row>
    <row r="12" spans="1:11" x14ac:dyDescent="0.3">
      <c r="B12" s="9" t="s">
        <v>12</v>
      </c>
      <c r="C12" s="9" t="s">
        <v>11</v>
      </c>
    </row>
    <row r="13" spans="1:11" ht="15" thickBot="1" x14ac:dyDescent="0.35">
      <c r="B13" s="10">
        <f ca="1">WEEKDAY(E10,2)</f>
        <v>2</v>
      </c>
      <c r="C13" s="10">
        <f ca="1">WEEKNUM(E10,2)</f>
        <v>6</v>
      </c>
    </row>
    <row r="14" spans="1:11" ht="15" thickTop="1" x14ac:dyDescent="0.3">
      <c r="F14" s="22"/>
      <c r="G14" s="23" t="s">
        <v>29</v>
      </c>
      <c r="H14" s="24"/>
      <c r="I14" s="24"/>
      <c r="J14" s="27"/>
    </row>
    <row r="15" spans="1:11" ht="15" thickBot="1" x14ac:dyDescent="0.35">
      <c r="B15" s="11" t="s">
        <v>13</v>
      </c>
      <c r="C15" s="11"/>
      <c r="D15" s="11"/>
      <c r="E15" s="11"/>
      <c r="F15" s="21"/>
      <c r="G15" s="25"/>
      <c r="H15" s="26"/>
      <c r="I15" s="26"/>
      <c r="J15" s="28"/>
    </row>
    <row r="16" spans="1:11" ht="15.6" thickTop="1" thickBot="1" x14ac:dyDescent="0.35">
      <c r="B16" s="9" t="s">
        <v>14</v>
      </c>
      <c r="C16" s="9" t="s">
        <v>15</v>
      </c>
      <c r="D16" s="9" t="s">
        <v>16</v>
      </c>
      <c r="E16" s="9" t="s">
        <v>17</v>
      </c>
      <c r="G16" s="30" t="s">
        <v>25</v>
      </c>
      <c r="H16" s="30" t="s">
        <v>26</v>
      </c>
      <c r="I16" s="30" t="s">
        <v>27</v>
      </c>
      <c r="J16" s="30" t="s">
        <v>28</v>
      </c>
      <c r="K16" s="29"/>
    </row>
    <row r="17" spans="2:10" ht="15.6" thickTop="1" thickBot="1" x14ac:dyDescent="0.35">
      <c r="B17" s="10">
        <v>13</v>
      </c>
      <c r="C17" s="10">
        <v>8</v>
      </c>
      <c r="D17" s="10">
        <v>2012</v>
      </c>
      <c r="E17" s="7">
        <f>DATE(D17,C17,B17)</f>
        <v>41134</v>
      </c>
      <c r="G17" s="13">
        <v>46023</v>
      </c>
      <c r="H17" s="13">
        <v>46032</v>
      </c>
      <c r="I17" s="12">
        <f>NETWORKDAYS(G17,G18,H17:H19)</f>
        <v>20</v>
      </c>
      <c r="J17" s="14">
        <f>NETWORKDAYS.INTL(G17,G18,11,H17:H19)</f>
        <v>24</v>
      </c>
    </row>
    <row r="18" spans="2:10" ht="15.6" thickTop="1" thickBot="1" x14ac:dyDescent="0.35">
      <c r="G18" s="19">
        <v>46053</v>
      </c>
      <c r="H18" s="18">
        <v>46048</v>
      </c>
      <c r="I18" s="17"/>
      <c r="J18" s="16"/>
    </row>
    <row r="19" spans="2:10" ht="15.6" thickTop="1" thickBot="1" x14ac:dyDescent="0.35">
      <c r="B19" s="11" t="s">
        <v>18</v>
      </c>
      <c r="C19" s="11"/>
      <c r="G19" s="20"/>
      <c r="H19" s="13">
        <v>46036</v>
      </c>
      <c r="I19" s="15"/>
    </row>
    <row r="20" spans="2:10" ht="15" thickTop="1" x14ac:dyDescent="0.3">
      <c r="B20" s="7">
        <f ca="1">TODAY()</f>
        <v>46056</v>
      </c>
      <c r="C20" s="10" t="str">
        <f ca="1">TEXT(B20,"DD MMM YYYY")</f>
        <v>03 Feb 2026</v>
      </c>
    </row>
    <row r="21" spans="2:10" x14ac:dyDescent="0.3">
      <c r="B21" s="10"/>
      <c r="C21" s="10" t="str">
        <f ca="1">TEXT(B20,"DD/MM/YY")</f>
        <v>03/02/26</v>
      </c>
    </row>
    <row r="22" spans="2:10" x14ac:dyDescent="0.3">
      <c r="B22" s="10"/>
      <c r="C22" s="10" t="str">
        <f ca="1">TEXT(B20,"DDDD , (DD MMM  YYYY)")</f>
        <v>Tuesday , (03 Feb  2026)</v>
      </c>
    </row>
    <row r="23" spans="2:10" x14ac:dyDescent="0.3">
      <c r="B23" s="10"/>
      <c r="C23" s="10" t="str">
        <f ca="1">PROPER("today is "&amp; TEXT(B20,"dddd dd mmm ,yyyy"))</f>
        <v>Today Is Tuesday 03 Feb ,2026</v>
      </c>
    </row>
    <row r="26" spans="2:10" x14ac:dyDescent="0.3">
      <c r="B26" s="31" t="s">
        <v>19</v>
      </c>
      <c r="C26" s="32"/>
      <c r="D26" s="32"/>
      <c r="E26" s="33"/>
    </row>
    <row r="27" spans="2:10" x14ac:dyDescent="0.3">
      <c r="B27" s="7">
        <v>37215</v>
      </c>
      <c r="C27" s="7">
        <f ca="1">TODAY()</f>
        <v>46056</v>
      </c>
      <c r="D27" s="10">
        <f ca="1">DATEDIF(B27,C27,"y")</f>
        <v>24</v>
      </c>
      <c r="E27" s="10" t="s">
        <v>20</v>
      </c>
    </row>
    <row r="28" spans="2:10" x14ac:dyDescent="0.3">
      <c r="B28" s="10"/>
      <c r="C28" s="10"/>
      <c r="D28" s="10">
        <f ca="1">DATEDIF(B27,C27,"d")</f>
        <v>8841</v>
      </c>
      <c r="E28" s="10" t="s">
        <v>21</v>
      </c>
    </row>
    <row r="29" spans="2:10" x14ac:dyDescent="0.3">
      <c r="B29" s="10"/>
      <c r="C29" s="10"/>
      <c r="D29" s="10">
        <f ca="1">DATEDIF(B27,C27,"m")</f>
        <v>290</v>
      </c>
      <c r="E29" s="10" t="s">
        <v>22</v>
      </c>
    </row>
    <row r="30" spans="2:10" x14ac:dyDescent="0.3">
      <c r="B30" s="10"/>
      <c r="C30" s="10"/>
      <c r="D30" s="10" t="str">
        <f ca="1">PROPER(DATEDIF(B27,C27,"y")&amp;" YEAR " &amp; DATEDIF(B27,C27,"YM")&amp;" MONTH " &amp; DATEDIF(B27,C27,"MD") &amp; " DAY ")</f>
        <v xml:space="preserve">24 Year 2 Month 14 Day </v>
      </c>
      <c r="E30" s="10"/>
    </row>
  </sheetData>
  <mergeCells count="4">
    <mergeCell ref="B15:E15"/>
    <mergeCell ref="B19:C19"/>
    <mergeCell ref="G14:J15"/>
    <mergeCell ref="B26:E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1B88-0F69-442E-83E4-4B567F959325}">
  <dimension ref="A1"/>
  <sheetViews>
    <sheetView workbookViewId="0">
      <selection activeCell="C16" sqref="C1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function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SURYAVANSHI</dc:creator>
  <cp:lastModifiedBy>bhanusuryavanshi@hotmail.com</cp:lastModifiedBy>
  <dcterms:created xsi:type="dcterms:W3CDTF">2015-06-05T18:17:20Z</dcterms:created>
  <dcterms:modified xsi:type="dcterms:W3CDTF">2026-02-03T04:24:24Z</dcterms:modified>
</cp:coreProperties>
</file>
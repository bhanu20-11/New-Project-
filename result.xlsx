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ANU SURYAVANSHI\Desktop\new Excel Project\"/>
    </mc:Choice>
  </mc:AlternateContent>
  <xr:revisionPtr revIDLastSave="0" documentId="13_ncr:1_{0099E1C0-CDBE-4D9F-A3DE-233D24262700}" xr6:coauthVersionLast="47" xr6:coauthVersionMax="47" xr10:uidLastSave="{00000000-0000-0000-0000-000000000000}"/>
  <bookViews>
    <workbookView xWindow="-108" yWindow="-108" windowWidth="23256" windowHeight="13896" xr2:uid="{0E668913-53B6-4D4E-80DC-A3930A4C74DB}"/>
  </bookViews>
  <sheets>
    <sheet name="resul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" i="1" l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 s="1"/>
  <c r="M24" i="1" a="1"/>
  <c r="M24" i="1" s="1"/>
  <c r="M25" i="1" a="1"/>
  <c r="M25" i="1" s="1"/>
  <c r="M26" i="1" a="1"/>
  <c r="M26" i="1" s="1"/>
  <c r="M27" i="1" a="1"/>
  <c r="M27" i="1" s="1"/>
  <c r="M28" i="1" a="1"/>
  <c r="M28" i="1" s="1"/>
  <c r="M29" i="1" a="1"/>
  <c r="M29" i="1" s="1"/>
  <c r="M30" i="1" a="1"/>
  <c r="M30" i="1"/>
  <c r="M31" i="1" a="1"/>
  <c r="M31" i="1" s="1"/>
  <c r="M32" i="1" a="1"/>
  <c r="M32" i="1" s="1"/>
  <c r="M33" i="1" a="1"/>
  <c r="M33" i="1" s="1"/>
  <c r="M34" i="1" a="1"/>
  <c r="M34" i="1" s="1"/>
  <c r="M35" i="1" a="1"/>
  <c r="M35" i="1" s="1"/>
  <c r="M36" i="1" a="1"/>
  <c r="M36" i="1" s="1"/>
  <c r="M37" i="1" a="1"/>
  <c r="M37" i="1" s="1"/>
  <c r="M38" i="1" a="1"/>
  <c r="M38" i="1" s="1"/>
  <c r="M39" i="1" a="1"/>
  <c r="M39" i="1" s="1"/>
  <c r="M40" i="1" a="1"/>
  <c r="M40" i="1" s="1"/>
  <c r="M41" i="1" a="1"/>
  <c r="M41" i="1" s="1"/>
  <c r="M42" i="1" a="1"/>
  <c r="M42" i="1" s="1"/>
  <c r="M43" i="1" a="1"/>
  <c r="M43" i="1" s="1"/>
  <c r="M44" i="1" a="1"/>
  <c r="M44" i="1" s="1"/>
  <c r="M45" i="1" a="1"/>
  <c r="M45" i="1" s="1"/>
  <c r="M46" i="1" a="1"/>
  <c r="M46" i="1" s="1"/>
  <c r="M47" i="1" a="1"/>
  <c r="M47" i="1" s="1"/>
  <c r="M48" i="1" a="1"/>
  <c r="M48" i="1" s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/>
  <c r="M55" i="1" a="1"/>
  <c r="M55" i="1" s="1"/>
  <c r="M6" i="1" a="1"/>
  <c r="M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46" i="1"/>
  <c r="L46" i="1" s="1"/>
  <c r="K47" i="1"/>
  <c r="L47" i="1" s="1"/>
  <c r="K48" i="1"/>
  <c r="L48" i="1" s="1"/>
  <c r="K49" i="1"/>
  <c r="L49" i="1" s="1"/>
  <c r="K50" i="1"/>
  <c r="L50" i="1" s="1"/>
  <c r="K51" i="1"/>
  <c r="L51" i="1" s="1"/>
  <c r="K52" i="1"/>
  <c r="L52" i="1" s="1"/>
  <c r="K53" i="1"/>
  <c r="L53" i="1" s="1"/>
  <c r="K54" i="1"/>
  <c r="L54" i="1" s="1"/>
  <c r="K55" i="1"/>
  <c r="L55" i="1" s="1"/>
  <c r="K6" i="1"/>
  <c r="L6" i="1" s="1"/>
  <c r="S9" i="1" l="1"/>
  <c r="S8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<sst xmlns="http://schemas.openxmlformats.org/spreadsheetml/2006/main" count="73" uniqueCount="73">
  <si>
    <t>Roll No</t>
  </si>
  <si>
    <t>Student Name</t>
  </si>
  <si>
    <t>English</t>
  </si>
  <si>
    <t>Maths</t>
  </si>
  <si>
    <t>Science</t>
  </si>
  <si>
    <t>Social</t>
  </si>
  <si>
    <t>Computer</t>
  </si>
  <si>
    <t>Aarav Sharma</t>
  </si>
  <si>
    <t>Ananya Verma</t>
  </si>
  <si>
    <t>Rohit Kumar</t>
  </si>
  <si>
    <t>Priya Singh</t>
  </si>
  <si>
    <t>Aman Gupta</t>
  </si>
  <si>
    <t>Neha Patel</t>
  </si>
  <si>
    <t>Rahul Mishra</t>
  </si>
  <si>
    <t>Kavya Jain</t>
  </si>
  <si>
    <t>Suresh Yadav</t>
  </si>
  <si>
    <t>Pooja Mehta</t>
  </si>
  <si>
    <t>Arjun Malhotra</t>
  </si>
  <si>
    <t>Simran Kaur</t>
  </si>
  <si>
    <t>Vikas Choudhary</t>
  </si>
  <si>
    <t>Ritu Saxena</t>
  </si>
  <si>
    <t>Manish Pandey</t>
  </si>
  <si>
    <t>Nidhi Bansal</t>
  </si>
  <si>
    <t>Ashish Tiwari</t>
  </si>
  <si>
    <t>Sonal Agarwal</t>
  </si>
  <si>
    <t>Dinesh Rawat</t>
  </si>
  <si>
    <t>Isha Kapoor</t>
  </si>
  <si>
    <t>Deepak Joshi</t>
  </si>
  <si>
    <t>Shreya Nair</t>
  </si>
  <si>
    <t>Kunal Thakur</t>
  </si>
  <si>
    <t>Pankaj Verma</t>
  </si>
  <si>
    <t>Meenal Arora</t>
  </si>
  <si>
    <t>Naveen Solanki</t>
  </si>
  <si>
    <t>Riya Chatterjee</t>
  </si>
  <si>
    <t>Sunil Chauhan</t>
  </si>
  <si>
    <t>Alok Srivastava</t>
  </si>
  <si>
    <t>Tanya Bhardwaj</t>
  </si>
  <si>
    <t>Mukesh Pal</t>
  </si>
  <si>
    <t>Aditi Kulkarni</t>
  </si>
  <si>
    <t>Harsh Vardhan</t>
  </si>
  <si>
    <t>Seema Rani</t>
  </si>
  <si>
    <t>Yash Khanna</t>
  </si>
  <si>
    <t>Rajeev Saxena</t>
  </si>
  <si>
    <t>Monika Sethi</t>
  </si>
  <si>
    <t>Balram Nishad</t>
  </si>
  <si>
    <t>Shubham Dubey</t>
  </si>
  <si>
    <t>Pallavi Deshpande</t>
  </si>
  <si>
    <t>Prakash Jha</t>
  </si>
  <si>
    <t>Sneha Iyer</t>
  </si>
  <si>
    <t>Ajay Rana</t>
  </si>
  <si>
    <t>Kiran Pawar</t>
  </si>
  <si>
    <t>Naman Goyal</t>
  </si>
  <si>
    <t>Rekha Menon</t>
  </si>
  <si>
    <t>Suraj Patil</t>
  </si>
  <si>
    <t>Ishita Banerjee</t>
  </si>
  <si>
    <t>Mohit Bhatia</t>
  </si>
  <si>
    <t>Preeti Kulshreshtha</t>
  </si>
  <si>
    <t>Yearly Result</t>
  </si>
  <si>
    <t>Summary of Result</t>
  </si>
  <si>
    <t xml:space="preserve">No of Student Passed </t>
  </si>
  <si>
    <t xml:space="preserve">Max Marks </t>
  </si>
  <si>
    <t>Pass Marks</t>
  </si>
  <si>
    <t>No of Student failed</t>
  </si>
  <si>
    <t xml:space="preserve">Topper of class </t>
  </si>
  <si>
    <t xml:space="preserve">Bottom in class </t>
  </si>
  <si>
    <t xml:space="preserve">No. of Student Failed in 1 Subject </t>
  </si>
  <si>
    <t xml:space="preserve">No. of Student Failed in 2 Subject </t>
  </si>
  <si>
    <t xml:space="preserve">No. of Student Eligible for greace  </t>
  </si>
  <si>
    <t>No. of Student Get Distinction</t>
  </si>
  <si>
    <t>Total</t>
  </si>
  <si>
    <t>Percentage</t>
  </si>
  <si>
    <t>Result</t>
  </si>
  <si>
    <t>No of Student SUPP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</si>
</sst>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0" fillId="33" borderId="10" xfId="0" applyFill="1" applyBorder="1"/>
    <xf numFmtId="0" fontId="18" fillId="0" borderId="10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8" fillId="0" borderId="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38CA4-8A24-4387-B1AB-55B23B85F3FE}">
  <dimension ref="A2:W55"/>
  <sheetViews>
    <sheetView tabSelected="1" topLeftCell="C1" workbookViewId="0">
      <selection activeCell="S13" sqref="S13"/>
    </sheetView>
  </sheetViews>
  <sheetFormatPr defaultColWidth="9.6640625" defaultRowHeight="14.4" x14ac:dyDescent="0.3"/>
  <cols>
    <col min="1" max="1" width="10.109375" bestFit="1" customWidth="1"/>
    <col min="2" max="2" width="4" bestFit="1" customWidth="1"/>
    <col min="4" max="4" width="6.6640625" bestFit="1" customWidth="1"/>
    <col min="5" max="5" width="16.6640625" bestFit="1" customWidth="1"/>
    <col min="6" max="6" width="6.6640625" bestFit="1" customWidth="1"/>
    <col min="7" max="7" width="5.88671875" bestFit="1" customWidth="1"/>
    <col min="8" max="8" width="7.44140625" bestFit="1" customWidth="1"/>
    <col min="9" max="9" width="5.88671875" bestFit="1" customWidth="1"/>
    <col min="10" max="10" width="9" bestFit="1" customWidth="1"/>
    <col min="15" max="15" width="27.77734375" bestFit="1" customWidth="1"/>
    <col min="18" max="18" width="27.77734375" bestFit="1" customWidth="1"/>
  </cols>
  <sheetData>
    <row r="2" spans="1:23" ht="14.4" customHeight="1" x14ac:dyDescent="0.3">
      <c r="E2" s="4" t="s">
        <v>57</v>
      </c>
      <c r="F2" s="5"/>
      <c r="G2" s="5"/>
      <c r="H2" s="5"/>
      <c r="I2" s="5"/>
      <c r="J2" s="5"/>
      <c r="K2" s="5"/>
      <c r="L2" s="5"/>
    </row>
    <row r="3" spans="1:23" x14ac:dyDescent="0.3">
      <c r="E3" s="4"/>
      <c r="F3" s="5"/>
      <c r="G3" s="5"/>
      <c r="H3" s="5"/>
      <c r="I3" s="5"/>
      <c r="J3" s="5"/>
      <c r="K3" s="5"/>
      <c r="L3" s="5"/>
    </row>
    <row r="5" spans="1:23" x14ac:dyDescent="0.3">
      <c r="D5" s="2" t="s">
        <v>0</v>
      </c>
      <c r="E5" s="2" t="s">
        <v>1</v>
      </c>
      <c r="F5" s="2" t="s">
        <v>2</v>
      </c>
      <c r="G5" s="2" t="s">
        <v>3</v>
      </c>
      <c r="H5" s="2" t="s">
        <v>4</v>
      </c>
      <c r="I5" s="2" t="s">
        <v>5</v>
      </c>
      <c r="J5" s="2" t="s">
        <v>6</v>
      </c>
      <c r="K5" s="2" t="s">
        <v>69</v>
      </c>
      <c r="L5" s="2" t="s">
        <v>70</v>
      </c>
      <c r="M5" s="2" t="s">
        <v>71</v>
      </c>
    </row>
    <row r="6" spans="1:23" x14ac:dyDescent="0.3">
      <c r="D6" s="1">
        <v>1</v>
      </c>
      <c r="E6" s="1" t="s">
        <v>7</v>
      </c>
      <c r="F6" s="1">
        <v>68</v>
      </c>
      <c r="G6" s="1">
        <v>72</v>
      </c>
      <c r="H6" s="1">
        <v>70</v>
      </c>
      <c r="I6" s="1">
        <v>66</v>
      </c>
      <c r="J6" s="1">
        <v>75</v>
      </c>
      <c r="K6" s="1">
        <f>SUM(F6:J6)</f>
        <v>351</v>
      </c>
      <c r="L6" s="1">
        <f>K6/500*100</f>
        <v>70.199999999999989</v>
      </c>
      <c r="M6" s="1" t="str" cm="1">
        <f t="array" ref="M6">_xlfn.IFS(COUNTIF(F6:J6,"&gt;=50")=5,"PASS",COUNTIF(F6:J6,"&gt;=50")&gt;=3,"SUPP",TRUE(),"FAIL")</f>
        <v>PASS</v>
      </c>
      <c r="R6" s="3" t="s">
        <v>58</v>
      </c>
      <c r="S6" s="3"/>
      <c r="T6" s="3"/>
      <c r="U6" s="3"/>
      <c r="V6" s="3"/>
      <c r="W6" s="3"/>
    </row>
    <row r="7" spans="1:23" x14ac:dyDescent="0.3">
      <c r="D7" s="1">
        <v>2</v>
      </c>
      <c r="E7" s="1" t="s">
        <v>8</v>
      </c>
      <c r="F7" s="1">
        <v>74</v>
      </c>
      <c r="G7" s="1">
        <v>81</v>
      </c>
      <c r="H7" s="1">
        <v>78</v>
      </c>
      <c r="I7" s="1">
        <v>76</v>
      </c>
      <c r="J7" s="1">
        <v>82</v>
      </c>
      <c r="K7" s="1">
        <f t="shared" ref="K7:K55" si="0">SUM(F7:J7)</f>
        <v>391</v>
      </c>
      <c r="L7" s="1">
        <f t="shared" ref="L7:L55" si="1">K7/500*100</f>
        <v>78.2</v>
      </c>
      <c r="M7" s="1" t="str" cm="1">
        <f t="array" ref="M7">_xlfn.IFS(COUNTIF(F7:J7,"&gt;=50")=5,"PASS",COUNTIF(F7:J7,"&gt;=50")&gt;=3,"SUPP",TRUE(),"FAIL")</f>
        <v>PASS</v>
      </c>
      <c r="R7" s="3"/>
      <c r="S7" s="3"/>
      <c r="T7" s="3"/>
      <c r="U7" s="3"/>
      <c r="V7" s="3"/>
      <c r="W7" s="3"/>
    </row>
    <row r="8" spans="1:23" x14ac:dyDescent="0.3">
      <c r="D8" s="1">
        <v>3</v>
      </c>
      <c r="E8" s="1" t="s">
        <v>9</v>
      </c>
      <c r="F8" s="1">
        <v>45</v>
      </c>
      <c r="G8" s="1">
        <v>52</v>
      </c>
      <c r="H8" s="1">
        <v>48</v>
      </c>
      <c r="I8" s="1">
        <v>50</v>
      </c>
      <c r="J8" s="1">
        <v>55</v>
      </c>
      <c r="K8" s="1">
        <f t="shared" si="0"/>
        <v>250</v>
      </c>
      <c r="L8" s="1">
        <f t="shared" si="1"/>
        <v>50</v>
      </c>
      <c r="M8" s="1" t="str" cm="1">
        <f t="array" ref="M8">_xlfn.IFS(COUNTIF(F8:J8,"&gt;=50")=5,"PASS",COUNTIF(F8:J8,"&gt;=50")&gt;=3,"SUPP",TRUE(),"FAIL")</f>
        <v>SUPP</v>
      </c>
      <c r="R8" s="1" t="s">
        <v>59</v>
      </c>
      <c r="S8" s="1">
        <f>COUNTIF(M6:M55,"PASS")</f>
        <v>37</v>
      </c>
      <c r="T8" s="1"/>
      <c r="U8" s="1"/>
      <c r="V8" s="1"/>
      <c r="W8" s="1"/>
    </row>
    <row r="9" spans="1:23" x14ac:dyDescent="0.3">
      <c r="D9" s="1">
        <v>4</v>
      </c>
      <c r="E9" s="1" t="s">
        <v>10</v>
      </c>
      <c r="F9" s="1">
        <v>82</v>
      </c>
      <c r="G9" s="1">
        <v>88</v>
      </c>
      <c r="H9" s="1">
        <v>85</v>
      </c>
      <c r="I9" s="1">
        <v>80</v>
      </c>
      <c r="J9" s="1">
        <v>90</v>
      </c>
      <c r="K9" s="1">
        <f t="shared" si="0"/>
        <v>425</v>
      </c>
      <c r="L9" s="1">
        <f t="shared" si="1"/>
        <v>85</v>
      </c>
      <c r="M9" s="1" t="str" cm="1">
        <f t="array" ref="M9">_xlfn.IFS(COUNTIF(F9:J9,"&gt;=50")=5,"PASS",COUNTIF(F9:J9,"&gt;=50")&gt;=3,"SUPP",TRUE(),"FAIL")</f>
        <v>PASS</v>
      </c>
      <c r="R9" s="1" t="s">
        <v>62</v>
      </c>
      <c r="S9" s="1">
        <f>COUNTIF(M6:M55,"FAIL")</f>
        <v>12</v>
      </c>
      <c r="T9" s="1"/>
      <c r="U9" s="1"/>
      <c r="V9" s="1"/>
      <c r="W9" s="1"/>
    </row>
    <row r="10" spans="1:23" x14ac:dyDescent="0.3">
      <c r="D10" s="1">
        <v>5</v>
      </c>
      <c r="E10" s="1" t="s">
        <v>11</v>
      </c>
      <c r="F10" s="1">
        <v>34</v>
      </c>
      <c r="G10" s="1">
        <v>42</v>
      </c>
      <c r="H10" s="1">
        <v>38</v>
      </c>
      <c r="I10" s="1">
        <v>40</v>
      </c>
      <c r="J10" s="1">
        <v>45</v>
      </c>
      <c r="K10" s="1">
        <f t="shared" si="0"/>
        <v>199</v>
      </c>
      <c r="L10" s="1">
        <f t="shared" si="1"/>
        <v>39.800000000000004</v>
      </c>
      <c r="M10" s="1" t="str" cm="1">
        <f t="array" ref="M10">_xlfn.IFS(COUNTIF(F10:J10,"&gt;=50")=5,"PASS",COUNTIF(F10:J10,"&gt;=50")&gt;=3,"SUPP",TRUE(),"FAIL")</f>
        <v>FAIL</v>
      </c>
      <c r="R10" s="1" t="s">
        <v>72</v>
      </c>
      <c r="S10" s="1">
        <f>COUNTIF($M7:M56,"SUPP")</f>
        <v>1</v>
      </c>
      <c r="T10" s="1"/>
      <c r="U10" s="1"/>
      <c r="V10" s="1"/>
      <c r="W10" s="1"/>
    </row>
    <row r="11" spans="1:23" x14ac:dyDescent="0.3">
      <c r="A11" s="1" t="s">
        <v>60</v>
      </c>
      <c r="B11" s="1">
        <v>100</v>
      </c>
      <c r="D11" s="1">
        <v>6</v>
      </c>
      <c r="E11" s="1" t="s">
        <v>12</v>
      </c>
      <c r="F11" s="1">
        <v>71</v>
      </c>
      <c r="G11" s="1">
        <v>69</v>
      </c>
      <c r="H11" s="1">
        <v>73</v>
      </c>
      <c r="I11" s="1">
        <v>70</v>
      </c>
      <c r="J11" s="1">
        <v>76</v>
      </c>
      <c r="K11" s="1">
        <f t="shared" si="0"/>
        <v>359</v>
      </c>
      <c r="L11" s="1">
        <f t="shared" si="1"/>
        <v>71.8</v>
      </c>
      <c r="M11" s="1" t="str" cm="1">
        <f t="array" ref="M11">_xlfn.IFS(COUNTIF(F11:J11,"&gt;=50")=5,"PASS",COUNTIF(F11:J11,"&gt;=50")&gt;=3,"SUPP",TRUE(),"FAIL")</f>
        <v>PASS</v>
      </c>
      <c r="R11" s="1" t="s">
        <v>63</v>
      </c>
      <c r="S11" s="1"/>
      <c r="T11" s="1"/>
      <c r="U11" s="1"/>
      <c r="V11" s="1"/>
      <c r="W11" s="1"/>
    </row>
    <row r="12" spans="1:23" x14ac:dyDescent="0.3">
      <c r="A12" s="1" t="s">
        <v>61</v>
      </c>
      <c r="B12" s="1">
        <v>50</v>
      </c>
      <c r="D12" s="1">
        <v>7</v>
      </c>
      <c r="E12" s="1" t="s">
        <v>13</v>
      </c>
      <c r="F12" s="1">
        <v>58</v>
      </c>
      <c r="G12" s="1">
        <v>61</v>
      </c>
      <c r="H12" s="1">
        <v>60</v>
      </c>
      <c r="I12" s="1">
        <v>57</v>
      </c>
      <c r="J12" s="1">
        <v>62</v>
      </c>
      <c r="K12" s="1">
        <f t="shared" si="0"/>
        <v>298</v>
      </c>
      <c r="L12" s="1">
        <f t="shared" si="1"/>
        <v>59.599999999999994</v>
      </c>
      <c r="M12" s="1" t="str" cm="1">
        <f t="array" ref="M12">_xlfn.IFS(COUNTIF(F12:J12,"&gt;=50")=5,"PASS",COUNTIF(F12:J12,"&gt;=50")&gt;=3,"SUPP",TRUE(),"FAIL")</f>
        <v>PASS</v>
      </c>
      <c r="R12" s="1" t="s">
        <v>64</v>
      </c>
      <c r="S12" s="1"/>
      <c r="T12" s="1"/>
      <c r="U12" s="1"/>
      <c r="V12" s="1"/>
      <c r="W12" s="1"/>
    </row>
    <row r="13" spans="1:23" x14ac:dyDescent="0.3">
      <c r="D13" s="1">
        <v>8</v>
      </c>
      <c r="E13" s="1" t="s">
        <v>14</v>
      </c>
      <c r="F13" s="1">
        <v>89</v>
      </c>
      <c r="G13" s="1">
        <v>92</v>
      </c>
      <c r="H13" s="1">
        <v>90</v>
      </c>
      <c r="I13" s="1">
        <v>88</v>
      </c>
      <c r="J13" s="1">
        <v>94</v>
      </c>
      <c r="K13" s="1">
        <f t="shared" si="0"/>
        <v>453</v>
      </c>
      <c r="L13" s="1">
        <f t="shared" si="1"/>
        <v>90.600000000000009</v>
      </c>
      <c r="M13" s="1" t="str" cm="1">
        <f t="array" ref="M13">_xlfn.IFS(COUNTIF(F13:J13,"&gt;=50")=5,"PASS",COUNTIF(F13:J13,"&gt;=50")&gt;=3,"SUPP",TRUE(),"FAIL")</f>
        <v>PASS</v>
      </c>
      <c r="R13" s="1" t="s">
        <v>65</v>
      </c>
      <c r="S13" s="1"/>
      <c r="T13" s="1"/>
      <c r="U13" s="1"/>
      <c r="V13" s="1"/>
      <c r="W13" s="1"/>
    </row>
    <row r="14" spans="1:23" x14ac:dyDescent="0.3">
      <c r="D14" s="1">
        <v>9</v>
      </c>
      <c r="E14" s="1" t="s">
        <v>15</v>
      </c>
      <c r="F14" s="1">
        <v>41</v>
      </c>
      <c r="G14" s="1">
        <v>45</v>
      </c>
      <c r="H14" s="1">
        <v>43</v>
      </c>
      <c r="I14" s="1">
        <v>44</v>
      </c>
      <c r="J14" s="1">
        <v>46</v>
      </c>
      <c r="K14" s="1">
        <f t="shared" si="0"/>
        <v>219</v>
      </c>
      <c r="L14" s="1">
        <f t="shared" si="1"/>
        <v>43.8</v>
      </c>
      <c r="M14" s="1" t="str" cm="1">
        <f t="array" ref="M14">_xlfn.IFS(COUNTIF(F14:J14,"&gt;=50")=5,"PASS",COUNTIF(F14:J14,"&gt;=50")&gt;=3,"SUPP",TRUE(),"FAIL")</f>
        <v>FAIL</v>
      </c>
      <c r="R14" s="1" t="s">
        <v>66</v>
      </c>
      <c r="S14" s="1"/>
      <c r="T14" s="1"/>
      <c r="U14" s="1"/>
      <c r="V14" s="1"/>
      <c r="W14" s="1"/>
    </row>
    <row r="15" spans="1:23" x14ac:dyDescent="0.3">
      <c r="D15" s="1">
        <v>10</v>
      </c>
      <c r="E15" s="1" t="s">
        <v>16</v>
      </c>
      <c r="F15" s="1">
        <v>67</v>
      </c>
      <c r="G15" s="1">
        <v>70</v>
      </c>
      <c r="H15" s="1">
        <v>68</v>
      </c>
      <c r="I15" s="1">
        <v>65</v>
      </c>
      <c r="J15" s="1">
        <v>72</v>
      </c>
      <c r="K15" s="1">
        <f t="shared" si="0"/>
        <v>342</v>
      </c>
      <c r="L15" s="1">
        <f t="shared" si="1"/>
        <v>68.400000000000006</v>
      </c>
      <c r="M15" s="1" t="str" cm="1">
        <f t="array" ref="M15">_xlfn.IFS(COUNTIF(F15:J15,"&gt;=50")=5,"PASS",COUNTIF(F15:J15,"&gt;=50")&gt;=3,"SUPP",TRUE(),"FAIL")</f>
        <v>PASS</v>
      </c>
      <c r="R15" s="1" t="s">
        <v>67</v>
      </c>
      <c r="S15" s="1"/>
      <c r="T15" s="1"/>
      <c r="U15" s="1"/>
      <c r="V15" s="1"/>
      <c r="W15" s="1"/>
    </row>
    <row r="16" spans="1:23" x14ac:dyDescent="0.3">
      <c r="D16" s="1">
        <v>11</v>
      </c>
      <c r="E16" s="1" t="s">
        <v>17</v>
      </c>
      <c r="F16" s="1">
        <v>76</v>
      </c>
      <c r="G16" s="1">
        <v>80</v>
      </c>
      <c r="H16" s="1">
        <v>78</v>
      </c>
      <c r="I16" s="1">
        <v>75</v>
      </c>
      <c r="J16" s="1">
        <v>82</v>
      </c>
      <c r="K16" s="1">
        <f t="shared" si="0"/>
        <v>391</v>
      </c>
      <c r="L16" s="1">
        <f t="shared" si="1"/>
        <v>78.2</v>
      </c>
      <c r="M16" s="1" t="str" cm="1">
        <f t="array" ref="M16">_xlfn.IFS(COUNTIF(F16:J16,"&gt;=50")=5,"PASS",COUNTIF(F16:J16,"&gt;=50")&gt;=3,"SUPP",TRUE(),"FAIL")</f>
        <v>PASS</v>
      </c>
      <c r="R16" s="1" t="s">
        <v>68</v>
      </c>
      <c r="S16" s="1"/>
      <c r="T16" s="1"/>
      <c r="U16" s="1"/>
      <c r="V16" s="1"/>
      <c r="W16" s="1"/>
    </row>
    <row r="17" spans="4:23" x14ac:dyDescent="0.3">
      <c r="D17" s="1">
        <v>12</v>
      </c>
      <c r="E17" s="1" t="s">
        <v>18</v>
      </c>
      <c r="F17" s="1">
        <v>54</v>
      </c>
      <c r="G17" s="1">
        <v>58</v>
      </c>
      <c r="H17" s="1">
        <v>56</v>
      </c>
      <c r="I17" s="1">
        <v>55</v>
      </c>
      <c r="J17" s="1">
        <v>60</v>
      </c>
      <c r="K17" s="1">
        <f t="shared" si="0"/>
        <v>283</v>
      </c>
      <c r="L17" s="1">
        <f t="shared" si="1"/>
        <v>56.599999999999994</v>
      </c>
      <c r="M17" s="1" t="str" cm="1">
        <f t="array" ref="M17">_xlfn.IFS(COUNTIF(F17:J17,"&gt;=50")=5,"PASS",COUNTIF(F17:J17,"&gt;=50")&gt;=3,"SUPP",TRUE(),"FAIL")</f>
        <v>PASS</v>
      </c>
      <c r="R17" s="1"/>
      <c r="S17" s="1"/>
      <c r="T17" s="1"/>
      <c r="U17" s="1"/>
      <c r="V17" s="1"/>
      <c r="W17" s="1"/>
    </row>
    <row r="18" spans="4:23" x14ac:dyDescent="0.3">
      <c r="D18" s="1">
        <v>13</v>
      </c>
      <c r="E18" s="1" t="s">
        <v>19</v>
      </c>
      <c r="F18" s="1">
        <v>62</v>
      </c>
      <c r="G18" s="1">
        <v>65</v>
      </c>
      <c r="H18" s="1">
        <v>63</v>
      </c>
      <c r="I18" s="1">
        <v>61</v>
      </c>
      <c r="J18" s="1">
        <v>67</v>
      </c>
      <c r="K18" s="1">
        <f t="shared" si="0"/>
        <v>318</v>
      </c>
      <c r="L18" s="1">
        <f t="shared" si="1"/>
        <v>63.6</v>
      </c>
      <c r="M18" s="1" t="str" cm="1">
        <f t="array" ref="M18">_xlfn.IFS(COUNTIF(F18:J18,"&gt;=50")=5,"PASS",COUNTIF(F18:J18,"&gt;=50")&gt;=3,"SUPP",TRUE(),"FAIL")</f>
        <v>PASS</v>
      </c>
      <c r="R18" s="1"/>
      <c r="S18" s="1"/>
      <c r="T18" s="1"/>
      <c r="U18" s="1"/>
      <c r="V18" s="1"/>
      <c r="W18" s="1"/>
    </row>
    <row r="19" spans="4:23" x14ac:dyDescent="0.3">
      <c r="D19" s="1">
        <v>14</v>
      </c>
      <c r="E19" s="1" t="s">
        <v>20</v>
      </c>
      <c r="F19" s="1">
        <v>47</v>
      </c>
      <c r="G19" s="1">
        <v>50</v>
      </c>
      <c r="H19" s="1">
        <v>48</v>
      </c>
      <c r="I19" s="1">
        <v>46</v>
      </c>
      <c r="J19" s="1">
        <v>52</v>
      </c>
      <c r="K19" s="1">
        <f t="shared" si="0"/>
        <v>243</v>
      </c>
      <c r="L19" s="1">
        <f t="shared" si="1"/>
        <v>48.6</v>
      </c>
      <c r="M19" s="1" t="str" cm="1">
        <f t="array" ref="M19">_xlfn.IFS(COUNTIF(F19:J19,"&gt;=50")=5,"PASS",COUNTIF(F19:J19,"&gt;=50")&gt;=3,"SUPP",TRUE(),"FAIL")</f>
        <v>FAIL</v>
      </c>
      <c r="R19" s="1"/>
      <c r="S19" s="1"/>
      <c r="T19" s="1"/>
      <c r="U19" s="1"/>
      <c r="V19" s="1"/>
      <c r="W19" s="1"/>
    </row>
    <row r="20" spans="4:23" x14ac:dyDescent="0.3">
      <c r="D20" s="1">
        <v>15</v>
      </c>
      <c r="E20" s="1" t="s">
        <v>21</v>
      </c>
      <c r="F20" s="1">
        <v>35</v>
      </c>
      <c r="G20" s="1">
        <v>38</v>
      </c>
      <c r="H20" s="1">
        <v>40</v>
      </c>
      <c r="I20" s="1">
        <v>37</v>
      </c>
      <c r="J20" s="1">
        <v>42</v>
      </c>
      <c r="K20" s="1">
        <f t="shared" si="0"/>
        <v>192</v>
      </c>
      <c r="L20" s="1">
        <f t="shared" si="1"/>
        <v>38.4</v>
      </c>
      <c r="M20" s="1" t="str" cm="1">
        <f t="array" ref="M20">_xlfn.IFS(COUNTIF(F20:J20,"&gt;=50")=5,"PASS",COUNTIF(F20:J20,"&gt;=50")&gt;=3,"SUPP",TRUE(),"FAIL")</f>
        <v>FAIL</v>
      </c>
      <c r="R20" s="1"/>
      <c r="S20" s="1"/>
      <c r="T20" s="1"/>
      <c r="U20" s="1"/>
      <c r="V20" s="1"/>
      <c r="W20" s="1"/>
    </row>
    <row r="21" spans="4:23" x14ac:dyDescent="0.3">
      <c r="D21" s="1">
        <v>16</v>
      </c>
      <c r="E21" s="1" t="s">
        <v>22</v>
      </c>
      <c r="F21" s="1">
        <v>81</v>
      </c>
      <c r="G21" s="1">
        <v>84</v>
      </c>
      <c r="H21" s="1">
        <v>83</v>
      </c>
      <c r="I21" s="1">
        <v>80</v>
      </c>
      <c r="J21" s="1">
        <v>86</v>
      </c>
      <c r="K21" s="1">
        <f t="shared" si="0"/>
        <v>414</v>
      </c>
      <c r="L21" s="1">
        <f t="shared" si="1"/>
        <v>82.8</v>
      </c>
      <c r="M21" s="1" t="str" cm="1">
        <f t="array" ref="M21">_xlfn.IFS(COUNTIF(F21:J21,"&gt;=50")=5,"PASS",COUNTIF(F21:J21,"&gt;=50")&gt;=3,"SUPP",TRUE(),"FAIL")</f>
        <v>PASS</v>
      </c>
      <c r="R21" s="1"/>
      <c r="S21" s="1"/>
      <c r="T21" s="1"/>
      <c r="U21" s="1"/>
      <c r="V21" s="1"/>
      <c r="W21" s="1"/>
    </row>
    <row r="22" spans="4:23" x14ac:dyDescent="0.3">
      <c r="D22" s="1">
        <v>17</v>
      </c>
      <c r="E22" s="1" t="s">
        <v>23</v>
      </c>
      <c r="F22" s="1">
        <v>59</v>
      </c>
      <c r="G22" s="1">
        <v>62</v>
      </c>
      <c r="H22" s="1">
        <v>60</v>
      </c>
      <c r="I22" s="1">
        <v>58</v>
      </c>
      <c r="J22" s="1">
        <v>64</v>
      </c>
      <c r="K22" s="1">
        <f t="shared" si="0"/>
        <v>303</v>
      </c>
      <c r="L22" s="1">
        <f t="shared" si="1"/>
        <v>60.6</v>
      </c>
      <c r="M22" s="1" t="str" cm="1">
        <f t="array" ref="M22">_xlfn.IFS(COUNTIF(F22:J22,"&gt;=50")=5,"PASS",COUNTIF(F22:J22,"&gt;=50")&gt;=3,"SUPP",TRUE(),"FAIL")</f>
        <v>PASS</v>
      </c>
    </row>
    <row r="23" spans="4:23" x14ac:dyDescent="0.3">
      <c r="D23" s="1">
        <v>18</v>
      </c>
      <c r="E23" s="1" t="s">
        <v>24</v>
      </c>
      <c r="F23" s="1">
        <v>73</v>
      </c>
      <c r="G23" s="1">
        <v>77</v>
      </c>
      <c r="H23" s="1">
        <v>75</v>
      </c>
      <c r="I23" s="1">
        <v>72</v>
      </c>
      <c r="J23" s="1">
        <v>79</v>
      </c>
      <c r="K23" s="1">
        <f t="shared" si="0"/>
        <v>376</v>
      </c>
      <c r="L23" s="1">
        <f t="shared" si="1"/>
        <v>75.2</v>
      </c>
      <c r="M23" s="1" t="str" cm="1">
        <f t="array" ref="M23">_xlfn.IFS(COUNTIF(F23:J23,"&gt;=50")=5,"PASS",COUNTIF(F23:J23,"&gt;=50")&gt;=3,"SUPP",TRUE(),"FAIL")</f>
        <v>PASS</v>
      </c>
    </row>
    <row r="24" spans="4:23" x14ac:dyDescent="0.3">
      <c r="D24" s="1">
        <v>19</v>
      </c>
      <c r="E24" s="1" t="s">
        <v>25</v>
      </c>
      <c r="F24" s="1">
        <v>44</v>
      </c>
      <c r="G24" s="1">
        <v>48</v>
      </c>
      <c r="H24" s="1">
        <v>45</v>
      </c>
      <c r="I24" s="1">
        <v>46</v>
      </c>
      <c r="J24" s="1">
        <v>50</v>
      </c>
      <c r="K24" s="1">
        <f t="shared" si="0"/>
        <v>233</v>
      </c>
      <c r="L24" s="1">
        <f t="shared" si="1"/>
        <v>46.6</v>
      </c>
      <c r="M24" s="1" t="str" cm="1">
        <f t="array" ref="M24">_xlfn.IFS(COUNTIF(F24:J24,"&gt;=50")=5,"PASS",COUNTIF(F24:J24,"&gt;=50")&gt;=3,"SUPP",TRUE(),"FAIL")</f>
        <v>FAIL</v>
      </c>
    </row>
    <row r="25" spans="4:23" x14ac:dyDescent="0.3">
      <c r="D25" s="1">
        <v>20</v>
      </c>
      <c r="E25" s="1" t="s">
        <v>26</v>
      </c>
      <c r="F25" s="1">
        <v>88</v>
      </c>
      <c r="G25" s="1">
        <v>90</v>
      </c>
      <c r="H25" s="1">
        <v>89</v>
      </c>
      <c r="I25" s="1">
        <v>87</v>
      </c>
      <c r="J25" s="1">
        <v>92</v>
      </c>
      <c r="K25" s="1">
        <f t="shared" si="0"/>
        <v>446</v>
      </c>
      <c r="L25" s="1">
        <f t="shared" si="1"/>
        <v>89.2</v>
      </c>
      <c r="M25" s="1" t="str" cm="1">
        <f t="array" ref="M25">_xlfn.IFS(COUNTIF(F25:J25,"&gt;=50")=5,"PASS",COUNTIF(F25:J25,"&gt;=50")&gt;=3,"SUPP",TRUE(),"FAIL")</f>
        <v>PASS</v>
      </c>
    </row>
    <row r="26" spans="4:23" x14ac:dyDescent="0.3">
      <c r="D26" s="1">
        <v>21</v>
      </c>
      <c r="E26" s="1" t="s">
        <v>27</v>
      </c>
      <c r="F26" s="1">
        <v>51</v>
      </c>
      <c r="G26" s="1">
        <v>54</v>
      </c>
      <c r="H26" s="1">
        <v>52</v>
      </c>
      <c r="I26" s="1">
        <v>50</v>
      </c>
      <c r="J26" s="1">
        <v>56</v>
      </c>
      <c r="K26" s="1">
        <f t="shared" si="0"/>
        <v>263</v>
      </c>
      <c r="L26" s="1">
        <f t="shared" si="1"/>
        <v>52.6</v>
      </c>
      <c r="M26" s="1" t="str" cm="1">
        <f t="array" ref="M26">_xlfn.IFS(COUNTIF(F26:J26,"&gt;=50")=5,"PASS",COUNTIF(F26:J26,"&gt;=50")&gt;=3,"SUPP",TRUE(),"FAIL")</f>
        <v>PASS</v>
      </c>
    </row>
    <row r="27" spans="4:23" x14ac:dyDescent="0.3">
      <c r="D27" s="1">
        <v>22</v>
      </c>
      <c r="E27" s="1" t="s">
        <v>28</v>
      </c>
      <c r="F27" s="1">
        <v>79</v>
      </c>
      <c r="G27" s="1">
        <v>82</v>
      </c>
      <c r="H27" s="1">
        <v>80</v>
      </c>
      <c r="I27" s="1">
        <v>78</v>
      </c>
      <c r="J27" s="1">
        <v>85</v>
      </c>
      <c r="K27" s="1">
        <f t="shared" si="0"/>
        <v>404</v>
      </c>
      <c r="L27" s="1">
        <f t="shared" si="1"/>
        <v>80.800000000000011</v>
      </c>
      <c r="M27" s="1" t="str" cm="1">
        <f t="array" ref="M27">_xlfn.IFS(COUNTIF(F27:J27,"&gt;=50")=5,"PASS",COUNTIF(F27:J27,"&gt;=50")&gt;=3,"SUPP",TRUE(),"FAIL")</f>
        <v>PASS</v>
      </c>
    </row>
    <row r="28" spans="4:23" x14ac:dyDescent="0.3">
      <c r="D28" s="1">
        <v>23</v>
      </c>
      <c r="E28" s="1" t="s">
        <v>29</v>
      </c>
      <c r="F28" s="1">
        <v>63</v>
      </c>
      <c r="G28" s="1">
        <v>66</v>
      </c>
      <c r="H28" s="1">
        <v>64</v>
      </c>
      <c r="I28" s="1">
        <v>62</v>
      </c>
      <c r="J28" s="1">
        <v>68</v>
      </c>
      <c r="K28" s="1">
        <f t="shared" si="0"/>
        <v>323</v>
      </c>
      <c r="L28" s="1">
        <f t="shared" si="1"/>
        <v>64.600000000000009</v>
      </c>
      <c r="M28" s="1" t="str" cm="1">
        <f t="array" ref="M28">_xlfn.IFS(COUNTIF(F28:J28,"&gt;=50")=5,"PASS",COUNTIF(F28:J28,"&gt;=50")&gt;=3,"SUPP",TRUE(),"FAIL")</f>
        <v>PASS</v>
      </c>
    </row>
    <row r="29" spans="4:23" x14ac:dyDescent="0.3">
      <c r="D29" s="1">
        <v>24</v>
      </c>
      <c r="E29" s="1" t="s">
        <v>30</v>
      </c>
      <c r="F29" s="1">
        <v>39</v>
      </c>
      <c r="G29" s="1">
        <v>42</v>
      </c>
      <c r="H29" s="1">
        <v>40</v>
      </c>
      <c r="I29" s="1">
        <v>38</v>
      </c>
      <c r="J29" s="1">
        <v>45</v>
      </c>
      <c r="K29" s="1">
        <f t="shared" si="0"/>
        <v>204</v>
      </c>
      <c r="L29" s="1">
        <f t="shared" si="1"/>
        <v>40.799999999999997</v>
      </c>
      <c r="M29" s="1" t="str" cm="1">
        <f t="array" ref="M29">_xlfn.IFS(COUNTIF(F29:J29,"&gt;=50")=5,"PASS",COUNTIF(F29:J29,"&gt;=50")&gt;=3,"SUPP",TRUE(),"FAIL")</f>
        <v>FAIL</v>
      </c>
    </row>
    <row r="30" spans="4:23" x14ac:dyDescent="0.3">
      <c r="D30" s="1">
        <v>25</v>
      </c>
      <c r="E30" s="1" t="s">
        <v>31</v>
      </c>
      <c r="F30" s="1">
        <v>85</v>
      </c>
      <c r="G30" s="1">
        <v>88</v>
      </c>
      <c r="H30" s="1">
        <v>87</v>
      </c>
      <c r="I30" s="1">
        <v>84</v>
      </c>
      <c r="J30" s="1">
        <v>90</v>
      </c>
      <c r="K30" s="1">
        <f t="shared" si="0"/>
        <v>434</v>
      </c>
      <c r="L30" s="1">
        <f t="shared" si="1"/>
        <v>86.8</v>
      </c>
      <c r="M30" s="1" t="str" cm="1">
        <f t="array" ref="M30">_xlfn.IFS(COUNTIF(F30:J30,"&gt;=50")=5,"PASS",COUNTIF(F30:J30,"&gt;=50")&gt;=3,"SUPP",TRUE(),"FAIL")</f>
        <v>PASS</v>
      </c>
    </row>
    <row r="31" spans="4:23" x14ac:dyDescent="0.3">
      <c r="D31" s="1">
        <v>26</v>
      </c>
      <c r="E31" s="1" t="s">
        <v>32</v>
      </c>
      <c r="F31" s="1">
        <v>56</v>
      </c>
      <c r="G31" s="1">
        <v>59</v>
      </c>
      <c r="H31" s="1">
        <v>58</v>
      </c>
      <c r="I31" s="1">
        <v>55</v>
      </c>
      <c r="J31" s="1">
        <v>61</v>
      </c>
      <c r="K31" s="1">
        <f t="shared" si="0"/>
        <v>289</v>
      </c>
      <c r="L31" s="1">
        <f t="shared" si="1"/>
        <v>57.8</v>
      </c>
      <c r="M31" s="1" t="str" cm="1">
        <f t="array" ref="M31">_xlfn.IFS(COUNTIF(F31:J31,"&gt;=50")=5,"PASS",COUNTIF(F31:J31,"&gt;=50")&gt;=3,"SUPP",TRUE(),"FAIL")</f>
        <v>PASS</v>
      </c>
    </row>
    <row r="32" spans="4:23" x14ac:dyDescent="0.3">
      <c r="D32" s="1">
        <v>27</v>
      </c>
      <c r="E32" s="1" t="s">
        <v>33</v>
      </c>
      <c r="F32" s="1">
        <v>72</v>
      </c>
      <c r="G32" s="1">
        <v>75</v>
      </c>
      <c r="H32" s="1">
        <v>73</v>
      </c>
      <c r="I32" s="1">
        <v>71</v>
      </c>
      <c r="J32" s="1">
        <v>78</v>
      </c>
      <c r="K32" s="1">
        <f t="shared" si="0"/>
        <v>369</v>
      </c>
      <c r="L32" s="1">
        <f t="shared" si="1"/>
        <v>73.8</v>
      </c>
      <c r="M32" s="1" t="str" cm="1">
        <f t="array" ref="M32">_xlfn.IFS(COUNTIF(F32:J32,"&gt;=50")=5,"PASS",COUNTIF(F32:J32,"&gt;=50")&gt;=3,"SUPP",TRUE(),"FAIL")</f>
        <v>PASS</v>
      </c>
    </row>
    <row r="33" spans="4:13" x14ac:dyDescent="0.3">
      <c r="D33" s="1">
        <v>28</v>
      </c>
      <c r="E33" s="1" t="s">
        <v>34</v>
      </c>
      <c r="F33" s="1">
        <v>33</v>
      </c>
      <c r="G33" s="1">
        <v>36</v>
      </c>
      <c r="H33" s="1">
        <v>35</v>
      </c>
      <c r="I33" s="1">
        <v>34</v>
      </c>
      <c r="J33" s="1">
        <v>38</v>
      </c>
      <c r="K33" s="1">
        <f t="shared" si="0"/>
        <v>176</v>
      </c>
      <c r="L33" s="1">
        <f t="shared" si="1"/>
        <v>35.199999999999996</v>
      </c>
      <c r="M33" s="1" t="str" cm="1">
        <f t="array" ref="M33">_xlfn.IFS(COUNTIF(F33:J33,"&gt;=50")=5,"PASS",COUNTIF(F33:J33,"&gt;=50")&gt;=3,"SUPP",TRUE(),"FAIL")</f>
        <v>FAIL</v>
      </c>
    </row>
    <row r="34" spans="4:13" x14ac:dyDescent="0.3">
      <c r="D34" s="1">
        <v>29</v>
      </c>
      <c r="E34" s="1" t="s">
        <v>35</v>
      </c>
      <c r="F34" s="1">
        <v>66</v>
      </c>
      <c r="G34" s="1">
        <v>69</v>
      </c>
      <c r="H34" s="1">
        <v>67</v>
      </c>
      <c r="I34" s="1">
        <v>65</v>
      </c>
      <c r="J34" s="1">
        <v>71</v>
      </c>
      <c r="K34" s="1">
        <f t="shared" si="0"/>
        <v>338</v>
      </c>
      <c r="L34" s="1">
        <f t="shared" si="1"/>
        <v>67.600000000000009</v>
      </c>
      <c r="M34" s="1" t="str" cm="1">
        <f t="array" ref="M34">_xlfn.IFS(COUNTIF(F34:J34,"&gt;=50")=5,"PASS",COUNTIF(F34:J34,"&gt;=50")&gt;=3,"SUPP",TRUE(),"FAIL")</f>
        <v>PASS</v>
      </c>
    </row>
    <row r="35" spans="4:13" x14ac:dyDescent="0.3">
      <c r="D35" s="1">
        <v>30</v>
      </c>
      <c r="E35" s="1" t="s">
        <v>36</v>
      </c>
      <c r="F35" s="1">
        <v>91</v>
      </c>
      <c r="G35" s="1">
        <v>94</v>
      </c>
      <c r="H35" s="1">
        <v>92</v>
      </c>
      <c r="I35" s="1">
        <v>90</v>
      </c>
      <c r="J35" s="1">
        <v>96</v>
      </c>
      <c r="K35" s="1">
        <f t="shared" si="0"/>
        <v>463</v>
      </c>
      <c r="L35" s="1">
        <f t="shared" si="1"/>
        <v>92.600000000000009</v>
      </c>
      <c r="M35" s="1" t="str" cm="1">
        <f t="array" ref="M35">_xlfn.IFS(COUNTIF(F35:J35,"&gt;=50")=5,"PASS",COUNTIF(F35:J35,"&gt;=50")&gt;=3,"SUPP",TRUE(),"FAIL")</f>
        <v>PASS</v>
      </c>
    </row>
    <row r="36" spans="4:13" x14ac:dyDescent="0.3">
      <c r="D36" s="1">
        <v>31</v>
      </c>
      <c r="E36" s="1" t="s">
        <v>37</v>
      </c>
      <c r="F36" s="1">
        <v>48</v>
      </c>
      <c r="G36" s="1">
        <v>50</v>
      </c>
      <c r="H36" s="1">
        <v>49</v>
      </c>
      <c r="I36" s="1">
        <v>47</v>
      </c>
      <c r="J36" s="1">
        <v>53</v>
      </c>
      <c r="K36" s="1">
        <f t="shared" si="0"/>
        <v>247</v>
      </c>
      <c r="L36" s="1">
        <f t="shared" si="1"/>
        <v>49.4</v>
      </c>
      <c r="M36" s="1" t="str" cm="1">
        <f t="array" ref="M36">_xlfn.IFS(COUNTIF(F36:J36,"&gt;=50")=5,"PASS",COUNTIF(F36:J36,"&gt;=50")&gt;=3,"SUPP",TRUE(),"FAIL")</f>
        <v>FAIL</v>
      </c>
    </row>
    <row r="37" spans="4:13" x14ac:dyDescent="0.3">
      <c r="D37" s="1">
        <v>32</v>
      </c>
      <c r="E37" s="1" t="s">
        <v>38</v>
      </c>
      <c r="F37" s="1">
        <v>77</v>
      </c>
      <c r="G37" s="1">
        <v>80</v>
      </c>
      <c r="H37" s="1">
        <v>78</v>
      </c>
      <c r="I37" s="1">
        <v>76</v>
      </c>
      <c r="J37" s="1">
        <v>83</v>
      </c>
      <c r="K37" s="1">
        <f t="shared" si="0"/>
        <v>394</v>
      </c>
      <c r="L37" s="1">
        <f t="shared" si="1"/>
        <v>78.8</v>
      </c>
      <c r="M37" s="1" t="str" cm="1">
        <f t="array" ref="M37">_xlfn.IFS(COUNTIF(F37:J37,"&gt;=50")=5,"PASS",COUNTIF(F37:J37,"&gt;=50")&gt;=3,"SUPP",TRUE(),"FAIL")</f>
        <v>PASS</v>
      </c>
    </row>
    <row r="38" spans="4:13" x14ac:dyDescent="0.3">
      <c r="D38" s="1">
        <v>33</v>
      </c>
      <c r="E38" s="1" t="s">
        <v>39</v>
      </c>
      <c r="F38" s="1">
        <v>60</v>
      </c>
      <c r="G38" s="1">
        <v>63</v>
      </c>
      <c r="H38" s="1">
        <v>61</v>
      </c>
      <c r="I38" s="1">
        <v>59</v>
      </c>
      <c r="J38" s="1">
        <v>65</v>
      </c>
      <c r="K38" s="1">
        <f t="shared" si="0"/>
        <v>308</v>
      </c>
      <c r="L38" s="1">
        <f t="shared" si="1"/>
        <v>61.6</v>
      </c>
      <c r="M38" s="1" t="str" cm="1">
        <f t="array" ref="M38">_xlfn.IFS(COUNTIF(F38:J38,"&gt;=50")=5,"PASS",COUNTIF(F38:J38,"&gt;=50")&gt;=3,"SUPP",TRUE(),"FAIL")</f>
        <v>PASS</v>
      </c>
    </row>
    <row r="39" spans="4:13" x14ac:dyDescent="0.3">
      <c r="D39" s="1">
        <v>34</v>
      </c>
      <c r="E39" s="1" t="s">
        <v>40</v>
      </c>
      <c r="F39" s="1">
        <v>42</v>
      </c>
      <c r="G39" s="1">
        <v>45</v>
      </c>
      <c r="H39" s="1">
        <v>43</v>
      </c>
      <c r="I39" s="1">
        <v>41</v>
      </c>
      <c r="J39" s="1">
        <v>47</v>
      </c>
      <c r="K39" s="1">
        <f t="shared" si="0"/>
        <v>218</v>
      </c>
      <c r="L39" s="1">
        <f t="shared" si="1"/>
        <v>43.6</v>
      </c>
      <c r="M39" s="1" t="str" cm="1">
        <f t="array" ref="M39">_xlfn.IFS(COUNTIF(F39:J39,"&gt;=50")=5,"PASS",COUNTIF(F39:J39,"&gt;=50")&gt;=3,"SUPP",TRUE(),"FAIL")</f>
        <v>FAIL</v>
      </c>
    </row>
    <row r="40" spans="4:13" x14ac:dyDescent="0.3">
      <c r="D40" s="1">
        <v>35</v>
      </c>
      <c r="E40" s="1" t="s">
        <v>41</v>
      </c>
      <c r="F40" s="1">
        <v>84</v>
      </c>
      <c r="G40" s="1">
        <v>87</v>
      </c>
      <c r="H40" s="1">
        <v>85</v>
      </c>
      <c r="I40" s="1">
        <v>82</v>
      </c>
      <c r="J40" s="1">
        <v>89</v>
      </c>
      <c r="K40" s="1">
        <f t="shared" si="0"/>
        <v>427</v>
      </c>
      <c r="L40" s="1">
        <f t="shared" si="1"/>
        <v>85.399999999999991</v>
      </c>
      <c r="M40" s="1" t="str" cm="1">
        <f t="array" ref="M40">_xlfn.IFS(COUNTIF(F40:J40,"&gt;=50")=5,"PASS",COUNTIF(F40:J40,"&gt;=50")&gt;=3,"SUPP",TRUE(),"FAIL")</f>
        <v>PASS</v>
      </c>
    </row>
    <row r="41" spans="4:13" x14ac:dyDescent="0.3">
      <c r="D41" s="1">
        <v>36</v>
      </c>
      <c r="E41" s="1" t="s">
        <v>42</v>
      </c>
      <c r="F41" s="1">
        <v>55</v>
      </c>
      <c r="G41" s="1">
        <v>58</v>
      </c>
      <c r="H41" s="1">
        <v>56</v>
      </c>
      <c r="I41" s="1">
        <v>54</v>
      </c>
      <c r="J41" s="1">
        <v>60</v>
      </c>
      <c r="K41" s="1">
        <f t="shared" si="0"/>
        <v>283</v>
      </c>
      <c r="L41" s="1">
        <f t="shared" si="1"/>
        <v>56.599999999999994</v>
      </c>
      <c r="M41" s="1" t="str" cm="1">
        <f t="array" ref="M41">_xlfn.IFS(COUNTIF(F41:J41,"&gt;=50")=5,"PASS",COUNTIF(F41:J41,"&gt;=50")&gt;=3,"SUPP",TRUE(),"FAIL")</f>
        <v>PASS</v>
      </c>
    </row>
    <row r="42" spans="4:13" x14ac:dyDescent="0.3">
      <c r="D42" s="1">
        <v>37</v>
      </c>
      <c r="E42" s="1" t="s">
        <v>43</v>
      </c>
      <c r="F42" s="1">
        <v>70</v>
      </c>
      <c r="G42" s="1">
        <v>73</v>
      </c>
      <c r="H42" s="1">
        <v>71</v>
      </c>
      <c r="I42" s="1">
        <v>69</v>
      </c>
      <c r="J42" s="1">
        <v>75</v>
      </c>
      <c r="K42" s="1">
        <f t="shared" si="0"/>
        <v>358</v>
      </c>
      <c r="L42" s="1">
        <f t="shared" si="1"/>
        <v>71.599999999999994</v>
      </c>
      <c r="M42" s="1" t="str" cm="1">
        <f t="array" ref="M42">_xlfn.IFS(COUNTIF(F42:J42,"&gt;=50")=5,"PASS",COUNTIF(F42:J42,"&gt;=50")&gt;=3,"SUPP",TRUE(),"FAIL")</f>
        <v>PASS</v>
      </c>
    </row>
    <row r="43" spans="4:13" x14ac:dyDescent="0.3">
      <c r="D43" s="1">
        <v>38</v>
      </c>
      <c r="E43" s="1" t="s">
        <v>44</v>
      </c>
      <c r="F43" s="1">
        <v>36</v>
      </c>
      <c r="G43" s="1">
        <v>39</v>
      </c>
      <c r="H43" s="1">
        <v>38</v>
      </c>
      <c r="I43" s="1">
        <v>37</v>
      </c>
      <c r="J43" s="1">
        <v>40</v>
      </c>
      <c r="K43" s="1">
        <f t="shared" si="0"/>
        <v>190</v>
      </c>
      <c r="L43" s="1">
        <f t="shared" si="1"/>
        <v>38</v>
      </c>
      <c r="M43" s="1" t="str" cm="1">
        <f t="array" ref="M43">_xlfn.IFS(COUNTIF(F43:J43,"&gt;=50")=5,"PASS",COUNTIF(F43:J43,"&gt;=50")&gt;=3,"SUPP",TRUE(),"FAIL")</f>
        <v>FAIL</v>
      </c>
    </row>
    <row r="44" spans="4:13" x14ac:dyDescent="0.3">
      <c r="D44" s="1">
        <v>39</v>
      </c>
      <c r="E44" s="1" t="s">
        <v>45</v>
      </c>
      <c r="F44" s="1">
        <v>64</v>
      </c>
      <c r="G44" s="1">
        <v>67</v>
      </c>
      <c r="H44" s="1">
        <v>65</v>
      </c>
      <c r="I44" s="1">
        <v>63</v>
      </c>
      <c r="J44" s="1">
        <v>69</v>
      </c>
      <c r="K44" s="1">
        <f t="shared" si="0"/>
        <v>328</v>
      </c>
      <c r="L44" s="1">
        <f t="shared" si="1"/>
        <v>65.600000000000009</v>
      </c>
      <c r="M44" s="1" t="str" cm="1">
        <f t="array" ref="M44">_xlfn.IFS(COUNTIF(F44:J44,"&gt;=50")=5,"PASS",COUNTIF(F44:J44,"&gt;=50")&gt;=3,"SUPP",TRUE(),"FAIL")</f>
        <v>PASS</v>
      </c>
    </row>
    <row r="45" spans="4:13" x14ac:dyDescent="0.3">
      <c r="D45" s="1">
        <v>40</v>
      </c>
      <c r="E45" s="1" t="s">
        <v>46</v>
      </c>
      <c r="F45" s="1">
        <v>78</v>
      </c>
      <c r="G45" s="1">
        <v>81</v>
      </c>
      <c r="H45" s="1">
        <v>79</v>
      </c>
      <c r="I45" s="1">
        <v>77</v>
      </c>
      <c r="J45" s="1">
        <v>84</v>
      </c>
      <c r="K45" s="1">
        <f t="shared" si="0"/>
        <v>399</v>
      </c>
      <c r="L45" s="1">
        <f t="shared" si="1"/>
        <v>79.800000000000011</v>
      </c>
      <c r="M45" s="1" t="str" cm="1">
        <f t="array" ref="M45">_xlfn.IFS(COUNTIF(F45:J45,"&gt;=50")=5,"PASS",COUNTIF(F45:J45,"&gt;=50")&gt;=3,"SUPP",TRUE(),"FAIL")</f>
        <v>PASS</v>
      </c>
    </row>
    <row r="46" spans="4:13" x14ac:dyDescent="0.3">
      <c r="D46" s="1">
        <v>41</v>
      </c>
      <c r="E46" s="1" t="s">
        <v>47</v>
      </c>
      <c r="F46" s="1">
        <v>46</v>
      </c>
      <c r="G46" s="1">
        <v>49</v>
      </c>
      <c r="H46" s="1">
        <v>47</v>
      </c>
      <c r="I46" s="1">
        <v>45</v>
      </c>
      <c r="J46" s="1">
        <v>51</v>
      </c>
      <c r="K46" s="1">
        <f t="shared" si="0"/>
        <v>238</v>
      </c>
      <c r="L46" s="1">
        <f t="shared" si="1"/>
        <v>47.599999999999994</v>
      </c>
      <c r="M46" s="1" t="str" cm="1">
        <f t="array" ref="M46">_xlfn.IFS(COUNTIF(F46:J46,"&gt;=50")=5,"PASS",COUNTIF(F46:J46,"&gt;=50")&gt;=3,"SUPP",TRUE(),"FAIL")</f>
        <v>FAIL</v>
      </c>
    </row>
    <row r="47" spans="4:13" x14ac:dyDescent="0.3">
      <c r="D47" s="1">
        <v>42</v>
      </c>
      <c r="E47" s="1" t="s">
        <v>48</v>
      </c>
      <c r="F47" s="1">
        <v>86</v>
      </c>
      <c r="G47" s="1">
        <v>89</v>
      </c>
      <c r="H47" s="1">
        <v>88</v>
      </c>
      <c r="I47" s="1">
        <v>85</v>
      </c>
      <c r="J47" s="1">
        <v>91</v>
      </c>
      <c r="K47" s="1">
        <f t="shared" si="0"/>
        <v>439</v>
      </c>
      <c r="L47" s="1">
        <f t="shared" si="1"/>
        <v>87.8</v>
      </c>
      <c r="M47" s="1" t="str" cm="1">
        <f t="array" ref="M47">_xlfn.IFS(COUNTIF(F47:J47,"&gt;=50")=5,"PASS",COUNTIF(F47:J47,"&gt;=50")&gt;=3,"SUPP",TRUE(),"FAIL")</f>
        <v>PASS</v>
      </c>
    </row>
    <row r="48" spans="4:13" x14ac:dyDescent="0.3">
      <c r="D48" s="1">
        <v>43</v>
      </c>
      <c r="E48" s="1" t="s">
        <v>49</v>
      </c>
      <c r="F48" s="1">
        <v>57</v>
      </c>
      <c r="G48" s="1">
        <v>60</v>
      </c>
      <c r="H48" s="1">
        <v>58</v>
      </c>
      <c r="I48" s="1">
        <v>56</v>
      </c>
      <c r="J48" s="1">
        <v>62</v>
      </c>
      <c r="K48" s="1">
        <f t="shared" si="0"/>
        <v>293</v>
      </c>
      <c r="L48" s="1">
        <f t="shared" si="1"/>
        <v>58.599999999999994</v>
      </c>
      <c r="M48" s="1" t="str" cm="1">
        <f t="array" ref="M48">_xlfn.IFS(COUNTIF(F48:J48,"&gt;=50")=5,"PASS",COUNTIF(F48:J48,"&gt;=50")&gt;=3,"SUPP",TRUE(),"FAIL")</f>
        <v>PASS</v>
      </c>
    </row>
    <row r="49" spans="4:13" x14ac:dyDescent="0.3">
      <c r="D49" s="1">
        <v>44</v>
      </c>
      <c r="E49" s="1" t="s">
        <v>50</v>
      </c>
      <c r="F49" s="1">
        <v>40</v>
      </c>
      <c r="G49" s="1">
        <v>43</v>
      </c>
      <c r="H49" s="1">
        <v>41</v>
      </c>
      <c r="I49" s="1">
        <v>39</v>
      </c>
      <c r="J49" s="1">
        <v>45</v>
      </c>
      <c r="K49" s="1">
        <f t="shared" si="0"/>
        <v>208</v>
      </c>
      <c r="L49" s="1">
        <f t="shared" si="1"/>
        <v>41.6</v>
      </c>
      <c r="M49" s="1" t="str" cm="1">
        <f t="array" ref="M49">_xlfn.IFS(COUNTIF(F49:J49,"&gt;=50")=5,"PASS",COUNTIF(F49:J49,"&gt;=50")&gt;=3,"SUPP",TRUE(),"FAIL")</f>
        <v>FAIL</v>
      </c>
    </row>
    <row r="50" spans="4:13" x14ac:dyDescent="0.3">
      <c r="D50" s="1">
        <v>45</v>
      </c>
      <c r="E50" s="1" t="s">
        <v>51</v>
      </c>
      <c r="F50" s="1">
        <v>83</v>
      </c>
      <c r="G50" s="1">
        <v>86</v>
      </c>
      <c r="H50" s="1">
        <v>84</v>
      </c>
      <c r="I50" s="1">
        <v>82</v>
      </c>
      <c r="J50" s="1">
        <v>88</v>
      </c>
      <c r="K50" s="1">
        <f t="shared" si="0"/>
        <v>423</v>
      </c>
      <c r="L50" s="1">
        <f t="shared" si="1"/>
        <v>84.6</v>
      </c>
      <c r="M50" s="1" t="str" cm="1">
        <f t="array" ref="M50">_xlfn.IFS(COUNTIF(F50:J50,"&gt;=50")=5,"PASS",COUNTIF(F50:J50,"&gt;=50")&gt;=3,"SUPP",TRUE(),"FAIL")</f>
        <v>PASS</v>
      </c>
    </row>
    <row r="51" spans="4:13" x14ac:dyDescent="0.3">
      <c r="D51" s="1">
        <v>46</v>
      </c>
      <c r="E51" s="1" t="s">
        <v>52</v>
      </c>
      <c r="F51" s="1">
        <v>69</v>
      </c>
      <c r="G51" s="1">
        <v>72</v>
      </c>
      <c r="H51" s="1">
        <v>70</v>
      </c>
      <c r="I51" s="1">
        <v>68</v>
      </c>
      <c r="J51" s="1">
        <v>74</v>
      </c>
      <c r="K51" s="1">
        <f t="shared" si="0"/>
        <v>353</v>
      </c>
      <c r="L51" s="1">
        <f t="shared" si="1"/>
        <v>70.599999999999994</v>
      </c>
      <c r="M51" s="1" t="str" cm="1">
        <f t="array" ref="M51">_xlfn.IFS(COUNTIF(F51:J51,"&gt;=50")=5,"PASS",COUNTIF(F51:J51,"&gt;=50")&gt;=3,"SUPP",TRUE(),"FAIL")</f>
        <v>PASS</v>
      </c>
    </row>
    <row r="52" spans="4:13" x14ac:dyDescent="0.3">
      <c r="D52" s="1">
        <v>47</v>
      </c>
      <c r="E52" s="1" t="s">
        <v>53</v>
      </c>
      <c r="F52" s="1">
        <v>52</v>
      </c>
      <c r="G52" s="1">
        <v>55</v>
      </c>
      <c r="H52" s="1">
        <v>53</v>
      </c>
      <c r="I52" s="1">
        <v>51</v>
      </c>
      <c r="J52" s="1">
        <v>57</v>
      </c>
      <c r="K52" s="1">
        <f t="shared" si="0"/>
        <v>268</v>
      </c>
      <c r="L52" s="1">
        <f t="shared" si="1"/>
        <v>53.6</v>
      </c>
      <c r="M52" s="1" t="str" cm="1">
        <f t="array" ref="M52">_xlfn.IFS(COUNTIF(F52:J52,"&gt;=50")=5,"PASS",COUNTIF(F52:J52,"&gt;=50")&gt;=3,"SUPP",TRUE(),"FAIL")</f>
        <v>PASS</v>
      </c>
    </row>
    <row r="53" spans="4:13" x14ac:dyDescent="0.3">
      <c r="D53" s="1">
        <v>48</v>
      </c>
      <c r="E53" s="1" t="s">
        <v>54</v>
      </c>
      <c r="F53" s="1">
        <v>90</v>
      </c>
      <c r="G53" s="1">
        <v>93</v>
      </c>
      <c r="H53" s="1">
        <v>91</v>
      </c>
      <c r="I53" s="1">
        <v>89</v>
      </c>
      <c r="J53" s="1">
        <v>95</v>
      </c>
      <c r="K53" s="1">
        <f t="shared" si="0"/>
        <v>458</v>
      </c>
      <c r="L53" s="1">
        <f t="shared" si="1"/>
        <v>91.600000000000009</v>
      </c>
      <c r="M53" s="1" t="str" cm="1">
        <f t="array" ref="M53">_xlfn.IFS(COUNTIF(F53:J53,"&gt;=50")=5,"PASS",COUNTIF(F53:J53,"&gt;=50")&gt;=3,"SUPP",TRUE(),"FAIL")</f>
        <v>PASS</v>
      </c>
    </row>
    <row r="54" spans="4:13" x14ac:dyDescent="0.3">
      <c r="D54" s="1">
        <v>49</v>
      </c>
      <c r="E54" s="1" t="s">
        <v>55</v>
      </c>
      <c r="F54" s="1">
        <v>61</v>
      </c>
      <c r="G54" s="1">
        <v>64</v>
      </c>
      <c r="H54" s="1">
        <v>62</v>
      </c>
      <c r="I54" s="1">
        <v>60</v>
      </c>
      <c r="J54" s="1">
        <v>66</v>
      </c>
      <c r="K54" s="1">
        <f t="shared" si="0"/>
        <v>313</v>
      </c>
      <c r="L54" s="1">
        <f t="shared" si="1"/>
        <v>62.6</v>
      </c>
      <c r="M54" s="1" t="str" cm="1">
        <f t="array" ref="M54">_xlfn.IFS(COUNTIF(F54:J54,"&gt;=50")=5,"PASS",COUNTIF(F54:J54,"&gt;=50")&gt;=3,"SUPP",TRUE(),"FAIL")</f>
        <v>PASS</v>
      </c>
    </row>
    <row r="55" spans="4:13" x14ac:dyDescent="0.3">
      <c r="D55" s="1">
        <v>50</v>
      </c>
      <c r="E55" s="1" t="s">
        <v>56</v>
      </c>
      <c r="F55" s="1">
        <v>75</v>
      </c>
      <c r="G55" s="1">
        <v>78</v>
      </c>
      <c r="H55" s="1">
        <v>76</v>
      </c>
      <c r="I55" s="1">
        <v>74</v>
      </c>
      <c r="J55" s="1">
        <v>81</v>
      </c>
      <c r="K55" s="1">
        <f t="shared" si="0"/>
        <v>384</v>
      </c>
      <c r="L55" s="1">
        <f t="shared" si="1"/>
        <v>76.8</v>
      </c>
      <c r="M55" s="1" t="str" cm="1">
        <f t="array" ref="M55">_xlfn.IFS(COUNTIF(F55:J55,"&gt;=50")=5,"PASS",COUNTIF(F55:J55,"&gt;=50")&gt;=3,"SUPP",TRUE(),"FAIL")</f>
        <v>PASS</v>
      </c>
    </row>
  </sheetData>
  <mergeCells count="2">
    <mergeCell ref="R6:W7"/>
    <mergeCell ref="E2:L3"/>
  </mergeCells>
  <conditionalFormatting sqref="F6:J55">
    <cfRule type="cellIs" dxfId="2" priority="3" operator="lessThan">
      <formula>50</formula>
    </cfRule>
  </conditionalFormatting>
  <conditionalFormatting sqref="K6:K55">
    <cfRule type="top10" dxfId="1" priority="1" bottom="1" rank="1"/>
    <cfRule type="top10" dxfId="0" priority="2" rank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BHANU SURYAVANSHI</dc:creator>
  <cp:lastModifiedBy>bhanusuryavanshi@hotmail.com</cp:lastModifiedBy>
  <dcterms:created xsi:type="dcterms:W3CDTF">2026-01-21T04:07:10Z</dcterms:created>
  <dcterms:modified xsi:type="dcterms:W3CDTF">2026-01-21T04:56:04Z</dcterms:modified>
</cp:coreProperties>
</file>
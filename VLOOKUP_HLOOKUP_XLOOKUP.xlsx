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HANU SURYAVANSHI\Desktop\new Excel Project\"/>
    </mc:Choice>
  </mc:AlternateContent>
  <xr:revisionPtr revIDLastSave="0" documentId="13_ncr:1_{67FD28E8-FE49-4E6B-9CFD-1C08AA0087EC}" xr6:coauthVersionLast="47" xr6:coauthVersionMax="47" xr10:uidLastSave="{00000000-0000-0000-0000-000000000000}"/>
  <bookViews>
    <workbookView xWindow="-108" yWindow="-108" windowWidth="23256" windowHeight="13896" activeTab="3" xr2:uid="{0E668913-53B6-4D4E-80DC-A3930A4C74DB}"/>
  </bookViews>
  <sheets>
    <sheet name="result" sheetId="1" r:id="rId1"/>
    <sheet name="VLOOCKUP" sheetId="2" r:id="rId2"/>
    <sheet name="HLOOKUP" sheetId="3" r:id="rId3"/>
    <sheet name="XLOOKUP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4" l="1" a="1"/>
  <c r="J23" i="4" s="1"/>
  <c r="J14" i="4"/>
  <c r="J8" i="4"/>
  <c r="Q36" i="2"/>
  <c r="M20" i="4" l="1" a="1"/>
  <c r="M20" i="4" s="1"/>
  <c r="P5" i="4" a="1"/>
  <c r="P5" i="4" s="1"/>
  <c r="M6" i="4"/>
  <c r="J3" i="4"/>
  <c r="L20" i="3" l="1"/>
  <c r="K21" i="3"/>
  <c r="K14" i="3" l="1"/>
  <c r="L13" i="3"/>
  <c r="L6" i="3"/>
  <c r="M6" i="3"/>
  <c r="N6" i="3"/>
  <c r="O6" i="3"/>
  <c r="P6" i="3"/>
  <c r="Q6" i="3"/>
  <c r="R6" i="3"/>
  <c r="S6" i="3"/>
  <c r="T6" i="3"/>
  <c r="K6" i="3"/>
  <c r="P30" i="2"/>
  <c r="Q30" i="2"/>
  <c r="R30" i="2"/>
  <c r="S30" i="2"/>
  <c r="T30" i="2"/>
  <c r="O30" i="2"/>
  <c r="O21" i="2"/>
  <c r="O22" i="2"/>
  <c r="O23" i="2"/>
  <c r="O24" i="2"/>
  <c r="O25" i="2"/>
  <c r="P15" i="2"/>
  <c r="Q15" i="2"/>
  <c r="R15" i="2"/>
  <c r="S15" i="2"/>
  <c r="O15" i="2"/>
  <c r="O8" i="2" a="1"/>
  <c r="O8" i="2" s="1"/>
  <c r="S16" i="1"/>
  <c r="S14" i="1"/>
  <c r="S13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6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M7" i="1" a="1"/>
  <c r="M7" i="1" s="1"/>
  <c r="M8" i="1" a="1"/>
  <c r="M8" i="1" s="1"/>
  <c r="M9" i="1" a="1"/>
  <c r="M9" i="1" s="1"/>
  <c r="M10" i="1" a="1"/>
  <c r="M10" i="1" s="1"/>
  <c r="M11" i="1" a="1"/>
  <c r="M11" i="1" s="1"/>
  <c r="M12" i="1" a="1"/>
  <c r="M12" i="1" s="1"/>
  <c r="M13" i="1" a="1"/>
  <c r="M13" i="1" s="1"/>
  <c r="M14" i="1" a="1"/>
  <c r="M14" i="1" s="1"/>
  <c r="M15" i="1" a="1"/>
  <c r="M15" i="1" s="1"/>
  <c r="M16" i="1" a="1"/>
  <c r="M16" i="1" s="1"/>
  <c r="M17" i="1" a="1"/>
  <c r="M17" i="1" s="1"/>
  <c r="M18" i="1" a="1"/>
  <c r="M18" i="1" s="1"/>
  <c r="M19" i="1" a="1"/>
  <c r="M19" i="1" s="1"/>
  <c r="M20" i="1" a="1"/>
  <c r="M20" i="1" s="1"/>
  <c r="M21" i="1" a="1"/>
  <c r="M21" i="1" s="1"/>
  <c r="M22" i="1" a="1"/>
  <c r="M22" i="1" s="1"/>
  <c r="M23" i="1" a="1"/>
  <c r="M23" i="1" s="1"/>
  <c r="M24" i="1" a="1"/>
  <c r="M24" i="1" s="1"/>
  <c r="M25" i="1" a="1"/>
  <c r="M25" i="1" s="1"/>
  <c r="M26" i="1" a="1"/>
  <c r="M26" i="1" s="1"/>
  <c r="M27" i="1" a="1"/>
  <c r="M27" i="1" s="1"/>
  <c r="M28" i="1" a="1"/>
  <c r="M28" i="1" s="1"/>
  <c r="M29" i="1" a="1"/>
  <c r="M29" i="1" s="1"/>
  <c r="M30" i="1" a="1"/>
  <c r="M30" i="1" s="1"/>
  <c r="M31" i="1" a="1"/>
  <c r="M31" i="1" s="1"/>
  <c r="M32" i="1" a="1"/>
  <c r="M32" i="1" s="1"/>
  <c r="M33" i="1" a="1"/>
  <c r="M33" i="1" s="1"/>
  <c r="M34" i="1" a="1"/>
  <c r="M34" i="1" s="1"/>
  <c r="M35" i="1" a="1"/>
  <c r="M35" i="1" s="1"/>
  <c r="M36" i="1" a="1"/>
  <c r="M36" i="1" s="1"/>
  <c r="M37" i="1" a="1"/>
  <c r="M37" i="1" s="1"/>
  <c r="M38" i="1" a="1"/>
  <c r="M38" i="1" s="1"/>
  <c r="M39" i="1" a="1"/>
  <c r="M39" i="1" s="1"/>
  <c r="M40" i="1" a="1"/>
  <c r="M40" i="1" s="1"/>
  <c r="M41" i="1" a="1"/>
  <c r="M41" i="1" s="1"/>
  <c r="M42" i="1" a="1"/>
  <c r="M42" i="1" s="1"/>
  <c r="M43" i="1" a="1"/>
  <c r="M43" i="1" s="1"/>
  <c r="M44" i="1" a="1"/>
  <c r="M44" i="1" s="1"/>
  <c r="M45" i="1" a="1"/>
  <c r="M45" i="1" s="1"/>
  <c r="M46" i="1" a="1"/>
  <c r="M46" i="1" s="1"/>
  <c r="M47" i="1" a="1"/>
  <c r="M47" i="1" s="1"/>
  <c r="M48" i="1" a="1"/>
  <c r="M48" i="1" s="1"/>
  <c r="M49" i="1" a="1"/>
  <c r="M49" i="1" s="1"/>
  <c r="M50" i="1" a="1"/>
  <c r="M50" i="1" s="1"/>
  <c r="M51" i="1" a="1"/>
  <c r="M51" i="1" s="1"/>
  <c r="M52" i="1" a="1"/>
  <c r="M52" i="1" s="1"/>
  <c r="M53" i="1" a="1"/>
  <c r="M53" i="1" s="1"/>
  <c r="M54" i="1" a="1"/>
  <c r="M54" i="1" s="1"/>
  <c r="M55" i="1" a="1"/>
  <c r="M55" i="1" s="1"/>
  <c r="M6" i="1" a="1"/>
  <c r="M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6" i="1"/>
  <c r="L6" i="1" s="1"/>
  <c r="S10" i="1" l="1"/>
  <c r="S9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<sst xmlns="http://schemas.openxmlformats.org/spreadsheetml/2006/main" count="343" uniqueCount="102">
  <si>
    <t>Roll No</t>
  </si>
  <si>
    <t>Student Name</t>
  </si>
  <si>
    <t>English</t>
  </si>
  <si>
    <t>Maths</t>
  </si>
  <si>
    <t>Science</t>
  </si>
  <si>
    <t>Social</t>
  </si>
  <si>
    <t>Computer</t>
  </si>
  <si>
    <t>Aarav Sharma</t>
  </si>
  <si>
    <t>Ananya Verma</t>
  </si>
  <si>
    <t>Rohit Kumar</t>
  </si>
  <si>
    <t>Priya Singh</t>
  </si>
  <si>
    <t>Aman Gupta</t>
  </si>
  <si>
    <t>Neha Patel</t>
  </si>
  <si>
    <t>Rahul Mishra</t>
  </si>
  <si>
    <t>Kavya Jain</t>
  </si>
  <si>
    <t>Suresh Yadav</t>
  </si>
  <si>
    <t>Pooja Mehta</t>
  </si>
  <si>
    <t>Arjun Malhotra</t>
  </si>
  <si>
    <t>Simran Kaur</t>
  </si>
  <si>
    <t>Vikas Choudhary</t>
  </si>
  <si>
    <t>Ritu Saxena</t>
  </si>
  <si>
    <t>Manish Pandey</t>
  </si>
  <si>
    <t>Nidhi Bansal</t>
  </si>
  <si>
    <t>Ashish Tiwari</t>
  </si>
  <si>
    <t>Sonal Agarwal</t>
  </si>
  <si>
    <t>Dinesh Rawat</t>
  </si>
  <si>
    <t>Isha Kapoor</t>
  </si>
  <si>
    <t>Deepak Joshi</t>
  </si>
  <si>
    <t>Shreya Nair</t>
  </si>
  <si>
    <t>Kunal Thakur</t>
  </si>
  <si>
    <t>Pankaj Verma</t>
  </si>
  <si>
    <t>Meenal Arora</t>
  </si>
  <si>
    <t>Naveen Solanki</t>
  </si>
  <si>
    <t>Riya Chatterjee</t>
  </si>
  <si>
    <t>Sunil Chauhan</t>
  </si>
  <si>
    <t>Alok Srivastava</t>
  </si>
  <si>
    <t>Tanya Bhardwaj</t>
  </si>
  <si>
    <t>Mukesh Pal</t>
  </si>
  <si>
    <t>Aditi Kulkarni</t>
  </si>
  <si>
    <t>Harsh Vardhan</t>
  </si>
  <si>
    <t>Seema Rani</t>
  </si>
  <si>
    <t>Yash Khanna</t>
  </si>
  <si>
    <t>Rajeev Saxena</t>
  </si>
  <si>
    <t>Monika Sethi</t>
  </si>
  <si>
    <t>Balram Nishad</t>
  </si>
  <si>
    <t>Shubham Dubey</t>
  </si>
  <si>
    <t>Pallavi Deshpande</t>
  </si>
  <si>
    <t>Prakash Jha</t>
  </si>
  <si>
    <t>Sneha Iyer</t>
  </si>
  <si>
    <t>Ajay Rana</t>
  </si>
  <si>
    <t>Kiran Pawar</t>
  </si>
  <si>
    <t>Naman Goyal</t>
  </si>
  <si>
    <t>Rekha Menon</t>
  </si>
  <si>
    <t>Suraj Patil</t>
  </si>
  <si>
    <t>Ishita Banerjee</t>
  </si>
  <si>
    <t>Mohit Bhatia</t>
  </si>
  <si>
    <t>Preeti Kulshreshtha</t>
  </si>
  <si>
    <t>Yearly Result</t>
  </si>
  <si>
    <t>Summary of Result</t>
  </si>
  <si>
    <t xml:space="preserve">No of Student Passed </t>
  </si>
  <si>
    <t xml:space="preserve">Max Marks </t>
  </si>
  <si>
    <t>Pass Marks</t>
  </si>
  <si>
    <t>No of Student failed</t>
  </si>
  <si>
    <t xml:space="preserve">Topper of class </t>
  </si>
  <si>
    <t xml:space="preserve">Bottom in class </t>
  </si>
  <si>
    <t xml:space="preserve">No. of Student Failed in 1 Subject </t>
  </si>
  <si>
    <t xml:space="preserve">No. of Student Failed in 2 Subject </t>
  </si>
  <si>
    <t xml:space="preserve">No. of Student Eligible for greace  </t>
  </si>
  <si>
    <t>No. of Student Get Distinction</t>
  </si>
  <si>
    <t>Total</t>
  </si>
  <si>
    <t>Percentage</t>
  </si>
  <si>
    <t>Result</t>
  </si>
  <si>
    <t>No of Student SUPP</t>
  </si>
  <si>
    <t>pass count</t>
  </si>
  <si>
    <t>failed count</t>
  </si>
  <si>
    <t>VLOOKUP</t>
  </si>
  <si>
    <t>VLOOKUP ROW WISE</t>
  </si>
  <si>
    <t>SUBJECT</t>
  </si>
  <si>
    <t>HLOOKUP</t>
  </si>
  <si>
    <t xml:space="preserve">SUBJECT POSITION </t>
  </si>
  <si>
    <t>NAME</t>
  </si>
  <si>
    <t>VLOOKUP WITH MATCH</t>
  </si>
  <si>
    <t>VLOOKUP COLUMN WISE</t>
  </si>
  <si>
    <t>HLOOKUP WITH MATCH</t>
  </si>
  <si>
    <t xml:space="preserve">match ka use </t>
  </si>
  <si>
    <t xml:space="preserve">Index Use </t>
  </si>
  <si>
    <t>Index +Match</t>
  </si>
  <si>
    <t>xlookup use whit roll no.</t>
  </si>
  <si>
    <t>name</t>
  </si>
  <si>
    <t>roll no.</t>
  </si>
  <si>
    <t>xlookup only one value</t>
  </si>
  <si>
    <t>xlookup multipul value</t>
  </si>
  <si>
    <t>xlookup</t>
  </si>
  <si>
    <t>A</t>
  </si>
  <si>
    <t>B</t>
  </si>
  <si>
    <t>C</t>
  </si>
  <si>
    <t>D</t>
  </si>
  <si>
    <t>E</t>
  </si>
  <si>
    <t>VLOOKUP WITH APROXIMATE VALUE</t>
  </si>
  <si>
    <t xml:space="preserve">APPROXIMATE MATCH IN VLOOKUP. </t>
  </si>
  <si>
    <t>B) LOOKUP VALUE MUST BE GREATER THEN SMALLEST ELEMENT.</t>
  </si>
  <si>
    <t>A)FIRST ARRANGE LOOKUP ARRY IN ASCENDING ORDER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</si>
</sst>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0">
    <xf numFmtId="0" fontId="0" fillId="0" borderId="0" xfId="0"/>
    <xf numFmtId="0" fontId="0" fillId="0" borderId="10" xfId="0" applyBorder="1"/>
    <xf numFmtId="0" fontId="0" fillId="33" borderId="10" xfId="0" applyFill="1" applyBorder="1"/>
    <xf numFmtId="0" fontId="0" fillId="33" borderId="18" xfId="0" applyFill="1" applyBorder="1"/>
    <xf numFmtId="0" fontId="0" fillId="34" borderId="10" xfId="0" applyFill="1" applyBorder="1"/>
    <xf numFmtId="0" fontId="21" fillId="0" borderId="0" xfId="0" applyFont="1"/>
    <xf numFmtId="0" fontId="22" fillId="35" borderId="0" xfId="0" applyFont="1" applyFill="1"/>
    <xf numFmtId="0" fontId="21" fillId="34" borderId="10" xfId="0" applyFont="1" applyFill="1" applyBorder="1"/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5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8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16" xfId="0" applyFont="1" applyBorder="1" applyAlignment="1">
      <alignment horizontal="center"/>
    </xf>
    <xf numFmtId="0" fontId="22" fillId="0" borderId="0" xfId="0" applyFon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38CA4-8A24-4387-B1AB-55B23B85F3FE}">
  <dimension ref="A2:W55"/>
  <sheetViews>
    <sheetView topLeftCell="C1" workbookViewId="0">
      <selection activeCell="R22" sqref="R22"/>
    </sheetView>
  </sheetViews>
  <sheetFormatPr defaultColWidth="9.6640625" defaultRowHeight="14.4" x14ac:dyDescent="0.3"/>
  <cols>
    <col min="1" max="1" width="10.109375" bestFit="1" customWidth="1"/>
    <col min="2" max="2" width="4" bestFit="1" customWidth="1"/>
    <col min="4" max="4" width="6.6640625" bestFit="1" customWidth="1"/>
    <col min="5" max="5" width="16.6640625" bestFit="1" customWidth="1"/>
    <col min="6" max="6" width="6.6640625" bestFit="1" customWidth="1"/>
    <col min="7" max="7" width="5.88671875" bestFit="1" customWidth="1"/>
    <col min="8" max="8" width="7.44140625" bestFit="1" customWidth="1"/>
    <col min="9" max="9" width="5.88671875" bestFit="1" customWidth="1"/>
    <col min="10" max="10" width="9" bestFit="1" customWidth="1"/>
    <col min="11" max="11" width="4.88671875" bestFit="1" customWidth="1"/>
    <col min="12" max="12" width="10.21875" bestFit="1" customWidth="1"/>
    <col min="13" max="13" width="6" bestFit="1" customWidth="1"/>
    <col min="15" max="15" width="10.33203125" bestFit="1" customWidth="1"/>
    <col min="18" max="18" width="27.77734375" bestFit="1" customWidth="1"/>
  </cols>
  <sheetData>
    <row r="2" spans="1:23" ht="14.4" customHeight="1" x14ac:dyDescent="0.3">
      <c r="E2" s="19" t="s">
        <v>57</v>
      </c>
      <c r="F2" s="20"/>
      <c r="G2" s="20"/>
      <c r="H2" s="20"/>
      <c r="I2" s="20"/>
      <c r="J2" s="20"/>
      <c r="K2" s="20"/>
      <c r="L2" s="20"/>
    </row>
    <row r="3" spans="1:23" x14ac:dyDescent="0.3">
      <c r="E3" s="19"/>
      <c r="F3" s="20"/>
      <c r="G3" s="20"/>
      <c r="H3" s="20"/>
      <c r="I3" s="20"/>
      <c r="J3" s="20"/>
      <c r="K3" s="20"/>
      <c r="L3" s="20"/>
    </row>
    <row r="5" spans="1:23" x14ac:dyDescent="0.3">
      <c r="D5" s="2" t="s">
        <v>0</v>
      </c>
      <c r="E5" s="2" t="s">
        <v>1</v>
      </c>
      <c r="F5" s="2" t="s">
        <v>2</v>
      </c>
      <c r="G5" s="2" t="s">
        <v>3</v>
      </c>
      <c r="H5" s="2" t="s">
        <v>4</v>
      </c>
      <c r="I5" s="2" t="s">
        <v>5</v>
      </c>
      <c r="J5" s="2" t="s">
        <v>6</v>
      </c>
      <c r="K5" s="2" t="s">
        <v>69</v>
      </c>
      <c r="L5" s="2" t="s">
        <v>70</v>
      </c>
      <c r="M5" s="2" t="s">
        <v>71</v>
      </c>
      <c r="N5" s="3" t="s">
        <v>73</v>
      </c>
      <c r="O5" s="3" t="s">
        <v>74</v>
      </c>
    </row>
    <row r="6" spans="1:23" ht="14.4" customHeight="1" x14ac:dyDescent="0.3">
      <c r="D6" s="1">
        <v>1</v>
      </c>
      <c r="E6" s="1" t="s">
        <v>7</v>
      </c>
      <c r="F6" s="1">
        <v>68</v>
      </c>
      <c r="G6" s="1">
        <v>72</v>
      </c>
      <c r="H6" s="1">
        <v>70</v>
      </c>
      <c r="I6" s="1">
        <v>66</v>
      </c>
      <c r="J6" s="1">
        <v>75</v>
      </c>
      <c r="K6" s="1">
        <f>SUM(F6:J6)</f>
        <v>351</v>
      </c>
      <c r="L6" s="1">
        <f>K6/500*100</f>
        <v>70.199999999999989</v>
      </c>
      <c r="M6" s="1" t="str" cm="1">
        <f t="array" ref="M6">_xlfn.IFS(COUNTIF(F6:J6,"&gt;=50")=5,"PASS",COUNTIF(F6:J6,"&gt;=50")&gt;=3,"SUPP",TRUE(),"FAIL")</f>
        <v>PASS</v>
      </c>
      <c r="N6">
        <f>COUNTIF(F6:J6,"&gt;=50")</f>
        <v>5</v>
      </c>
      <c r="O6">
        <f>COUNTIF(F6:J6,"&lt;50")</f>
        <v>0</v>
      </c>
      <c r="R6" s="13" t="s">
        <v>58</v>
      </c>
      <c r="S6" s="14"/>
      <c r="T6" s="14"/>
      <c r="U6" s="14"/>
      <c r="V6" s="14"/>
      <c r="W6" s="15"/>
    </row>
    <row r="7" spans="1:23" ht="14.4" customHeight="1" x14ac:dyDescent="0.3">
      <c r="D7" s="1">
        <v>2</v>
      </c>
      <c r="E7" s="1" t="s">
        <v>8</v>
      </c>
      <c r="F7" s="1">
        <v>74</v>
      </c>
      <c r="G7" s="1">
        <v>81</v>
      </c>
      <c r="H7" s="1">
        <v>78</v>
      </c>
      <c r="I7" s="1">
        <v>76</v>
      </c>
      <c r="J7" s="1">
        <v>82</v>
      </c>
      <c r="K7" s="1">
        <f t="shared" ref="K7:K55" si="0">SUM(F7:J7)</f>
        <v>391</v>
      </c>
      <c r="L7" s="1">
        <f t="shared" ref="L7:L55" si="1">K7/500*100</f>
        <v>78.2</v>
      </c>
      <c r="M7" s="1" t="str" cm="1">
        <f t="array" ref="M7">_xlfn.IFS(COUNTIF(F7:J7,"&gt;=50")=5,"PASS",COUNTIF(F7:J7,"&gt;=50")&gt;=3,"SUPP",TRUE(),"FAIL")</f>
        <v>PASS</v>
      </c>
      <c r="N7">
        <f t="shared" ref="N7:N55" si="2">COUNTIF(F7:J7,"&gt;=50")</f>
        <v>5</v>
      </c>
      <c r="O7">
        <f t="shared" ref="O7:O55" si="3">COUNTIF(F7:J7,"&lt;50")</f>
        <v>0</v>
      </c>
      <c r="R7" s="16"/>
      <c r="S7" s="17"/>
      <c r="T7" s="17"/>
      <c r="U7" s="17"/>
      <c r="V7" s="17"/>
      <c r="W7" s="18"/>
    </row>
    <row r="8" spans="1:23" x14ac:dyDescent="0.3">
      <c r="D8" s="1">
        <v>3</v>
      </c>
      <c r="E8" s="1" t="s">
        <v>9</v>
      </c>
      <c r="F8" s="1">
        <v>45</v>
      </c>
      <c r="G8" s="1">
        <v>52</v>
      </c>
      <c r="H8" s="1">
        <v>48</v>
      </c>
      <c r="I8" s="1">
        <v>50</v>
      </c>
      <c r="J8" s="1">
        <v>55</v>
      </c>
      <c r="K8" s="1">
        <f t="shared" si="0"/>
        <v>250</v>
      </c>
      <c r="L8" s="1">
        <f t="shared" si="1"/>
        <v>50</v>
      </c>
      <c r="M8" s="1" t="str" cm="1">
        <f t="array" ref="M8">_xlfn.IFS(COUNTIF(F8:J8,"&gt;=50")=5,"PASS",COUNTIF(F8:J8,"&gt;=50")&gt;=3,"SUPP",TRUE(),"FAIL")</f>
        <v>SUPP</v>
      </c>
      <c r="N8">
        <f t="shared" si="2"/>
        <v>3</v>
      </c>
      <c r="O8">
        <f t="shared" si="3"/>
        <v>2</v>
      </c>
      <c r="R8" s="1" t="s">
        <v>59</v>
      </c>
      <c r="S8" s="1">
        <f>COUNTIF(M6:M55,"PASS")</f>
        <v>37</v>
      </c>
      <c r="T8" s="1"/>
      <c r="U8" s="1"/>
      <c r="V8" s="1"/>
      <c r="W8" s="1"/>
    </row>
    <row r="9" spans="1:23" x14ac:dyDescent="0.3">
      <c r="D9" s="1">
        <v>4</v>
      </c>
      <c r="E9" s="1" t="s">
        <v>10</v>
      </c>
      <c r="F9" s="1">
        <v>82</v>
      </c>
      <c r="G9" s="1">
        <v>88</v>
      </c>
      <c r="H9" s="1">
        <v>85</v>
      </c>
      <c r="I9" s="1">
        <v>80</v>
      </c>
      <c r="J9" s="1">
        <v>90</v>
      </c>
      <c r="K9" s="1">
        <f t="shared" si="0"/>
        <v>425</v>
      </c>
      <c r="L9" s="1">
        <f t="shared" si="1"/>
        <v>85</v>
      </c>
      <c r="M9" s="1" t="str" cm="1">
        <f t="array" ref="M9">_xlfn.IFS(COUNTIF(F9:J9,"&gt;=50")=5,"PASS",COUNTIF(F9:J9,"&gt;=50")&gt;=3,"SUPP",TRUE(),"FAIL")</f>
        <v>PASS</v>
      </c>
      <c r="N9">
        <f t="shared" si="2"/>
        <v>5</v>
      </c>
      <c r="O9">
        <f t="shared" si="3"/>
        <v>0</v>
      </c>
      <c r="R9" s="1" t="s">
        <v>62</v>
      </c>
      <c r="S9" s="1">
        <f>COUNTIF(M6:M55,"FAIL")</f>
        <v>12</v>
      </c>
      <c r="T9" s="1"/>
      <c r="U9" s="1"/>
      <c r="V9" s="1"/>
      <c r="W9" s="1"/>
    </row>
    <row r="10" spans="1:23" x14ac:dyDescent="0.3">
      <c r="D10" s="1">
        <v>5</v>
      </c>
      <c r="E10" s="1" t="s">
        <v>11</v>
      </c>
      <c r="F10" s="1">
        <v>34</v>
      </c>
      <c r="G10" s="1">
        <v>42</v>
      </c>
      <c r="H10" s="1">
        <v>38</v>
      </c>
      <c r="I10" s="1">
        <v>40</v>
      </c>
      <c r="J10" s="1">
        <v>45</v>
      </c>
      <c r="K10" s="1">
        <f t="shared" si="0"/>
        <v>199</v>
      </c>
      <c r="L10" s="1">
        <f t="shared" si="1"/>
        <v>39.800000000000004</v>
      </c>
      <c r="M10" s="1" t="str" cm="1">
        <f t="array" ref="M10">_xlfn.IFS(COUNTIF(F10:J10,"&gt;=50")=5,"PASS",COUNTIF(F10:J10,"&gt;=50")&gt;=3,"SUPP",TRUE(),"FAIL")</f>
        <v>FAIL</v>
      </c>
      <c r="N10">
        <f t="shared" si="2"/>
        <v>0</v>
      </c>
      <c r="O10">
        <f t="shared" si="3"/>
        <v>5</v>
      </c>
      <c r="R10" s="1" t="s">
        <v>72</v>
      </c>
      <c r="S10" s="1">
        <f>COUNTIF($M7:M56,"SUPP")</f>
        <v>1</v>
      </c>
      <c r="T10" s="1"/>
      <c r="U10" s="1"/>
      <c r="V10" s="1"/>
      <c r="W10" s="1"/>
    </row>
    <row r="11" spans="1:23" x14ac:dyDescent="0.3">
      <c r="A11" s="1" t="s">
        <v>60</v>
      </c>
      <c r="B11" s="1">
        <v>100</v>
      </c>
      <c r="D11" s="1">
        <v>6</v>
      </c>
      <c r="E11" s="1" t="s">
        <v>12</v>
      </c>
      <c r="F11" s="1">
        <v>71</v>
      </c>
      <c r="G11" s="1">
        <v>69</v>
      </c>
      <c r="H11" s="1">
        <v>73</v>
      </c>
      <c r="I11" s="1">
        <v>70</v>
      </c>
      <c r="J11" s="1">
        <v>76</v>
      </c>
      <c r="K11" s="1">
        <f t="shared" si="0"/>
        <v>359</v>
      </c>
      <c r="L11" s="1">
        <f t="shared" si="1"/>
        <v>71.8</v>
      </c>
      <c r="M11" s="1" t="str" cm="1">
        <f t="array" ref="M11">_xlfn.IFS(COUNTIF(F11:J11,"&gt;=50")=5,"PASS",COUNTIF(F11:J11,"&gt;=50")&gt;=3,"SUPP",TRUE(),"FAIL")</f>
        <v>PASS</v>
      </c>
      <c r="N11">
        <f t="shared" si="2"/>
        <v>5</v>
      </c>
      <c r="O11">
        <f t="shared" si="3"/>
        <v>0</v>
      </c>
      <c r="R11" s="1" t="s">
        <v>63</v>
      </c>
      <c r="S11" s="1"/>
      <c r="T11" s="1"/>
      <c r="U11" s="1"/>
      <c r="V11" s="1"/>
      <c r="W11" s="1"/>
    </row>
    <row r="12" spans="1:23" x14ac:dyDescent="0.3">
      <c r="A12" s="1" t="s">
        <v>61</v>
      </c>
      <c r="B12" s="1">
        <v>50</v>
      </c>
      <c r="D12" s="1">
        <v>7</v>
      </c>
      <c r="E12" s="1" t="s">
        <v>13</v>
      </c>
      <c r="F12" s="1">
        <v>58</v>
      </c>
      <c r="G12" s="1">
        <v>61</v>
      </c>
      <c r="H12" s="1">
        <v>60</v>
      </c>
      <c r="I12" s="1">
        <v>57</v>
      </c>
      <c r="J12" s="1">
        <v>62</v>
      </c>
      <c r="K12" s="1">
        <f t="shared" si="0"/>
        <v>298</v>
      </c>
      <c r="L12" s="1">
        <f t="shared" si="1"/>
        <v>59.599999999999994</v>
      </c>
      <c r="M12" s="1" t="str" cm="1">
        <f t="array" ref="M12">_xlfn.IFS(COUNTIF(F12:J12,"&gt;=50")=5,"PASS",COUNTIF(F12:J12,"&gt;=50")&gt;=3,"SUPP",TRUE(),"FAIL")</f>
        <v>PASS</v>
      </c>
      <c r="N12">
        <f t="shared" si="2"/>
        <v>5</v>
      </c>
      <c r="O12">
        <f t="shared" si="3"/>
        <v>0</v>
      </c>
      <c r="R12" s="1" t="s">
        <v>64</v>
      </c>
      <c r="S12" s="1"/>
      <c r="T12" s="1"/>
      <c r="U12" s="1"/>
      <c r="V12" s="1"/>
      <c r="W12" s="1"/>
    </row>
    <row r="13" spans="1:23" x14ac:dyDescent="0.3">
      <c r="D13" s="1">
        <v>8</v>
      </c>
      <c r="E13" s="1" t="s">
        <v>14</v>
      </c>
      <c r="F13" s="1">
        <v>89</v>
      </c>
      <c r="G13" s="1">
        <v>92</v>
      </c>
      <c r="H13" s="1">
        <v>90</v>
      </c>
      <c r="I13" s="1">
        <v>88</v>
      </c>
      <c r="J13" s="1">
        <v>94</v>
      </c>
      <c r="K13" s="1">
        <f t="shared" si="0"/>
        <v>453</v>
      </c>
      <c r="L13" s="1">
        <f t="shared" si="1"/>
        <v>90.600000000000009</v>
      </c>
      <c r="M13" s="1" t="str" cm="1">
        <f t="array" ref="M13">_xlfn.IFS(COUNTIF(F13:J13,"&gt;=50")=5,"PASS",COUNTIF(F13:J13,"&gt;=50")&gt;=3,"SUPP",TRUE(),"FAIL")</f>
        <v>PASS</v>
      </c>
      <c r="N13">
        <f t="shared" si="2"/>
        <v>5</v>
      </c>
      <c r="O13">
        <f t="shared" si="3"/>
        <v>0</v>
      </c>
      <c r="R13" s="1" t="s">
        <v>65</v>
      </c>
      <c r="S13" s="1">
        <f>COUNTIF(O6:O55,"1")</f>
        <v>0</v>
      </c>
      <c r="T13" s="1"/>
      <c r="U13" s="1"/>
      <c r="V13" s="1"/>
      <c r="W13" s="1"/>
    </row>
    <row r="14" spans="1:23" x14ac:dyDescent="0.3">
      <c r="D14" s="1">
        <v>9</v>
      </c>
      <c r="E14" s="1" t="s">
        <v>15</v>
      </c>
      <c r="F14" s="1">
        <v>41</v>
      </c>
      <c r="G14" s="1">
        <v>45</v>
      </c>
      <c r="H14" s="1">
        <v>43</v>
      </c>
      <c r="I14" s="1">
        <v>44</v>
      </c>
      <c r="J14" s="1">
        <v>46</v>
      </c>
      <c r="K14" s="1">
        <f t="shared" si="0"/>
        <v>219</v>
      </c>
      <c r="L14" s="1">
        <f t="shared" si="1"/>
        <v>43.8</v>
      </c>
      <c r="M14" s="1" t="str" cm="1">
        <f t="array" ref="M14">_xlfn.IFS(COUNTIF(F14:J14,"&gt;=50")=5,"PASS",COUNTIF(F14:J14,"&gt;=50")&gt;=3,"SUPP",TRUE(),"FAIL")</f>
        <v>FAIL</v>
      </c>
      <c r="N14">
        <f t="shared" si="2"/>
        <v>0</v>
      </c>
      <c r="O14">
        <f t="shared" si="3"/>
        <v>5</v>
      </c>
      <c r="R14" s="1" t="s">
        <v>66</v>
      </c>
      <c r="S14" s="1">
        <f>COUNTIF(O6:O55,"2")</f>
        <v>1</v>
      </c>
      <c r="T14" s="1"/>
      <c r="U14" s="1"/>
      <c r="V14" s="1"/>
      <c r="W14" s="1"/>
    </row>
    <row r="15" spans="1:23" x14ac:dyDescent="0.3">
      <c r="D15" s="1">
        <v>10</v>
      </c>
      <c r="E15" s="1" t="s">
        <v>16</v>
      </c>
      <c r="F15" s="1">
        <v>67</v>
      </c>
      <c r="G15" s="1">
        <v>70</v>
      </c>
      <c r="H15" s="1">
        <v>68</v>
      </c>
      <c r="I15" s="1">
        <v>65</v>
      </c>
      <c r="J15" s="1">
        <v>72</v>
      </c>
      <c r="K15" s="1">
        <f t="shared" si="0"/>
        <v>342</v>
      </c>
      <c r="L15" s="1">
        <f t="shared" si="1"/>
        <v>68.400000000000006</v>
      </c>
      <c r="M15" s="1" t="str" cm="1">
        <f t="array" ref="M15">_xlfn.IFS(COUNTIF(F15:J15,"&gt;=50")=5,"PASS",COUNTIF(F15:J15,"&gt;=50")&gt;=3,"SUPP",TRUE(),"FAIL")</f>
        <v>PASS</v>
      </c>
      <c r="N15">
        <f t="shared" si="2"/>
        <v>5</v>
      </c>
      <c r="O15">
        <f t="shared" si="3"/>
        <v>0</v>
      </c>
      <c r="R15" s="1" t="s">
        <v>67</v>
      </c>
      <c r="S15" s="1"/>
      <c r="T15" s="1"/>
      <c r="U15" s="1"/>
      <c r="V15" s="1"/>
      <c r="W15" s="1"/>
    </row>
    <row r="16" spans="1:23" x14ac:dyDescent="0.3">
      <c r="D16" s="1">
        <v>11</v>
      </c>
      <c r="E16" s="1" t="s">
        <v>17</v>
      </c>
      <c r="F16" s="1">
        <v>76</v>
      </c>
      <c r="G16" s="1">
        <v>80</v>
      </c>
      <c r="H16" s="1">
        <v>78</v>
      </c>
      <c r="I16" s="1">
        <v>75</v>
      </c>
      <c r="J16" s="1">
        <v>82</v>
      </c>
      <c r="K16" s="1">
        <f t="shared" si="0"/>
        <v>391</v>
      </c>
      <c r="L16" s="1">
        <f t="shared" si="1"/>
        <v>78.2</v>
      </c>
      <c r="M16" s="1" t="str" cm="1">
        <f t="array" ref="M16">_xlfn.IFS(COUNTIF(F16:J16,"&gt;=50")=5,"PASS",COUNTIF(F16:J16,"&gt;=50")&gt;=3,"SUPP",TRUE(),"FAIL")</f>
        <v>PASS</v>
      </c>
      <c r="N16">
        <f t="shared" si="2"/>
        <v>5</v>
      </c>
      <c r="O16">
        <f t="shared" si="3"/>
        <v>0</v>
      </c>
      <c r="R16" s="1" t="s">
        <v>68</v>
      </c>
      <c r="S16" s="1">
        <f>COUNTIF(L6:L55,"&gt;80")</f>
        <v>11</v>
      </c>
      <c r="T16" s="1"/>
      <c r="U16" s="1"/>
      <c r="V16" s="1"/>
      <c r="W16" s="1"/>
    </row>
    <row r="17" spans="4:23" x14ac:dyDescent="0.3">
      <c r="D17" s="1">
        <v>12</v>
      </c>
      <c r="E17" s="1" t="s">
        <v>18</v>
      </c>
      <c r="F17" s="1">
        <v>54</v>
      </c>
      <c r="G17" s="1">
        <v>58</v>
      </c>
      <c r="H17" s="1">
        <v>56</v>
      </c>
      <c r="I17" s="1">
        <v>55</v>
      </c>
      <c r="J17" s="1">
        <v>60</v>
      </c>
      <c r="K17" s="1">
        <f t="shared" si="0"/>
        <v>283</v>
      </c>
      <c r="L17" s="1">
        <f t="shared" si="1"/>
        <v>56.599999999999994</v>
      </c>
      <c r="M17" s="1" t="str" cm="1">
        <f t="array" ref="M17">_xlfn.IFS(COUNTIF(F17:J17,"&gt;=50")=5,"PASS",COUNTIF(F17:J17,"&gt;=50")&gt;=3,"SUPP",TRUE(),"FAIL")</f>
        <v>PASS</v>
      </c>
      <c r="N17">
        <f t="shared" si="2"/>
        <v>5</v>
      </c>
      <c r="O17">
        <f t="shared" si="3"/>
        <v>0</v>
      </c>
      <c r="R17" s="1"/>
      <c r="S17" s="1"/>
      <c r="T17" s="1"/>
      <c r="U17" s="1"/>
      <c r="V17" s="1"/>
      <c r="W17" s="1"/>
    </row>
    <row r="18" spans="4:23" x14ac:dyDescent="0.3">
      <c r="D18" s="1">
        <v>13</v>
      </c>
      <c r="E18" s="1" t="s">
        <v>19</v>
      </c>
      <c r="F18" s="1">
        <v>62</v>
      </c>
      <c r="G18" s="1">
        <v>65</v>
      </c>
      <c r="H18" s="1">
        <v>63</v>
      </c>
      <c r="I18" s="1">
        <v>61</v>
      </c>
      <c r="J18" s="1">
        <v>67</v>
      </c>
      <c r="K18" s="1">
        <f t="shared" si="0"/>
        <v>318</v>
      </c>
      <c r="L18" s="1">
        <f t="shared" si="1"/>
        <v>63.6</v>
      </c>
      <c r="M18" s="1" t="str" cm="1">
        <f t="array" ref="M18">_xlfn.IFS(COUNTIF(F18:J18,"&gt;=50")=5,"PASS",COUNTIF(F18:J18,"&gt;=50")&gt;=3,"SUPP",TRUE(),"FAIL")</f>
        <v>PASS</v>
      </c>
      <c r="N18">
        <f t="shared" si="2"/>
        <v>5</v>
      </c>
      <c r="O18">
        <f t="shared" si="3"/>
        <v>0</v>
      </c>
      <c r="R18" s="1"/>
      <c r="S18" s="1"/>
      <c r="T18" s="1"/>
      <c r="U18" s="1"/>
      <c r="V18" s="1"/>
      <c r="W18" s="1"/>
    </row>
    <row r="19" spans="4:23" x14ac:dyDescent="0.3">
      <c r="D19" s="1">
        <v>14</v>
      </c>
      <c r="E19" s="1" t="s">
        <v>20</v>
      </c>
      <c r="F19" s="1">
        <v>47</v>
      </c>
      <c r="G19" s="1">
        <v>50</v>
      </c>
      <c r="H19" s="1">
        <v>48</v>
      </c>
      <c r="I19" s="1">
        <v>46</v>
      </c>
      <c r="J19" s="1">
        <v>52</v>
      </c>
      <c r="K19" s="1">
        <f t="shared" si="0"/>
        <v>243</v>
      </c>
      <c r="L19" s="1">
        <f t="shared" si="1"/>
        <v>48.6</v>
      </c>
      <c r="M19" s="1" t="str" cm="1">
        <f t="array" ref="M19">_xlfn.IFS(COUNTIF(F19:J19,"&gt;=50")=5,"PASS",COUNTIF(F19:J19,"&gt;=50")&gt;=3,"SUPP",TRUE(),"FAIL")</f>
        <v>FAIL</v>
      </c>
      <c r="N19">
        <f t="shared" si="2"/>
        <v>2</v>
      </c>
      <c r="O19">
        <f t="shared" si="3"/>
        <v>3</v>
      </c>
      <c r="R19" s="1"/>
      <c r="S19" s="1"/>
      <c r="T19" s="1"/>
      <c r="U19" s="1"/>
      <c r="V19" s="1"/>
      <c r="W19" s="1"/>
    </row>
    <row r="20" spans="4:23" x14ac:dyDescent="0.3">
      <c r="D20" s="1">
        <v>15</v>
      </c>
      <c r="E20" s="1" t="s">
        <v>21</v>
      </c>
      <c r="F20" s="1">
        <v>35</v>
      </c>
      <c r="G20" s="1">
        <v>38</v>
      </c>
      <c r="H20" s="1">
        <v>40</v>
      </c>
      <c r="I20" s="1">
        <v>37</v>
      </c>
      <c r="J20" s="1">
        <v>42</v>
      </c>
      <c r="K20" s="1">
        <f t="shared" si="0"/>
        <v>192</v>
      </c>
      <c r="L20" s="1">
        <f t="shared" si="1"/>
        <v>38.4</v>
      </c>
      <c r="M20" s="1" t="str" cm="1">
        <f t="array" ref="M20">_xlfn.IFS(COUNTIF(F20:J20,"&gt;=50")=5,"PASS",COUNTIF(F20:J20,"&gt;=50")&gt;=3,"SUPP",TRUE(),"FAIL")</f>
        <v>FAIL</v>
      </c>
      <c r="N20">
        <f t="shared" si="2"/>
        <v>0</v>
      </c>
      <c r="O20">
        <f t="shared" si="3"/>
        <v>5</v>
      </c>
      <c r="R20" s="1"/>
      <c r="S20" s="1"/>
      <c r="T20" s="1"/>
      <c r="U20" s="1"/>
      <c r="V20" s="1"/>
      <c r="W20" s="1"/>
    </row>
    <row r="21" spans="4:23" x14ac:dyDescent="0.3">
      <c r="D21" s="1">
        <v>16</v>
      </c>
      <c r="E21" s="1" t="s">
        <v>22</v>
      </c>
      <c r="F21" s="1">
        <v>81</v>
      </c>
      <c r="G21" s="1">
        <v>84</v>
      </c>
      <c r="H21" s="1">
        <v>83</v>
      </c>
      <c r="I21" s="1">
        <v>80</v>
      </c>
      <c r="J21" s="1">
        <v>86</v>
      </c>
      <c r="K21" s="1">
        <f t="shared" si="0"/>
        <v>414</v>
      </c>
      <c r="L21" s="1">
        <f t="shared" si="1"/>
        <v>82.8</v>
      </c>
      <c r="M21" s="1" t="str" cm="1">
        <f t="array" ref="M21">_xlfn.IFS(COUNTIF(F21:J21,"&gt;=50")=5,"PASS",COUNTIF(F21:J21,"&gt;=50")&gt;=3,"SUPP",TRUE(),"FAIL")</f>
        <v>PASS</v>
      </c>
      <c r="N21">
        <f t="shared" si="2"/>
        <v>5</v>
      </c>
      <c r="O21">
        <f t="shared" si="3"/>
        <v>0</v>
      </c>
      <c r="R21" s="1"/>
      <c r="S21" s="1"/>
      <c r="T21" s="1"/>
      <c r="U21" s="1"/>
      <c r="V21" s="1"/>
      <c r="W21" s="1"/>
    </row>
    <row r="22" spans="4:23" x14ac:dyDescent="0.3">
      <c r="D22" s="1">
        <v>17</v>
      </c>
      <c r="E22" s="1" t="s">
        <v>23</v>
      </c>
      <c r="F22" s="1">
        <v>59</v>
      </c>
      <c r="G22" s="1">
        <v>62</v>
      </c>
      <c r="H22" s="1">
        <v>60</v>
      </c>
      <c r="I22" s="1">
        <v>58</v>
      </c>
      <c r="J22" s="1">
        <v>64</v>
      </c>
      <c r="K22" s="1">
        <f t="shared" si="0"/>
        <v>303</v>
      </c>
      <c r="L22" s="1">
        <f t="shared" si="1"/>
        <v>60.6</v>
      </c>
      <c r="M22" s="1" t="str" cm="1">
        <f t="array" ref="M22">_xlfn.IFS(COUNTIF(F22:J22,"&gt;=50")=5,"PASS",COUNTIF(F22:J22,"&gt;=50")&gt;=3,"SUPP",TRUE(),"FAIL")</f>
        <v>PASS</v>
      </c>
      <c r="N22">
        <f t="shared" si="2"/>
        <v>5</v>
      </c>
      <c r="O22">
        <f t="shared" si="3"/>
        <v>0</v>
      </c>
    </row>
    <row r="23" spans="4:23" x14ac:dyDescent="0.3">
      <c r="D23" s="1">
        <v>18</v>
      </c>
      <c r="E23" s="1" t="s">
        <v>24</v>
      </c>
      <c r="F23" s="1">
        <v>73</v>
      </c>
      <c r="G23" s="1">
        <v>77</v>
      </c>
      <c r="H23" s="1">
        <v>75</v>
      </c>
      <c r="I23" s="1">
        <v>72</v>
      </c>
      <c r="J23" s="1">
        <v>79</v>
      </c>
      <c r="K23" s="1">
        <f t="shared" si="0"/>
        <v>376</v>
      </c>
      <c r="L23" s="1">
        <f t="shared" si="1"/>
        <v>75.2</v>
      </c>
      <c r="M23" s="1" t="str" cm="1">
        <f t="array" ref="M23">_xlfn.IFS(COUNTIF(F23:J23,"&gt;=50")=5,"PASS",COUNTIF(F23:J23,"&gt;=50")&gt;=3,"SUPP",TRUE(),"FAIL")</f>
        <v>PASS</v>
      </c>
      <c r="N23">
        <f t="shared" si="2"/>
        <v>5</v>
      </c>
      <c r="O23">
        <f t="shared" si="3"/>
        <v>0</v>
      </c>
    </row>
    <row r="24" spans="4:23" x14ac:dyDescent="0.3">
      <c r="D24" s="1">
        <v>19</v>
      </c>
      <c r="E24" s="1" t="s">
        <v>25</v>
      </c>
      <c r="F24" s="1">
        <v>44</v>
      </c>
      <c r="G24" s="1">
        <v>48</v>
      </c>
      <c r="H24" s="1">
        <v>45</v>
      </c>
      <c r="I24" s="1">
        <v>46</v>
      </c>
      <c r="J24" s="1">
        <v>50</v>
      </c>
      <c r="K24" s="1">
        <f t="shared" si="0"/>
        <v>233</v>
      </c>
      <c r="L24" s="1">
        <f t="shared" si="1"/>
        <v>46.6</v>
      </c>
      <c r="M24" s="1" t="str" cm="1">
        <f t="array" ref="M24">_xlfn.IFS(COUNTIF(F24:J24,"&gt;=50")=5,"PASS",COUNTIF(F24:J24,"&gt;=50")&gt;=3,"SUPP",TRUE(),"FAIL")</f>
        <v>FAIL</v>
      </c>
      <c r="N24">
        <f t="shared" si="2"/>
        <v>1</v>
      </c>
      <c r="O24">
        <f t="shared" si="3"/>
        <v>4</v>
      </c>
    </row>
    <row r="25" spans="4:23" x14ac:dyDescent="0.3">
      <c r="D25" s="1">
        <v>20</v>
      </c>
      <c r="E25" s="1" t="s">
        <v>26</v>
      </c>
      <c r="F25" s="1">
        <v>88</v>
      </c>
      <c r="G25" s="1">
        <v>90</v>
      </c>
      <c r="H25" s="1">
        <v>89</v>
      </c>
      <c r="I25" s="1">
        <v>87</v>
      </c>
      <c r="J25" s="1">
        <v>92</v>
      </c>
      <c r="K25" s="1">
        <f t="shared" si="0"/>
        <v>446</v>
      </c>
      <c r="L25" s="1">
        <f t="shared" si="1"/>
        <v>89.2</v>
      </c>
      <c r="M25" s="1" t="str" cm="1">
        <f t="array" ref="M25">_xlfn.IFS(COUNTIF(F25:J25,"&gt;=50")=5,"PASS",COUNTIF(F25:J25,"&gt;=50")&gt;=3,"SUPP",TRUE(),"FAIL")</f>
        <v>PASS</v>
      </c>
      <c r="N25">
        <f t="shared" si="2"/>
        <v>5</v>
      </c>
      <c r="O25">
        <f t="shared" si="3"/>
        <v>0</v>
      </c>
    </row>
    <row r="26" spans="4:23" x14ac:dyDescent="0.3">
      <c r="D26" s="1">
        <v>21</v>
      </c>
      <c r="E26" s="1" t="s">
        <v>27</v>
      </c>
      <c r="F26" s="1">
        <v>51</v>
      </c>
      <c r="G26" s="1">
        <v>54</v>
      </c>
      <c r="H26" s="1">
        <v>52</v>
      </c>
      <c r="I26" s="1">
        <v>50</v>
      </c>
      <c r="J26" s="1">
        <v>56</v>
      </c>
      <c r="K26" s="1">
        <f t="shared" si="0"/>
        <v>263</v>
      </c>
      <c r="L26" s="1">
        <f t="shared" si="1"/>
        <v>52.6</v>
      </c>
      <c r="M26" s="1" t="str" cm="1">
        <f t="array" ref="M26">_xlfn.IFS(COUNTIF(F26:J26,"&gt;=50")=5,"PASS",COUNTIF(F26:J26,"&gt;=50")&gt;=3,"SUPP",TRUE(),"FAIL")</f>
        <v>PASS</v>
      </c>
      <c r="N26">
        <f t="shared" si="2"/>
        <v>5</v>
      </c>
      <c r="O26">
        <f t="shared" si="3"/>
        <v>0</v>
      </c>
    </row>
    <row r="27" spans="4:23" x14ac:dyDescent="0.3">
      <c r="D27" s="1">
        <v>22</v>
      </c>
      <c r="E27" s="1" t="s">
        <v>28</v>
      </c>
      <c r="F27" s="1">
        <v>79</v>
      </c>
      <c r="G27" s="1">
        <v>82</v>
      </c>
      <c r="H27" s="1">
        <v>80</v>
      </c>
      <c r="I27" s="1">
        <v>78</v>
      </c>
      <c r="J27" s="1">
        <v>85</v>
      </c>
      <c r="K27" s="1">
        <f t="shared" si="0"/>
        <v>404</v>
      </c>
      <c r="L27" s="1">
        <f t="shared" si="1"/>
        <v>80.800000000000011</v>
      </c>
      <c r="M27" s="1" t="str" cm="1">
        <f t="array" ref="M27">_xlfn.IFS(COUNTIF(F27:J27,"&gt;=50")=5,"PASS",COUNTIF(F27:J27,"&gt;=50")&gt;=3,"SUPP",TRUE(),"FAIL")</f>
        <v>PASS</v>
      </c>
      <c r="N27">
        <f t="shared" si="2"/>
        <v>5</v>
      </c>
      <c r="O27">
        <f t="shared" si="3"/>
        <v>0</v>
      </c>
    </row>
    <row r="28" spans="4:23" x14ac:dyDescent="0.3">
      <c r="D28" s="1">
        <v>23</v>
      </c>
      <c r="E28" s="1" t="s">
        <v>29</v>
      </c>
      <c r="F28" s="1">
        <v>63</v>
      </c>
      <c r="G28" s="1">
        <v>66</v>
      </c>
      <c r="H28" s="1">
        <v>64</v>
      </c>
      <c r="I28" s="1">
        <v>62</v>
      </c>
      <c r="J28" s="1">
        <v>68</v>
      </c>
      <c r="K28" s="1">
        <f t="shared" si="0"/>
        <v>323</v>
      </c>
      <c r="L28" s="1">
        <f t="shared" si="1"/>
        <v>64.600000000000009</v>
      </c>
      <c r="M28" s="1" t="str" cm="1">
        <f t="array" ref="M28">_xlfn.IFS(COUNTIF(F28:J28,"&gt;=50")=5,"PASS",COUNTIF(F28:J28,"&gt;=50")&gt;=3,"SUPP",TRUE(),"FAIL")</f>
        <v>PASS</v>
      </c>
      <c r="N28">
        <f t="shared" si="2"/>
        <v>5</v>
      </c>
      <c r="O28">
        <f t="shared" si="3"/>
        <v>0</v>
      </c>
    </row>
    <row r="29" spans="4:23" x14ac:dyDescent="0.3">
      <c r="D29" s="1">
        <v>24</v>
      </c>
      <c r="E29" s="1" t="s">
        <v>30</v>
      </c>
      <c r="F29" s="1">
        <v>39</v>
      </c>
      <c r="G29" s="1">
        <v>42</v>
      </c>
      <c r="H29" s="1">
        <v>40</v>
      </c>
      <c r="I29" s="1">
        <v>38</v>
      </c>
      <c r="J29" s="1">
        <v>45</v>
      </c>
      <c r="K29" s="1">
        <f t="shared" si="0"/>
        <v>204</v>
      </c>
      <c r="L29" s="1">
        <f t="shared" si="1"/>
        <v>40.799999999999997</v>
      </c>
      <c r="M29" s="1" t="str" cm="1">
        <f t="array" ref="M29">_xlfn.IFS(COUNTIF(F29:J29,"&gt;=50")=5,"PASS",COUNTIF(F29:J29,"&gt;=50")&gt;=3,"SUPP",TRUE(),"FAIL")</f>
        <v>FAIL</v>
      </c>
      <c r="N29">
        <f t="shared" si="2"/>
        <v>0</v>
      </c>
      <c r="O29">
        <f t="shared" si="3"/>
        <v>5</v>
      </c>
    </row>
    <row r="30" spans="4:23" x14ac:dyDescent="0.3">
      <c r="D30" s="1">
        <v>25</v>
      </c>
      <c r="E30" s="1" t="s">
        <v>31</v>
      </c>
      <c r="F30" s="1">
        <v>85</v>
      </c>
      <c r="G30" s="1">
        <v>88</v>
      </c>
      <c r="H30" s="1">
        <v>87</v>
      </c>
      <c r="I30" s="1">
        <v>84</v>
      </c>
      <c r="J30" s="1">
        <v>90</v>
      </c>
      <c r="K30" s="1">
        <f t="shared" si="0"/>
        <v>434</v>
      </c>
      <c r="L30" s="1">
        <f t="shared" si="1"/>
        <v>86.8</v>
      </c>
      <c r="M30" s="1" t="str" cm="1">
        <f t="array" ref="M30">_xlfn.IFS(COUNTIF(F30:J30,"&gt;=50")=5,"PASS",COUNTIF(F30:J30,"&gt;=50")&gt;=3,"SUPP",TRUE(),"FAIL")</f>
        <v>PASS</v>
      </c>
      <c r="N30">
        <f t="shared" si="2"/>
        <v>5</v>
      </c>
      <c r="O30">
        <f t="shared" si="3"/>
        <v>0</v>
      </c>
    </row>
    <row r="31" spans="4:23" x14ac:dyDescent="0.3">
      <c r="D31" s="1">
        <v>26</v>
      </c>
      <c r="E31" s="1" t="s">
        <v>32</v>
      </c>
      <c r="F31" s="1">
        <v>56</v>
      </c>
      <c r="G31" s="1">
        <v>59</v>
      </c>
      <c r="H31" s="1">
        <v>58</v>
      </c>
      <c r="I31" s="1">
        <v>55</v>
      </c>
      <c r="J31" s="1">
        <v>61</v>
      </c>
      <c r="K31" s="1">
        <f t="shared" si="0"/>
        <v>289</v>
      </c>
      <c r="L31" s="1">
        <f t="shared" si="1"/>
        <v>57.8</v>
      </c>
      <c r="M31" s="1" t="str" cm="1">
        <f t="array" ref="M31">_xlfn.IFS(COUNTIF(F31:J31,"&gt;=50")=5,"PASS",COUNTIF(F31:J31,"&gt;=50")&gt;=3,"SUPP",TRUE(),"FAIL")</f>
        <v>PASS</v>
      </c>
      <c r="N31">
        <f t="shared" si="2"/>
        <v>5</v>
      </c>
      <c r="O31">
        <f t="shared" si="3"/>
        <v>0</v>
      </c>
    </row>
    <row r="32" spans="4:23" x14ac:dyDescent="0.3">
      <c r="D32" s="1">
        <v>27</v>
      </c>
      <c r="E32" s="1" t="s">
        <v>33</v>
      </c>
      <c r="F32" s="1">
        <v>72</v>
      </c>
      <c r="G32" s="1">
        <v>75</v>
      </c>
      <c r="H32" s="1">
        <v>73</v>
      </c>
      <c r="I32" s="1">
        <v>71</v>
      </c>
      <c r="J32" s="1">
        <v>78</v>
      </c>
      <c r="K32" s="1">
        <f t="shared" si="0"/>
        <v>369</v>
      </c>
      <c r="L32" s="1">
        <f t="shared" si="1"/>
        <v>73.8</v>
      </c>
      <c r="M32" s="1" t="str" cm="1">
        <f t="array" ref="M32">_xlfn.IFS(COUNTIF(F32:J32,"&gt;=50")=5,"PASS",COUNTIF(F32:J32,"&gt;=50")&gt;=3,"SUPP",TRUE(),"FAIL")</f>
        <v>PASS</v>
      </c>
      <c r="N32">
        <f t="shared" si="2"/>
        <v>5</v>
      </c>
      <c r="O32">
        <f t="shared" si="3"/>
        <v>0</v>
      </c>
    </row>
    <row r="33" spans="4:15" x14ac:dyDescent="0.3">
      <c r="D33" s="1">
        <v>28</v>
      </c>
      <c r="E33" s="1" t="s">
        <v>34</v>
      </c>
      <c r="F33" s="1">
        <v>33</v>
      </c>
      <c r="G33" s="1">
        <v>36</v>
      </c>
      <c r="H33" s="1">
        <v>35</v>
      </c>
      <c r="I33" s="1">
        <v>34</v>
      </c>
      <c r="J33" s="1">
        <v>38</v>
      </c>
      <c r="K33" s="1">
        <f t="shared" si="0"/>
        <v>176</v>
      </c>
      <c r="L33" s="1">
        <f t="shared" si="1"/>
        <v>35.199999999999996</v>
      </c>
      <c r="M33" s="1" t="str" cm="1">
        <f t="array" ref="M33">_xlfn.IFS(COUNTIF(F33:J33,"&gt;=50")=5,"PASS",COUNTIF(F33:J33,"&gt;=50")&gt;=3,"SUPP",TRUE(),"FAIL")</f>
        <v>FAIL</v>
      </c>
      <c r="N33">
        <f t="shared" si="2"/>
        <v>0</v>
      </c>
      <c r="O33">
        <f t="shared" si="3"/>
        <v>5</v>
      </c>
    </row>
    <row r="34" spans="4:15" x14ac:dyDescent="0.3">
      <c r="D34" s="1">
        <v>29</v>
      </c>
      <c r="E34" s="1" t="s">
        <v>35</v>
      </c>
      <c r="F34" s="1">
        <v>66</v>
      </c>
      <c r="G34" s="1">
        <v>69</v>
      </c>
      <c r="H34" s="1">
        <v>67</v>
      </c>
      <c r="I34" s="1">
        <v>65</v>
      </c>
      <c r="J34" s="1">
        <v>71</v>
      </c>
      <c r="K34" s="1">
        <f t="shared" si="0"/>
        <v>338</v>
      </c>
      <c r="L34" s="1">
        <f t="shared" si="1"/>
        <v>67.600000000000009</v>
      </c>
      <c r="M34" s="1" t="str" cm="1">
        <f t="array" ref="M34">_xlfn.IFS(COUNTIF(F34:J34,"&gt;=50")=5,"PASS",COUNTIF(F34:J34,"&gt;=50")&gt;=3,"SUPP",TRUE(),"FAIL")</f>
        <v>PASS</v>
      </c>
      <c r="N34">
        <f t="shared" si="2"/>
        <v>5</v>
      </c>
      <c r="O34">
        <f t="shared" si="3"/>
        <v>0</v>
      </c>
    </row>
    <row r="35" spans="4:15" x14ac:dyDescent="0.3">
      <c r="D35" s="1">
        <v>30</v>
      </c>
      <c r="E35" s="1" t="s">
        <v>36</v>
      </c>
      <c r="F35" s="1">
        <v>91</v>
      </c>
      <c r="G35" s="1">
        <v>94</v>
      </c>
      <c r="H35" s="1">
        <v>92</v>
      </c>
      <c r="I35" s="1">
        <v>90</v>
      </c>
      <c r="J35" s="1">
        <v>96</v>
      </c>
      <c r="K35" s="1">
        <f t="shared" si="0"/>
        <v>463</v>
      </c>
      <c r="L35" s="1">
        <f t="shared" si="1"/>
        <v>92.600000000000009</v>
      </c>
      <c r="M35" s="1" t="str" cm="1">
        <f t="array" ref="M35">_xlfn.IFS(COUNTIF(F35:J35,"&gt;=50")=5,"PASS",COUNTIF(F35:J35,"&gt;=50")&gt;=3,"SUPP",TRUE(),"FAIL")</f>
        <v>PASS</v>
      </c>
      <c r="N35">
        <f t="shared" si="2"/>
        <v>5</v>
      </c>
      <c r="O35">
        <f t="shared" si="3"/>
        <v>0</v>
      </c>
    </row>
    <row r="36" spans="4:15" x14ac:dyDescent="0.3">
      <c r="D36" s="1">
        <v>31</v>
      </c>
      <c r="E36" s="1" t="s">
        <v>37</v>
      </c>
      <c r="F36" s="1">
        <v>48</v>
      </c>
      <c r="G36" s="1">
        <v>50</v>
      </c>
      <c r="H36" s="1">
        <v>49</v>
      </c>
      <c r="I36" s="1">
        <v>47</v>
      </c>
      <c r="J36" s="1">
        <v>53</v>
      </c>
      <c r="K36" s="1">
        <f t="shared" si="0"/>
        <v>247</v>
      </c>
      <c r="L36" s="1">
        <f t="shared" si="1"/>
        <v>49.4</v>
      </c>
      <c r="M36" s="1" t="str" cm="1">
        <f t="array" ref="M36">_xlfn.IFS(COUNTIF(F36:J36,"&gt;=50")=5,"PASS",COUNTIF(F36:J36,"&gt;=50")&gt;=3,"SUPP",TRUE(),"FAIL")</f>
        <v>FAIL</v>
      </c>
      <c r="N36">
        <f t="shared" si="2"/>
        <v>2</v>
      </c>
      <c r="O36">
        <f t="shared" si="3"/>
        <v>3</v>
      </c>
    </row>
    <row r="37" spans="4:15" x14ac:dyDescent="0.3">
      <c r="D37" s="1">
        <v>32</v>
      </c>
      <c r="E37" s="1" t="s">
        <v>38</v>
      </c>
      <c r="F37" s="1">
        <v>77</v>
      </c>
      <c r="G37" s="1">
        <v>80</v>
      </c>
      <c r="H37" s="1">
        <v>78</v>
      </c>
      <c r="I37" s="1">
        <v>76</v>
      </c>
      <c r="J37" s="1">
        <v>83</v>
      </c>
      <c r="K37" s="1">
        <f t="shared" si="0"/>
        <v>394</v>
      </c>
      <c r="L37" s="1">
        <f t="shared" si="1"/>
        <v>78.8</v>
      </c>
      <c r="M37" s="1" t="str" cm="1">
        <f t="array" ref="M37">_xlfn.IFS(COUNTIF(F37:J37,"&gt;=50")=5,"PASS",COUNTIF(F37:J37,"&gt;=50")&gt;=3,"SUPP",TRUE(),"FAIL")</f>
        <v>PASS</v>
      </c>
      <c r="N37">
        <f t="shared" si="2"/>
        <v>5</v>
      </c>
      <c r="O37">
        <f t="shared" si="3"/>
        <v>0</v>
      </c>
    </row>
    <row r="38" spans="4:15" x14ac:dyDescent="0.3">
      <c r="D38" s="1">
        <v>33</v>
      </c>
      <c r="E38" s="1" t="s">
        <v>39</v>
      </c>
      <c r="F38" s="1">
        <v>60</v>
      </c>
      <c r="G38" s="1">
        <v>63</v>
      </c>
      <c r="H38" s="1">
        <v>61</v>
      </c>
      <c r="I38" s="1">
        <v>59</v>
      </c>
      <c r="J38" s="1">
        <v>65</v>
      </c>
      <c r="K38" s="1">
        <f t="shared" si="0"/>
        <v>308</v>
      </c>
      <c r="L38" s="1">
        <f t="shared" si="1"/>
        <v>61.6</v>
      </c>
      <c r="M38" s="1" t="str" cm="1">
        <f t="array" ref="M38">_xlfn.IFS(COUNTIF(F38:J38,"&gt;=50")=5,"PASS",COUNTIF(F38:J38,"&gt;=50")&gt;=3,"SUPP",TRUE(),"FAIL")</f>
        <v>PASS</v>
      </c>
      <c r="N38">
        <f t="shared" si="2"/>
        <v>5</v>
      </c>
      <c r="O38">
        <f t="shared" si="3"/>
        <v>0</v>
      </c>
    </row>
    <row r="39" spans="4:15" x14ac:dyDescent="0.3">
      <c r="D39" s="1">
        <v>34</v>
      </c>
      <c r="E39" s="1" t="s">
        <v>40</v>
      </c>
      <c r="F39" s="1">
        <v>42</v>
      </c>
      <c r="G39" s="1">
        <v>45</v>
      </c>
      <c r="H39" s="1">
        <v>43</v>
      </c>
      <c r="I39" s="1">
        <v>41</v>
      </c>
      <c r="J39" s="1">
        <v>47</v>
      </c>
      <c r="K39" s="1">
        <f t="shared" si="0"/>
        <v>218</v>
      </c>
      <c r="L39" s="1">
        <f t="shared" si="1"/>
        <v>43.6</v>
      </c>
      <c r="M39" s="1" t="str" cm="1">
        <f t="array" ref="M39">_xlfn.IFS(COUNTIF(F39:J39,"&gt;=50")=5,"PASS",COUNTIF(F39:J39,"&gt;=50")&gt;=3,"SUPP",TRUE(),"FAIL")</f>
        <v>FAIL</v>
      </c>
      <c r="N39">
        <f t="shared" si="2"/>
        <v>0</v>
      </c>
      <c r="O39">
        <f t="shared" si="3"/>
        <v>5</v>
      </c>
    </row>
    <row r="40" spans="4:15" x14ac:dyDescent="0.3">
      <c r="D40" s="1">
        <v>35</v>
      </c>
      <c r="E40" s="1" t="s">
        <v>41</v>
      </c>
      <c r="F40" s="1">
        <v>84</v>
      </c>
      <c r="G40" s="1">
        <v>87</v>
      </c>
      <c r="H40" s="1">
        <v>85</v>
      </c>
      <c r="I40" s="1">
        <v>82</v>
      </c>
      <c r="J40" s="1">
        <v>89</v>
      </c>
      <c r="K40" s="1">
        <f t="shared" si="0"/>
        <v>427</v>
      </c>
      <c r="L40" s="1">
        <f t="shared" si="1"/>
        <v>85.399999999999991</v>
      </c>
      <c r="M40" s="1" t="str" cm="1">
        <f t="array" ref="M40">_xlfn.IFS(COUNTIF(F40:J40,"&gt;=50")=5,"PASS",COUNTIF(F40:J40,"&gt;=50")&gt;=3,"SUPP",TRUE(),"FAIL")</f>
        <v>PASS</v>
      </c>
      <c r="N40">
        <f t="shared" si="2"/>
        <v>5</v>
      </c>
      <c r="O40">
        <f t="shared" si="3"/>
        <v>0</v>
      </c>
    </row>
    <row r="41" spans="4:15" x14ac:dyDescent="0.3">
      <c r="D41" s="1">
        <v>36</v>
      </c>
      <c r="E41" s="1" t="s">
        <v>42</v>
      </c>
      <c r="F41" s="1">
        <v>55</v>
      </c>
      <c r="G41" s="1">
        <v>58</v>
      </c>
      <c r="H41" s="1">
        <v>56</v>
      </c>
      <c r="I41" s="1">
        <v>54</v>
      </c>
      <c r="J41" s="1">
        <v>60</v>
      </c>
      <c r="K41" s="1">
        <f t="shared" si="0"/>
        <v>283</v>
      </c>
      <c r="L41" s="1">
        <f t="shared" si="1"/>
        <v>56.599999999999994</v>
      </c>
      <c r="M41" s="1" t="str" cm="1">
        <f t="array" ref="M41">_xlfn.IFS(COUNTIF(F41:J41,"&gt;=50")=5,"PASS",COUNTIF(F41:J41,"&gt;=50")&gt;=3,"SUPP",TRUE(),"FAIL")</f>
        <v>PASS</v>
      </c>
      <c r="N41">
        <f t="shared" si="2"/>
        <v>5</v>
      </c>
      <c r="O41">
        <f t="shared" si="3"/>
        <v>0</v>
      </c>
    </row>
    <row r="42" spans="4:15" x14ac:dyDescent="0.3">
      <c r="D42" s="1">
        <v>37</v>
      </c>
      <c r="E42" s="1" t="s">
        <v>43</v>
      </c>
      <c r="F42" s="1">
        <v>70</v>
      </c>
      <c r="G42" s="1">
        <v>73</v>
      </c>
      <c r="H42" s="1">
        <v>71</v>
      </c>
      <c r="I42" s="1">
        <v>69</v>
      </c>
      <c r="J42" s="1">
        <v>75</v>
      </c>
      <c r="K42" s="1">
        <f t="shared" si="0"/>
        <v>358</v>
      </c>
      <c r="L42" s="1">
        <f t="shared" si="1"/>
        <v>71.599999999999994</v>
      </c>
      <c r="M42" s="1" t="str" cm="1">
        <f t="array" ref="M42">_xlfn.IFS(COUNTIF(F42:J42,"&gt;=50")=5,"PASS",COUNTIF(F42:J42,"&gt;=50")&gt;=3,"SUPP",TRUE(),"FAIL")</f>
        <v>PASS</v>
      </c>
      <c r="N42">
        <f t="shared" si="2"/>
        <v>5</v>
      </c>
      <c r="O42">
        <f t="shared" si="3"/>
        <v>0</v>
      </c>
    </row>
    <row r="43" spans="4:15" x14ac:dyDescent="0.3">
      <c r="D43" s="1">
        <v>38</v>
      </c>
      <c r="E43" s="1" t="s">
        <v>44</v>
      </c>
      <c r="F43" s="1">
        <v>36</v>
      </c>
      <c r="G43" s="1">
        <v>39</v>
      </c>
      <c r="H43" s="1">
        <v>38</v>
      </c>
      <c r="I43" s="1">
        <v>37</v>
      </c>
      <c r="J43" s="1">
        <v>40</v>
      </c>
      <c r="K43" s="1">
        <f t="shared" si="0"/>
        <v>190</v>
      </c>
      <c r="L43" s="1">
        <f t="shared" si="1"/>
        <v>38</v>
      </c>
      <c r="M43" s="1" t="str" cm="1">
        <f t="array" ref="M43">_xlfn.IFS(COUNTIF(F43:J43,"&gt;=50")=5,"PASS",COUNTIF(F43:J43,"&gt;=50")&gt;=3,"SUPP",TRUE(),"FAIL")</f>
        <v>FAIL</v>
      </c>
      <c r="N43">
        <f t="shared" si="2"/>
        <v>0</v>
      </c>
      <c r="O43">
        <f t="shared" si="3"/>
        <v>5</v>
      </c>
    </row>
    <row r="44" spans="4:15" x14ac:dyDescent="0.3">
      <c r="D44" s="1">
        <v>39</v>
      </c>
      <c r="E44" s="1" t="s">
        <v>45</v>
      </c>
      <c r="F44" s="1">
        <v>64</v>
      </c>
      <c r="G44" s="1">
        <v>67</v>
      </c>
      <c r="H44" s="1">
        <v>65</v>
      </c>
      <c r="I44" s="1">
        <v>63</v>
      </c>
      <c r="J44" s="1">
        <v>69</v>
      </c>
      <c r="K44" s="1">
        <f t="shared" si="0"/>
        <v>328</v>
      </c>
      <c r="L44" s="1">
        <f t="shared" si="1"/>
        <v>65.600000000000009</v>
      </c>
      <c r="M44" s="1" t="str" cm="1">
        <f t="array" ref="M44">_xlfn.IFS(COUNTIF(F44:J44,"&gt;=50")=5,"PASS",COUNTIF(F44:J44,"&gt;=50")&gt;=3,"SUPP",TRUE(),"FAIL")</f>
        <v>PASS</v>
      </c>
      <c r="N44">
        <f t="shared" si="2"/>
        <v>5</v>
      </c>
      <c r="O44">
        <f t="shared" si="3"/>
        <v>0</v>
      </c>
    </row>
    <row r="45" spans="4:15" x14ac:dyDescent="0.3">
      <c r="D45" s="1">
        <v>40</v>
      </c>
      <c r="E45" s="1" t="s">
        <v>46</v>
      </c>
      <c r="F45" s="1">
        <v>78</v>
      </c>
      <c r="G45" s="1">
        <v>81</v>
      </c>
      <c r="H45" s="1">
        <v>79</v>
      </c>
      <c r="I45" s="1">
        <v>77</v>
      </c>
      <c r="J45" s="1">
        <v>84</v>
      </c>
      <c r="K45" s="1">
        <f t="shared" si="0"/>
        <v>399</v>
      </c>
      <c r="L45" s="1">
        <f t="shared" si="1"/>
        <v>79.800000000000011</v>
      </c>
      <c r="M45" s="1" t="str" cm="1">
        <f t="array" ref="M45">_xlfn.IFS(COUNTIF(F45:J45,"&gt;=50")=5,"PASS",COUNTIF(F45:J45,"&gt;=50")&gt;=3,"SUPP",TRUE(),"FAIL")</f>
        <v>PASS</v>
      </c>
      <c r="N45">
        <f t="shared" si="2"/>
        <v>5</v>
      </c>
      <c r="O45">
        <f t="shared" si="3"/>
        <v>0</v>
      </c>
    </row>
    <row r="46" spans="4:15" x14ac:dyDescent="0.3">
      <c r="D46" s="1">
        <v>41</v>
      </c>
      <c r="E46" s="1" t="s">
        <v>47</v>
      </c>
      <c r="F46" s="1">
        <v>46</v>
      </c>
      <c r="G46" s="1">
        <v>49</v>
      </c>
      <c r="H46" s="1">
        <v>47</v>
      </c>
      <c r="I46" s="1">
        <v>45</v>
      </c>
      <c r="J46" s="1">
        <v>51</v>
      </c>
      <c r="K46" s="1">
        <f t="shared" si="0"/>
        <v>238</v>
      </c>
      <c r="L46" s="1">
        <f t="shared" si="1"/>
        <v>47.599999999999994</v>
      </c>
      <c r="M46" s="1" t="str" cm="1">
        <f t="array" ref="M46">_xlfn.IFS(COUNTIF(F46:J46,"&gt;=50")=5,"PASS",COUNTIF(F46:J46,"&gt;=50")&gt;=3,"SUPP",TRUE(),"FAIL")</f>
        <v>FAIL</v>
      </c>
      <c r="N46">
        <f t="shared" si="2"/>
        <v>1</v>
      </c>
      <c r="O46">
        <f t="shared" si="3"/>
        <v>4</v>
      </c>
    </row>
    <row r="47" spans="4:15" x14ac:dyDescent="0.3">
      <c r="D47" s="1">
        <v>42</v>
      </c>
      <c r="E47" s="1" t="s">
        <v>48</v>
      </c>
      <c r="F47" s="1">
        <v>86</v>
      </c>
      <c r="G47" s="1">
        <v>89</v>
      </c>
      <c r="H47" s="1">
        <v>88</v>
      </c>
      <c r="I47" s="1">
        <v>85</v>
      </c>
      <c r="J47" s="1">
        <v>91</v>
      </c>
      <c r="K47" s="1">
        <f t="shared" si="0"/>
        <v>439</v>
      </c>
      <c r="L47" s="1">
        <f t="shared" si="1"/>
        <v>87.8</v>
      </c>
      <c r="M47" s="1" t="str" cm="1">
        <f t="array" ref="M47">_xlfn.IFS(COUNTIF(F47:J47,"&gt;=50")=5,"PASS",COUNTIF(F47:J47,"&gt;=50")&gt;=3,"SUPP",TRUE(),"FAIL")</f>
        <v>PASS</v>
      </c>
      <c r="N47">
        <f t="shared" si="2"/>
        <v>5</v>
      </c>
      <c r="O47">
        <f t="shared" si="3"/>
        <v>0</v>
      </c>
    </row>
    <row r="48" spans="4:15" x14ac:dyDescent="0.3">
      <c r="D48" s="1">
        <v>43</v>
      </c>
      <c r="E48" s="1" t="s">
        <v>49</v>
      </c>
      <c r="F48" s="1">
        <v>57</v>
      </c>
      <c r="G48" s="1">
        <v>60</v>
      </c>
      <c r="H48" s="1">
        <v>58</v>
      </c>
      <c r="I48" s="1">
        <v>56</v>
      </c>
      <c r="J48" s="1">
        <v>62</v>
      </c>
      <c r="K48" s="1">
        <f t="shared" si="0"/>
        <v>293</v>
      </c>
      <c r="L48" s="1">
        <f t="shared" si="1"/>
        <v>58.599999999999994</v>
      </c>
      <c r="M48" s="1" t="str" cm="1">
        <f t="array" ref="M48">_xlfn.IFS(COUNTIF(F48:J48,"&gt;=50")=5,"PASS",COUNTIF(F48:J48,"&gt;=50")&gt;=3,"SUPP",TRUE(),"FAIL")</f>
        <v>PASS</v>
      </c>
      <c r="N48">
        <f t="shared" si="2"/>
        <v>5</v>
      </c>
      <c r="O48">
        <f t="shared" si="3"/>
        <v>0</v>
      </c>
    </row>
    <row r="49" spans="4:15" x14ac:dyDescent="0.3">
      <c r="D49" s="1">
        <v>44</v>
      </c>
      <c r="E49" s="1" t="s">
        <v>50</v>
      </c>
      <c r="F49" s="1">
        <v>40</v>
      </c>
      <c r="G49" s="1">
        <v>43</v>
      </c>
      <c r="H49" s="1">
        <v>41</v>
      </c>
      <c r="I49" s="1">
        <v>39</v>
      </c>
      <c r="J49" s="1">
        <v>45</v>
      </c>
      <c r="K49" s="1">
        <f t="shared" si="0"/>
        <v>208</v>
      </c>
      <c r="L49" s="1">
        <f t="shared" si="1"/>
        <v>41.6</v>
      </c>
      <c r="M49" s="1" t="str" cm="1">
        <f t="array" ref="M49">_xlfn.IFS(COUNTIF(F49:J49,"&gt;=50")=5,"PASS",COUNTIF(F49:J49,"&gt;=50")&gt;=3,"SUPP",TRUE(),"FAIL")</f>
        <v>FAIL</v>
      </c>
      <c r="N49">
        <f t="shared" si="2"/>
        <v>0</v>
      </c>
      <c r="O49">
        <f t="shared" si="3"/>
        <v>5</v>
      </c>
    </row>
    <row r="50" spans="4:15" x14ac:dyDescent="0.3">
      <c r="D50" s="1">
        <v>45</v>
      </c>
      <c r="E50" s="1" t="s">
        <v>51</v>
      </c>
      <c r="F50" s="1">
        <v>83</v>
      </c>
      <c r="G50" s="1">
        <v>86</v>
      </c>
      <c r="H50" s="1">
        <v>84</v>
      </c>
      <c r="I50" s="1">
        <v>82</v>
      </c>
      <c r="J50" s="1">
        <v>88</v>
      </c>
      <c r="K50" s="1">
        <f t="shared" si="0"/>
        <v>423</v>
      </c>
      <c r="L50" s="1">
        <f t="shared" si="1"/>
        <v>84.6</v>
      </c>
      <c r="M50" s="1" t="str" cm="1">
        <f t="array" ref="M50">_xlfn.IFS(COUNTIF(F50:J50,"&gt;=50")=5,"PASS",COUNTIF(F50:J50,"&gt;=50")&gt;=3,"SUPP",TRUE(),"FAIL")</f>
        <v>PASS</v>
      </c>
      <c r="N50">
        <f t="shared" si="2"/>
        <v>5</v>
      </c>
      <c r="O50">
        <f t="shared" si="3"/>
        <v>0</v>
      </c>
    </row>
    <row r="51" spans="4:15" x14ac:dyDescent="0.3">
      <c r="D51" s="1">
        <v>46</v>
      </c>
      <c r="E51" s="1" t="s">
        <v>52</v>
      </c>
      <c r="F51" s="1">
        <v>69</v>
      </c>
      <c r="G51" s="1">
        <v>72</v>
      </c>
      <c r="H51" s="1">
        <v>70</v>
      </c>
      <c r="I51" s="1">
        <v>68</v>
      </c>
      <c r="J51" s="1">
        <v>74</v>
      </c>
      <c r="K51" s="1">
        <f t="shared" si="0"/>
        <v>353</v>
      </c>
      <c r="L51" s="1">
        <f t="shared" si="1"/>
        <v>70.599999999999994</v>
      </c>
      <c r="M51" s="1" t="str" cm="1">
        <f t="array" ref="M51">_xlfn.IFS(COUNTIF(F51:J51,"&gt;=50")=5,"PASS",COUNTIF(F51:J51,"&gt;=50")&gt;=3,"SUPP",TRUE(),"FAIL")</f>
        <v>PASS</v>
      </c>
      <c r="N51">
        <f t="shared" si="2"/>
        <v>5</v>
      </c>
      <c r="O51">
        <f t="shared" si="3"/>
        <v>0</v>
      </c>
    </row>
    <row r="52" spans="4:15" x14ac:dyDescent="0.3">
      <c r="D52" s="1">
        <v>47</v>
      </c>
      <c r="E52" s="1" t="s">
        <v>53</v>
      </c>
      <c r="F52" s="1">
        <v>52</v>
      </c>
      <c r="G52" s="1">
        <v>55</v>
      </c>
      <c r="H52" s="1">
        <v>53</v>
      </c>
      <c r="I52" s="1">
        <v>51</v>
      </c>
      <c r="J52" s="1">
        <v>57</v>
      </c>
      <c r="K52" s="1">
        <f t="shared" si="0"/>
        <v>268</v>
      </c>
      <c r="L52" s="1">
        <f t="shared" si="1"/>
        <v>53.6</v>
      </c>
      <c r="M52" s="1" t="str" cm="1">
        <f t="array" ref="M52">_xlfn.IFS(COUNTIF(F52:J52,"&gt;=50")=5,"PASS",COUNTIF(F52:J52,"&gt;=50")&gt;=3,"SUPP",TRUE(),"FAIL")</f>
        <v>PASS</v>
      </c>
      <c r="N52">
        <f t="shared" si="2"/>
        <v>5</v>
      </c>
      <c r="O52">
        <f t="shared" si="3"/>
        <v>0</v>
      </c>
    </row>
    <row r="53" spans="4:15" x14ac:dyDescent="0.3">
      <c r="D53" s="1">
        <v>48</v>
      </c>
      <c r="E53" s="1" t="s">
        <v>54</v>
      </c>
      <c r="F53" s="1">
        <v>90</v>
      </c>
      <c r="G53" s="1">
        <v>93</v>
      </c>
      <c r="H53" s="1">
        <v>91</v>
      </c>
      <c r="I53" s="1">
        <v>89</v>
      </c>
      <c r="J53" s="1">
        <v>95</v>
      </c>
      <c r="K53" s="1">
        <f t="shared" si="0"/>
        <v>458</v>
      </c>
      <c r="L53" s="1">
        <f t="shared" si="1"/>
        <v>91.600000000000009</v>
      </c>
      <c r="M53" s="1" t="str" cm="1">
        <f t="array" ref="M53">_xlfn.IFS(COUNTIF(F53:J53,"&gt;=50")=5,"PASS",COUNTIF(F53:J53,"&gt;=50")&gt;=3,"SUPP",TRUE(),"FAIL")</f>
        <v>PASS</v>
      </c>
      <c r="N53">
        <f t="shared" si="2"/>
        <v>5</v>
      </c>
      <c r="O53">
        <f t="shared" si="3"/>
        <v>0</v>
      </c>
    </row>
    <row r="54" spans="4:15" x14ac:dyDescent="0.3">
      <c r="D54" s="1">
        <v>49</v>
      </c>
      <c r="E54" s="1" t="s">
        <v>55</v>
      </c>
      <c r="F54" s="1">
        <v>61</v>
      </c>
      <c r="G54" s="1">
        <v>64</v>
      </c>
      <c r="H54" s="1">
        <v>62</v>
      </c>
      <c r="I54" s="1">
        <v>60</v>
      </c>
      <c r="J54" s="1">
        <v>66</v>
      </c>
      <c r="K54" s="1">
        <f t="shared" si="0"/>
        <v>313</v>
      </c>
      <c r="L54" s="1">
        <f t="shared" si="1"/>
        <v>62.6</v>
      </c>
      <c r="M54" s="1" t="str" cm="1">
        <f t="array" ref="M54">_xlfn.IFS(COUNTIF(F54:J54,"&gt;=50")=5,"PASS",COUNTIF(F54:J54,"&gt;=50")&gt;=3,"SUPP",TRUE(),"FAIL")</f>
        <v>PASS</v>
      </c>
      <c r="N54">
        <f t="shared" si="2"/>
        <v>5</v>
      </c>
      <c r="O54">
        <f t="shared" si="3"/>
        <v>0</v>
      </c>
    </row>
    <row r="55" spans="4:15" x14ac:dyDescent="0.3">
      <c r="D55" s="1">
        <v>50</v>
      </c>
      <c r="E55" s="1" t="s">
        <v>56</v>
      </c>
      <c r="F55" s="1">
        <v>75</v>
      </c>
      <c r="G55" s="1">
        <v>78</v>
      </c>
      <c r="H55" s="1">
        <v>76</v>
      </c>
      <c r="I55" s="1">
        <v>74</v>
      </c>
      <c r="J55" s="1">
        <v>81</v>
      </c>
      <c r="K55" s="1">
        <f t="shared" si="0"/>
        <v>384</v>
      </c>
      <c r="L55" s="1">
        <f t="shared" si="1"/>
        <v>76.8</v>
      </c>
      <c r="M55" s="1" t="str" cm="1">
        <f t="array" ref="M55">_xlfn.IFS(COUNTIF(F55:J55,"&gt;=50")=5,"PASS",COUNTIF(F55:J55,"&gt;=50")&gt;=3,"SUPP",TRUE(),"FAIL")</f>
        <v>PASS</v>
      </c>
      <c r="N55">
        <f t="shared" si="2"/>
        <v>5</v>
      </c>
      <c r="O55">
        <f t="shared" si="3"/>
        <v>0</v>
      </c>
    </row>
  </sheetData>
  <mergeCells count="2">
    <mergeCell ref="R6:W7"/>
    <mergeCell ref="E2:L3"/>
  </mergeCells>
  <conditionalFormatting sqref="F6:J55">
    <cfRule type="cellIs" dxfId="2" priority="3" operator="lessThan">
      <formula>50</formula>
    </cfRule>
  </conditionalFormatting>
  <conditionalFormatting sqref="K6:K55">
    <cfRule type="top10" dxfId="1" priority="1" bottom="1" rank="1"/>
    <cfRule type="top10" dxfId="0" priority="2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47E55-D36D-4379-AC23-41AADD3CB7B9}">
  <dimension ref="D4:U55"/>
  <sheetViews>
    <sheetView topLeftCell="C22" workbookViewId="0">
      <selection activeCell="Q36" sqref="Q36"/>
    </sheetView>
  </sheetViews>
  <sheetFormatPr defaultRowHeight="14.4" x14ac:dyDescent="0.3"/>
  <cols>
    <col min="1" max="1" width="6.6640625" bestFit="1" customWidth="1"/>
    <col min="2" max="2" width="16.6640625" bestFit="1" customWidth="1"/>
    <col min="3" max="4" width="6.6640625" bestFit="1" customWidth="1"/>
    <col min="5" max="5" width="16.6640625" bestFit="1" customWidth="1"/>
    <col min="6" max="6" width="6.6640625" bestFit="1" customWidth="1"/>
    <col min="7" max="7" width="5.88671875" bestFit="1" customWidth="1"/>
    <col min="8" max="8" width="7.44140625" bestFit="1" customWidth="1"/>
    <col min="9" max="9" width="5.88671875" bestFit="1" customWidth="1"/>
    <col min="10" max="10" width="9" bestFit="1" customWidth="1"/>
    <col min="14" max="15" width="12.5546875" bestFit="1" customWidth="1"/>
    <col min="16" max="16" width="6.6640625" bestFit="1" customWidth="1"/>
    <col min="17" max="18" width="7.44140625" bestFit="1" customWidth="1"/>
    <col min="19" max="20" width="9" bestFit="1" customWidth="1"/>
  </cols>
  <sheetData>
    <row r="4" spans="4:19" x14ac:dyDescent="0.3">
      <c r="O4" s="21" t="s">
        <v>75</v>
      </c>
      <c r="P4" s="22"/>
      <c r="Q4" s="22"/>
      <c r="R4" s="22"/>
    </row>
    <row r="5" spans="4:19" x14ac:dyDescent="0.3">
      <c r="D5" s="4" t="s">
        <v>0</v>
      </c>
      <c r="E5" s="4" t="s">
        <v>1</v>
      </c>
      <c r="F5" s="4" t="s">
        <v>2</v>
      </c>
      <c r="G5" s="4" t="s">
        <v>3</v>
      </c>
      <c r="H5" s="4" t="s">
        <v>4</v>
      </c>
      <c r="I5" s="4" t="s">
        <v>5</v>
      </c>
      <c r="J5" s="4" t="s">
        <v>6</v>
      </c>
      <c r="O5" s="22"/>
      <c r="P5" s="22"/>
      <c r="Q5" s="22"/>
      <c r="R5" s="22"/>
    </row>
    <row r="6" spans="4:19" x14ac:dyDescent="0.3">
      <c r="D6" s="4">
        <v>1</v>
      </c>
      <c r="E6" s="4" t="s">
        <v>7</v>
      </c>
      <c r="F6" s="4">
        <v>68</v>
      </c>
      <c r="G6" s="4">
        <v>72</v>
      </c>
      <c r="H6" s="4">
        <v>70</v>
      </c>
      <c r="I6" s="4">
        <v>66</v>
      </c>
      <c r="J6" s="4">
        <v>75</v>
      </c>
    </row>
    <row r="7" spans="4:19" x14ac:dyDescent="0.3">
      <c r="D7" s="4">
        <v>2</v>
      </c>
      <c r="E7" s="4" t="s">
        <v>8</v>
      </c>
      <c r="F7" s="4">
        <v>74</v>
      </c>
      <c r="G7" s="4">
        <v>81</v>
      </c>
      <c r="H7" s="4">
        <v>78</v>
      </c>
      <c r="I7" s="4">
        <v>76</v>
      </c>
      <c r="J7" s="4">
        <v>82</v>
      </c>
      <c r="N7" s="4" t="s">
        <v>1</v>
      </c>
      <c r="O7" s="4" t="s">
        <v>2</v>
      </c>
      <c r="P7" s="4" t="s">
        <v>3</v>
      </c>
      <c r="Q7" s="4" t="s">
        <v>4</v>
      </c>
      <c r="R7" s="4" t="s">
        <v>5</v>
      </c>
      <c r="S7" s="4" t="s">
        <v>6</v>
      </c>
    </row>
    <row r="8" spans="4:19" x14ac:dyDescent="0.3">
      <c r="D8" s="4">
        <v>3</v>
      </c>
      <c r="E8" s="4" t="s">
        <v>9</v>
      </c>
      <c r="F8" s="4">
        <v>45</v>
      </c>
      <c r="G8" s="4">
        <v>52</v>
      </c>
      <c r="H8" s="4">
        <v>48</v>
      </c>
      <c r="I8" s="4">
        <v>50</v>
      </c>
      <c r="J8" s="4">
        <v>55</v>
      </c>
      <c r="N8" s="1" t="s">
        <v>7</v>
      </c>
      <c r="O8" s="1" cm="1">
        <f t="array" ref="O8:S8">VLOOKUP($N$8,$E$6:$J$55,{2,3,4,5,6},0)</f>
        <v>68</v>
      </c>
      <c r="P8" s="1">
        <v>72</v>
      </c>
      <c r="Q8" s="1">
        <v>70</v>
      </c>
      <c r="R8" s="1">
        <v>66</v>
      </c>
      <c r="S8" s="1">
        <v>75</v>
      </c>
    </row>
    <row r="9" spans="4:19" x14ac:dyDescent="0.3">
      <c r="D9" s="4">
        <v>4</v>
      </c>
      <c r="E9" s="4" t="s">
        <v>10</v>
      </c>
      <c r="F9" s="4">
        <v>82</v>
      </c>
      <c r="G9" s="4">
        <v>88</v>
      </c>
      <c r="H9" s="4">
        <v>85</v>
      </c>
      <c r="I9" s="4">
        <v>80</v>
      </c>
      <c r="J9" s="4">
        <v>90</v>
      </c>
    </row>
    <row r="10" spans="4:19" x14ac:dyDescent="0.3">
      <c r="D10" s="4">
        <v>5</v>
      </c>
      <c r="E10" s="4" t="s">
        <v>11</v>
      </c>
      <c r="F10" s="4">
        <v>34</v>
      </c>
      <c r="G10" s="4">
        <v>42</v>
      </c>
      <c r="H10" s="4">
        <v>38</v>
      </c>
      <c r="I10" s="4">
        <v>40</v>
      </c>
      <c r="J10" s="4">
        <v>45</v>
      </c>
    </row>
    <row r="11" spans="4:19" x14ac:dyDescent="0.3">
      <c r="D11" s="4">
        <v>6</v>
      </c>
      <c r="E11" s="4" t="s">
        <v>12</v>
      </c>
      <c r="F11" s="4">
        <v>71</v>
      </c>
      <c r="G11" s="4">
        <v>69</v>
      </c>
      <c r="H11" s="4">
        <v>73</v>
      </c>
      <c r="I11" s="4">
        <v>70</v>
      </c>
      <c r="J11" s="4">
        <v>76</v>
      </c>
    </row>
    <row r="12" spans="4:19" x14ac:dyDescent="0.3">
      <c r="D12" s="4">
        <v>7</v>
      </c>
      <c r="E12" s="4" t="s">
        <v>13</v>
      </c>
      <c r="F12" s="4">
        <v>58</v>
      </c>
      <c r="G12" s="4">
        <v>61</v>
      </c>
      <c r="H12" s="4">
        <v>60</v>
      </c>
      <c r="I12" s="4">
        <v>57</v>
      </c>
      <c r="J12" s="4">
        <v>62</v>
      </c>
      <c r="O12" s="24" t="s">
        <v>82</v>
      </c>
      <c r="P12" s="22"/>
      <c r="Q12" s="22"/>
      <c r="R12" s="22"/>
    </row>
    <row r="13" spans="4:19" x14ac:dyDescent="0.3">
      <c r="D13" s="4">
        <v>8</v>
      </c>
      <c r="E13" s="4" t="s">
        <v>14</v>
      </c>
      <c r="F13" s="4">
        <v>89</v>
      </c>
      <c r="G13" s="4">
        <v>92</v>
      </c>
      <c r="H13" s="4">
        <v>90</v>
      </c>
      <c r="I13" s="4">
        <v>88</v>
      </c>
      <c r="J13" s="4">
        <v>94</v>
      </c>
      <c r="O13" s="22"/>
      <c r="P13" s="22"/>
      <c r="Q13" s="22"/>
      <c r="R13" s="22"/>
    </row>
    <row r="14" spans="4:19" x14ac:dyDescent="0.3">
      <c r="D14" s="4">
        <v>9</v>
      </c>
      <c r="E14" s="4" t="s">
        <v>15</v>
      </c>
      <c r="F14" s="4">
        <v>41</v>
      </c>
      <c r="G14" s="4">
        <v>45</v>
      </c>
      <c r="H14" s="4">
        <v>43</v>
      </c>
      <c r="I14" s="4">
        <v>44</v>
      </c>
      <c r="J14" s="4">
        <v>46</v>
      </c>
      <c r="N14" s="4" t="s">
        <v>1</v>
      </c>
      <c r="O14" s="4" t="s">
        <v>2</v>
      </c>
      <c r="P14" s="4" t="s">
        <v>3</v>
      </c>
      <c r="Q14" s="4" t="s">
        <v>4</v>
      </c>
      <c r="R14" s="4" t="s">
        <v>5</v>
      </c>
      <c r="S14" s="4" t="s">
        <v>6</v>
      </c>
    </row>
    <row r="15" spans="4:19" x14ac:dyDescent="0.3">
      <c r="D15" s="4">
        <v>10</v>
      </c>
      <c r="E15" s="4" t="s">
        <v>16</v>
      </c>
      <c r="F15" s="4">
        <v>67</v>
      </c>
      <c r="G15" s="4">
        <v>70</v>
      </c>
      <c r="H15" s="4">
        <v>68</v>
      </c>
      <c r="I15" s="4">
        <v>65</v>
      </c>
      <c r="J15" s="4">
        <v>72</v>
      </c>
      <c r="N15" s="1" t="s">
        <v>7</v>
      </c>
      <c r="O15" s="1">
        <f>VLOOKUP($N$15,$E$6:$J$55,COLUMN(B5),0)</f>
        <v>68</v>
      </c>
      <c r="P15" s="1">
        <f>VLOOKUP($N$15,$E$6:$J$55,COLUMN(C5),0)</f>
        <v>72</v>
      </c>
      <c r="Q15" s="1">
        <f>VLOOKUP($N$15,$E$6:$J$55,COLUMN(D5),0)</f>
        <v>70</v>
      </c>
      <c r="R15" s="1">
        <f>VLOOKUP($N$15,$E$6:$J$55,COLUMN(E5),0)</f>
        <v>66</v>
      </c>
      <c r="S15" s="1">
        <f>VLOOKUP($N$15,$E$6:$J$55,COLUMN(F5),0)</f>
        <v>75</v>
      </c>
    </row>
    <row r="16" spans="4:19" x14ac:dyDescent="0.3">
      <c r="D16" s="4">
        <v>11</v>
      </c>
      <c r="E16" s="4" t="s">
        <v>17</v>
      </c>
      <c r="F16" s="4">
        <v>76</v>
      </c>
      <c r="G16" s="4">
        <v>80</v>
      </c>
      <c r="H16" s="4">
        <v>78</v>
      </c>
      <c r="I16" s="4">
        <v>75</v>
      </c>
      <c r="J16" s="4">
        <v>82</v>
      </c>
    </row>
    <row r="17" spans="4:20" x14ac:dyDescent="0.3">
      <c r="D17" s="4">
        <v>12</v>
      </c>
      <c r="E17" s="4" t="s">
        <v>18</v>
      </c>
      <c r="F17" s="4">
        <v>54</v>
      </c>
      <c r="G17" s="4">
        <v>58</v>
      </c>
      <c r="H17" s="4">
        <v>56</v>
      </c>
      <c r="I17" s="4">
        <v>55</v>
      </c>
      <c r="J17" s="4">
        <v>60</v>
      </c>
    </row>
    <row r="18" spans="4:20" x14ac:dyDescent="0.3">
      <c r="D18" s="4">
        <v>13</v>
      </c>
      <c r="E18" s="4" t="s">
        <v>19</v>
      </c>
      <c r="F18" s="4">
        <v>62</v>
      </c>
      <c r="G18" s="4">
        <v>65</v>
      </c>
      <c r="H18" s="4">
        <v>63</v>
      </c>
      <c r="I18" s="4">
        <v>61</v>
      </c>
      <c r="J18" s="4">
        <v>67</v>
      </c>
      <c r="N18" s="23" t="s">
        <v>76</v>
      </c>
      <c r="O18" s="22"/>
    </row>
    <row r="19" spans="4:20" x14ac:dyDescent="0.3">
      <c r="D19" s="4">
        <v>14</v>
      </c>
      <c r="E19" s="4" t="s">
        <v>20</v>
      </c>
      <c r="F19" s="4">
        <v>47</v>
      </c>
      <c r="G19" s="4">
        <v>50</v>
      </c>
      <c r="H19" s="4">
        <v>48</v>
      </c>
      <c r="I19" s="4">
        <v>46</v>
      </c>
      <c r="J19" s="4">
        <v>52</v>
      </c>
      <c r="N19" s="22"/>
      <c r="O19" s="22"/>
    </row>
    <row r="20" spans="4:20" x14ac:dyDescent="0.3">
      <c r="D20" s="4">
        <v>15</v>
      </c>
      <c r="E20" s="4" t="s">
        <v>21</v>
      </c>
      <c r="F20" s="4">
        <v>35</v>
      </c>
      <c r="G20" s="4">
        <v>38</v>
      </c>
      <c r="H20" s="4">
        <v>40</v>
      </c>
      <c r="I20" s="4">
        <v>37</v>
      </c>
      <c r="J20" s="4">
        <v>42</v>
      </c>
      <c r="N20" s="4" t="s">
        <v>1</v>
      </c>
      <c r="O20" s="1" t="s">
        <v>7</v>
      </c>
    </row>
    <row r="21" spans="4:20" x14ac:dyDescent="0.3">
      <c r="D21" s="4">
        <v>16</v>
      </c>
      <c r="E21" s="4" t="s">
        <v>22</v>
      </c>
      <c r="F21" s="4">
        <v>81</v>
      </c>
      <c r="G21" s="4">
        <v>84</v>
      </c>
      <c r="H21" s="4">
        <v>83</v>
      </c>
      <c r="I21" s="4">
        <v>80</v>
      </c>
      <c r="J21" s="4">
        <v>86</v>
      </c>
      <c r="N21" s="4" t="s">
        <v>2</v>
      </c>
      <c r="O21" s="1">
        <f>VLOOKUP($O$20,$E$6:$J$55,ROW(C2),0)</f>
        <v>68</v>
      </c>
    </row>
    <row r="22" spans="4:20" x14ac:dyDescent="0.3">
      <c r="D22" s="4">
        <v>17</v>
      </c>
      <c r="E22" s="4" t="s">
        <v>23</v>
      </c>
      <c r="F22" s="4">
        <v>59</v>
      </c>
      <c r="G22" s="4">
        <v>62</v>
      </c>
      <c r="H22" s="4">
        <v>60</v>
      </c>
      <c r="I22" s="4">
        <v>58</v>
      </c>
      <c r="J22" s="4">
        <v>64</v>
      </c>
      <c r="N22" s="4" t="s">
        <v>3</v>
      </c>
      <c r="O22" s="1">
        <f>VLOOKUP($O$20,$E$6:$J$55,ROW(C3),0)</f>
        <v>72</v>
      </c>
    </row>
    <row r="23" spans="4:20" x14ac:dyDescent="0.3">
      <c r="D23" s="4">
        <v>18</v>
      </c>
      <c r="E23" s="4" t="s">
        <v>24</v>
      </c>
      <c r="F23" s="4">
        <v>73</v>
      </c>
      <c r="G23" s="4">
        <v>77</v>
      </c>
      <c r="H23" s="4">
        <v>75</v>
      </c>
      <c r="I23" s="4">
        <v>72</v>
      </c>
      <c r="J23" s="4">
        <v>79</v>
      </c>
      <c r="N23" s="4" t="s">
        <v>4</v>
      </c>
      <c r="O23" s="1">
        <f>VLOOKUP($O$20,$E$6:$J$55,ROW(C4),0)</f>
        <v>70</v>
      </c>
    </row>
    <row r="24" spans="4:20" x14ac:dyDescent="0.3">
      <c r="D24" s="4">
        <v>19</v>
      </c>
      <c r="E24" s="4" t="s">
        <v>25</v>
      </c>
      <c r="F24" s="4">
        <v>44</v>
      </c>
      <c r="G24" s="4">
        <v>48</v>
      </c>
      <c r="H24" s="4">
        <v>45</v>
      </c>
      <c r="I24" s="4">
        <v>46</v>
      </c>
      <c r="J24" s="4">
        <v>50</v>
      </c>
      <c r="N24" s="4" t="s">
        <v>5</v>
      </c>
      <c r="O24" s="1">
        <f>VLOOKUP($O$20,$E$6:$J$55,ROW(C5),0)</f>
        <v>66</v>
      </c>
    </row>
    <row r="25" spans="4:20" x14ac:dyDescent="0.3">
      <c r="D25" s="4">
        <v>20</v>
      </c>
      <c r="E25" s="4" t="s">
        <v>26</v>
      </c>
      <c r="F25" s="4">
        <v>88</v>
      </c>
      <c r="G25" s="4">
        <v>90</v>
      </c>
      <c r="H25" s="4">
        <v>89</v>
      </c>
      <c r="I25" s="4">
        <v>87</v>
      </c>
      <c r="J25" s="4">
        <v>92</v>
      </c>
      <c r="N25" s="4" t="s">
        <v>6</v>
      </c>
      <c r="O25" s="1">
        <f>VLOOKUP($O$20,$E$6:$J$55,ROW(C6),0)</f>
        <v>75</v>
      </c>
    </row>
    <row r="26" spans="4:20" x14ac:dyDescent="0.3">
      <c r="D26" s="4">
        <v>21</v>
      </c>
      <c r="E26" s="4" t="s">
        <v>27</v>
      </c>
      <c r="F26" s="4">
        <v>51</v>
      </c>
      <c r="G26" s="4">
        <v>54</v>
      </c>
      <c r="H26" s="4">
        <v>52</v>
      </c>
      <c r="I26" s="4">
        <v>50</v>
      </c>
      <c r="J26" s="4">
        <v>56</v>
      </c>
    </row>
    <row r="27" spans="4:20" x14ac:dyDescent="0.3">
      <c r="D27" s="4">
        <v>22</v>
      </c>
      <c r="E27" s="4" t="s">
        <v>28</v>
      </c>
      <c r="F27" s="4">
        <v>79</v>
      </c>
      <c r="G27" s="4">
        <v>82</v>
      </c>
      <c r="H27" s="4">
        <v>80</v>
      </c>
      <c r="I27" s="4">
        <v>78</v>
      </c>
      <c r="J27" s="4">
        <v>85</v>
      </c>
    </row>
    <row r="28" spans="4:20" x14ac:dyDescent="0.3">
      <c r="D28" s="4">
        <v>23</v>
      </c>
      <c r="E28" s="4" t="s">
        <v>29</v>
      </c>
      <c r="F28" s="4">
        <v>63</v>
      </c>
      <c r="G28" s="4">
        <v>66</v>
      </c>
      <c r="H28" s="4">
        <v>64</v>
      </c>
      <c r="I28" s="4">
        <v>62</v>
      </c>
      <c r="J28" s="4">
        <v>68</v>
      </c>
    </row>
    <row r="29" spans="4:20" x14ac:dyDescent="0.3">
      <c r="D29" s="4">
        <v>24</v>
      </c>
      <c r="E29" s="4" t="s">
        <v>30</v>
      </c>
      <c r="F29" s="4">
        <v>39</v>
      </c>
      <c r="G29" s="4">
        <v>42</v>
      </c>
      <c r="H29" s="4">
        <v>40</v>
      </c>
      <c r="I29" s="4">
        <v>38</v>
      </c>
      <c r="J29" s="4">
        <v>45</v>
      </c>
      <c r="N29" s="4" t="s">
        <v>0</v>
      </c>
      <c r="O29" s="4" t="s">
        <v>1</v>
      </c>
      <c r="P29" s="4" t="s">
        <v>2</v>
      </c>
      <c r="Q29" s="4" t="s">
        <v>3</v>
      </c>
      <c r="R29" s="4" t="s">
        <v>4</v>
      </c>
      <c r="S29" s="4" t="s">
        <v>5</v>
      </c>
      <c r="T29" s="4" t="s">
        <v>6</v>
      </c>
    </row>
    <row r="30" spans="4:20" x14ac:dyDescent="0.3">
      <c r="D30" s="4">
        <v>25</v>
      </c>
      <c r="E30" s="4" t="s">
        <v>31</v>
      </c>
      <c r="F30" s="4">
        <v>85</v>
      </c>
      <c r="G30" s="4">
        <v>88</v>
      </c>
      <c r="H30" s="4">
        <v>87</v>
      </c>
      <c r="I30" s="4">
        <v>84</v>
      </c>
      <c r="J30" s="4">
        <v>90</v>
      </c>
      <c r="N30" s="1">
        <v>1</v>
      </c>
      <c r="O30" s="1" t="str">
        <f>VLOOKUP($N$30,$D$6:$J$55,COLUMN(B2),0)</f>
        <v>Aarav Sharma</v>
      </c>
      <c r="P30" s="1">
        <f t="shared" ref="P30:T30" si="0">VLOOKUP($N$30,$D$6:$J$55,COLUMN(C2),0)</f>
        <v>68</v>
      </c>
      <c r="Q30" s="1">
        <f t="shared" si="0"/>
        <v>72</v>
      </c>
      <c r="R30" s="1">
        <f t="shared" si="0"/>
        <v>70</v>
      </c>
      <c r="S30" s="1">
        <f t="shared" si="0"/>
        <v>66</v>
      </c>
      <c r="T30" s="1">
        <f t="shared" si="0"/>
        <v>75</v>
      </c>
    </row>
    <row r="31" spans="4:20" x14ac:dyDescent="0.3">
      <c r="D31" s="4">
        <v>26</v>
      </c>
      <c r="E31" s="4" t="s">
        <v>32</v>
      </c>
      <c r="F31" s="4">
        <v>56</v>
      </c>
      <c r="G31" s="4">
        <v>59</v>
      </c>
      <c r="H31" s="4">
        <v>58</v>
      </c>
      <c r="I31" s="4">
        <v>55</v>
      </c>
      <c r="J31" s="4">
        <v>61</v>
      </c>
    </row>
    <row r="32" spans="4:20" x14ac:dyDescent="0.3">
      <c r="D32" s="4">
        <v>27</v>
      </c>
      <c r="E32" s="4" t="s">
        <v>33</v>
      </c>
      <c r="F32" s="4">
        <v>72</v>
      </c>
      <c r="G32" s="4">
        <v>75</v>
      </c>
      <c r="H32" s="4">
        <v>73</v>
      </c>
      <c r="I32" s="4">
        <v>71</v>
      </c>
      <c r="J32" s="4">
        <v>78</v>
      </c>
    </row>
    <row r="33" spans="4:21" x14ac:dyDescent="0.3">
      <c r="D33" s="4">
        <v>28</v>
      </c>
      <c r="E33" s="4" t="s">
        <v>34</v>
      </c>
      <c r="F33" s="4">
        <v>33</v>
      </c>
      <c r="G33" s="4">
        <v>36</v>
      </c>
      <c r="H33" s="4">
        <v>35</v>
      </c>
      <c r="I33" s="4">
        <v>34</v>
      </c>
      <c r="J33" s="4">
        <v>38</v>
      </c>
      <c r="N33" s="25" t="s">
        <v>98</v>
      </c>
      <c r="O33" s="25"/>
      <c r="P33" s="25"/>
      <c r="Q33" s="25"/>
    </row>
    <row r="34" spans="4:21" x14ac:dyDescent="0.3">
      <c r="D34" s="4">
        <v>29</v>
      </c>
      <c r="E34" s="4" t="s">
        <v>35</v>
      </c>
      <c r="F34" s="4">
        <v>66</v>
      </c>
      <c r="G34" s="4">
        <v>69</v>
      </c>
      <c r="H34" s="4">
        <v>67</v>
      </c>
      <c r="I34" s="4">
        <v>65</v>
      </c>
      <c r="J34" s="4">
        <v>71</v>
      </c>
      <c r="N34" s="25"/>
      <c r="O34" s="25"/>
      <c r="P34" s="25"/>
      <c r="Q34" s="25"/>
    </row>
    <row r="35" spans="4:21" x14ac:dyDescent="0.3">
      <c r="D35" s="4">
        <v>30</v>
      </c>
      <c r="E35" s="4" t="s">
        <v>36</v>
      </c>
      <c r="F35" s="4">
        <v>91</v>
      </c>
      <c r="G35" s="4">
        <v>94</v>
      </c>
      <c r="H35" s="4">
        <v>92</v>
      </c>
      <c r="I35" s="4">
        <v>90</v>
      </c>
      <c r="J35" s="4">
        <v>96</v>
      </c>
      <c r="N35">
        <v>34</v>
      </c>
      <c r="O35" t="s">
        <v>93</v>
      </c>
    </row>
    <row r="36" spans="4:21" x14ac:dyDescent="0.3">
      <c r="D36" s="4">
        <v>31</v>
      </c>
      <c r="E36" s="4" t="s">
        <v>37</v>
      </c>
      <c r="F36" s="4">
        <v>48</v>
      </c>
      <c r="G36" s="4">
        <v>50</v>
      </c>
      <c r="H36" s="4">
        <v>49</v>
      </c>
      <c r="I36" s="4">
        <v>47</v>
      </c>
      <c r="J36" s="4">
        <v>53</v>
      </c>
      <c r="N36">
        <v>37</v>
      </c>
      <c r="O36" t="s">
        <v>94</v>
      </c>
      <c r="P36">
        <v>68</v>
      </c>
      <c r="Q36" t="str">
        <f>VLOOKUP(P36,N35:O39,2,1)</f>
        <v>E</v>
      </c>
    </row>
    <row r="37" spans="4:21" x14ac:dyDescent="0.3">
      <c r="D37" s="4">
        <v>32</v>
      </c>
      <c r="E37" s="4" t="s">
        <v>38</v>
      </c>
      <c r="F37" s="4">
        <v>77</v>
      </c>
      <c r="G37" s="4">
        <v>80</v>
      </c>
      <c r="H37" s="4">
        <v>78</v>
      </c>
      <c r="I37" s="4">
        <v>76</v>
      </c>
      <c r="J37" s="4">
        <v>83</v>
      </c>
      <c r="N37">
        <v>58</v>
      </c>
      <c r="O37" t="s">
        <v>95</v>
      </c>
    </row>
    <row r="38" spans="4:21" x14ac:dyDescent="0.3">
      <c r="D38" s="4">
        <v>33</v>
      </c>
      <c r="E38" s="4" t="s">
        <v>39</v>
      </c>
      <c r="F38" s="4">
        <v>60</v>
      </c>
      <c r="G38" s="4">
        <v>63</v>
      </c>
      <c r="H38" s="4">
        <v>61</v>
      </c>
      <c r="I38" s="4">
        <v>59</v>
      </c>
      <c r="J38" s="4">
        <v>65</v>
      </c>
      <c r="N38">
        <v>59</v>
      </c>
      <c r="O38" t="s">
        <v>96</v>
      </c>
    </row>
    <row r="39" spans="4:21" x14ac:dyDescent="0.3">
      <c r="D39" s="4">
        <v>34</v>
      </c>
      <c r="E39" s="4" t="s">
        <v>40</v>
      </c>
      <c r="F39" s="4">
        <v>42</v>
      </c>
      <c r="G39" s="4">
        <v>45</v>
      </c>
      <c r="H39" s="4">
        <v>43</v>
      </c>
      <c r="I39" s="4">
        <v>41</v>
      </c>
      <c r="J39" s="4">
        <v>47</v>
      </c>
      <c r="N39">
        <v>68</v>
      </c>
      <c r="O39" t="s">
        <v>97</v>
      </c>
    </row>
    <row r="40" spans="4:21" x14ac:dyDescent="0.3">
      <c r="D40" s="4">
        <v>35</v>
      </c>
      <c r="E40" s="4" t="s">
        <v>41</v>
      </c>
      <c r="F40" s="4">
        <v>84</v>
      </c>
      <c r="G40" s="4">
        <v>87</v>
      </c>
      <c r="H40" s="4">
        <v>85</v>
      </c>
      <c r="I40" s="4">
        <v>82</v>
      </c>
      <c r="J40" s="4">
        <v>89</v>
      </c>
    </row>
    <row r="41" spans="4:21" x14ac:dyDescent="0.3">
      <c r="D41" s="4">
        <v>36</v>
      </c>
      <c r="E41" s="4" t="s">
        <v>42</v>
      </c>
      <c r="F41" s="4">
        <v>55</v>
      </c>
      <c r="G41" s="4">
        <v>58</v>
      </c>
      <c r="H41" s="4">
        <v>56</v>
      </c>
      <c r="I41" s="4">
        <v>54</v>
      </c>
      <c r="J41" s="4">
        <v>60</v>
      </c>
      <c r="N41" s="11" t="s">
        <v>99</v>
      </c>
      <c r="O41" s="11"/>
      <c r="P41" s="11"/>
      <c r="Q41" s="11"/>
    </row>
    <row r="42" spans="4:21" x14ac:dyDescent="0.3">
      <c r="D42" s="4">
        <v>37</v>
      </c>
      <c r="E42" s="4" t="s">
        <v>43</v>
      </c>
      <c r="F42" s="4">
        <v>70</v>
      </c>
      <c r="G42" s="4">
        <v>73</v>
      </c>
      <c r="H42" s="4">
        <v>71</v>
      </c>
      <c r="I42" s="4">
        <v>69</v>
      </c>
      <c r="J42" s="4">
        <v>75</v>
      </c>
      <c r="N42" s="12" t="s">
        <v>101</v>
      </c>
      <c r="O42" s="12"/>
      <c r="P42" s="12"/>
      <c r="Q42" s="12"/>
      <c r="R42" s="11"/>
      <c r="S42" s="11"/>
      <c r="T42" s="11"/>
    </row>
    <row r="43" spans="4:21" x14ac:dyDescent="0.3">
      <c r="D43" s="4">
        <v>38</v>
      </c>
      <c r="E43" s="4" t="s">
        <v>44</v>
      </c>
      <c r="F43" s="4">
        <v>36</v>
      </c>
      <c r="G43" s="4">
        <v>39</v>
      </c>
      <c r="H43" s="4">
        <v>38</v>
      </c>
      <c r="I43" s="4">
        <v>37</v>
      </c>
      <c r="J43" s="4">
        <v>40</v>
      </c>
      <c r="N43" s="12" t="s">
        <v>100</v>
      </c>
      <c r="O43" s="12"/>
      <c r="P43" s="12"/>
      <c r="Q43" s="12"/>
      <c r="R43" s="12"/>
      <c r="S43" s="12"/>
      <c r="T43" s="12"/>
      <c r="U43" s="12"/>
    </row>
    <row r="44" spans="4:21" x14ac:dyDescent="0.3">
      <c r="D44" s="4">
        <v>39</v>
      </c>
      <c r="E44" s="4" t="s">
        <v>45</v>
      </c>
      <c r="F44" s="4">
        <v>64</v>
      </c>
      <c r="G44" s="4">
        <v>67</v>
      </c>
      <c r="H44" s="4">
        <v>65</v>
      </c>
      <c r="I44" s="4">
        <v>63</v>
      </c>
      <c r="J44" s="4">
        <v>69</v>
      </c>
      <c r="R44" s="12"/>
      <c r="S44" s="12"/>
      <c r="T44" s="12"/>
      <c r="U44" s="12"/>
    </row>
    <row r="45" spans="4:21" x14ac:dyDescent="0.3">
      <c r="D45" s="4">
        <v>40</v>
      </c>
      <c r="E45" s="4" t="s">
        <v>46</v>
      </c>
      <c r="F45" s="4">
        <v>78</v>
      </c>
      <c r="G45" s="4">
        <v>81</v>
      </c>
      <c r="H45" s="4">
        <v>79</v>
      </c>
      <c r="I45" s="4">
        <v>77</v>
      </c>
      <c r="J45" s="4">
        <v>84</v>
      </c>
    </row>
    <row r="46" spans="4:21" x14ac:dyDescent="0.3">
      <c r="D46" s="4">
        <v>41</v>
      </c>
      <c r="E46" s="4" t="s">
        <v>47</v>
      </c>
      <c r="F46" s="4">
        <v>46</v>
      </c>
      <c r="G46" s="4">
        <v>49</v>
      </c>
      <c r="H46" s="4">
        <v>47</v>
      </c>
      <c r="I46" s="4">
        <v>45</v>
      </c>
      <c r="J46" s="4">
        <v>51</v>
      </c>
    </row>
    <row r="47" spans="4:21" x14ac:dyDescent="0.3">
      <c r="D47" s="4">
        <v>42</v>
      </c>
      <c r="E47" s="4" t="s">
        <v>48</v>
      </c>
      <c r="F47" s="4">
        <v>86</v>
      </c>
      <c r="G47" s="4">
        <v>89</v>
      </c>
      <c r="H47" s="4">
        <v>88</v>
      </c>
      <c r="I47" s="4">
        <v>85</v>
      </c>
      <c r="J47" s="4">
        <v>91</v>
      </c>
    </row>
    <row r="48" spans="4:21" x14ac:dyDescent="0.3">
      <c r="D48" s="4">
        <v>43</v>
      </c>
      <c r="E48" s="4" t="s">
        <v>49</v>
      </c>
      <c r="F48" s="4">
        <v>57</v>
      </c>
      <c r="G48" s="4">
        <v>60</v>
      </c>
      <c r="H48" s="4">
        <v>58</v>
      </c>
      <c r="I48" s="4">
        <v>56</v>
      </c>
      <c r="J48" s="4">
        <v>62</v>
      </c>
    </row>
    <row r="49" spans="4:10" x14ac:dyDescent="0.3">
      <c r="D49" s="4">
        <v>44</v>
      </c>
      <c r="E49" s="4" t="s">
        <v>50</v>
      </c>
      <c r="F49" s="4">
        <v>40</v>
      </c>
      <c r="G49" s="4">
        <v>43</v>
      </c>
      <c r="H49" s="4">
        <v>41</v>
      </c>
      <c r="I49" s="4">
        <v>39</v>
      </c>
      <c r="J49" s="4">
        <v>45</v>
      </c>
    </row>
    <row r="50" spans="4:10" x14ac:dyDescent="0.3">
      <c r="D50" s="4">
        <v>45</v>
      </c>
      <c r="E50" s="4" t="s">
        <v>51</v>
      </c>
      <c r="F50" s="4">
        <v>83</v>
      </c>
      <c r="G50" s="4">
        <v>86</v>
      </c>
      <c r="H50" s="4">
        <v>84</v>
      </c>
      <c r="I50" s="4">
        <v>82</v>
      </c>
      <c r="J50" s="4">
        <v>88</v>
      </c>
    </row>
    <row r="51" spans="4:10" x14ac:dyDescent="0.3">
      <c r="D51" s="4">
        <v>46</v>
      </c>
      <c r="E51" s="4" t="s">
        <v>52</v>
      </c>
      <c r="F51" s="4">
        <v>69</v>
      </c>
      <c r="G51" s="4">
        <v>72</v>
      </c>
      <c r="H51" s="4">
        <v>70</v>
      </c>
      <c r="I51" s="4">
        <v>68</v>
      </c>
      <c r="J51" s="4">
        <v>74</v>
      </c>
    </row>
    <row r="52" spans="4:10" x14ac:dyDescent="0.3">
      <c r="D52" s="4">
        <v>47</v>
      </c>
      <c r="E52" s="4" t="s">
        <v>53</v>
      </c>
      <c r="F52" s="4">
        <v>52</v>
      </c>
      <c r="G52" s="4">
        <v>55</v>
      </c>
      <c r="H52" s="4">
        <v>53</v>
      </c>
      <c r="I52" s="4">
        <v>51</v>
      </c>
      <c r="J52" s="4">
        <v>57</v>
      </c>
    </row>
    <row r="53" spans="4:10" x14ac:dyDescent="0.3">
      <c r="D53" s="4">
        <v>48</v>
      </c>
      <c r="E53" s="4" t="s">
        <v>54</v>
      </c>
      <c r="F53" s="4">
        <v>90</v>
      </c>
      <c r="G53" s="4">
        <v>93</v>
      </c>
      <c r="H53" s="4">
        <v>91</v>
      </c>
      <c r="I53" s="4">
        <v>89</v>
      </c>
      <c r="J53" s="4">
        <v>95</v>
      </c>
    </row>
    <row r="54" spans="4:10" x14ac:dyDescent="0.3">
      <c r="D54" s="4">
        <v>49</v>
      </c>
      <c r="E54" s="4" t="s">
        <v>55</v>
      </c>
      <c r="F54" s="4">
        <v>61</v>
      </c>
      <c r="G54" s="4">
        <v>64</v>
      </c>
      <c r="H54" s="4">
        <v>62</v>
      </c>
      <c r="I54" s="4">
        <v>60</v>
      </c>
      <c r="J54" s="4">
        <v>66</v>
      </c>
    </row>
    <row r="55" spans="4:10" x14ac:dyDescent="0.3">
      <c r="D55" s="4">
        <v>50</v>
      </c>
      <c r="E55" s="4" t="s">
        <v>56</v>
      </c>
      <c r="F55" s="4">
        <v>75</v>
      </c>
      <c r="G55" s="4">
        <v>78</v>
      </c>
      <c r="H55" s="4">
        <v>76</v>
      </c>
      <c r="I55" s="4">
        <v>74</v>
      </c>
      <c r="J55" s="4">
        <v>81</v>
      </c>
    </row>
  </sheetData>
  <mergeCells count="4">
    <mergeCell ref="O4:R5"/>
    <mergeCell ref="N18:O19"/>
    <mergeCell ref="O12:R13"/>
    <mergeCell ref="N33:Q34"/>
  </mergeCells>
  <dataValidations count="2">
    <dataValidation type="list" allowBlank="1" showInputMessage="1" showErrorMessage="1" sqref="N8 N15 O20" xr:uid="{BDC4B10E-7A2F-4BBC-9E5F-488D043FB3A5}">
      <formula1>$E$6:$E$55</formula1>
    </dataValidation>
    <dataValidation type="list" allowBlank="1" showInputMessage="1" showErrorMessage="1" sqref="N30" xr:uid="{EC3B2725-51A4-4BC3-8D70-7098189EB657}">
      <formula1>$D$6:$D$55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0B766-9E06-4800-B0F7-517C3C950224}">
  <dimension ref="A1:T51"/>
  <sheetViews>
    <sheetView zoomScale="69" workbookViewId="0">
      <selection activeCell="K14" sqref="K14"/>
    </sheetView>
  </sheetViews>
  <sheetFormatPr defaultRowHeight="19.8" x14ac:dyDescent="0.4"/>
  <cols>
    <col min="1" max="1" width="9.33203125" style="5" bestFit="1" customWidth="1"/>
    <col min="2" max="2" width="23.21875" style="5" bestFit="1" customWidth="1"/>
    <col min="3" max="3" width="9.33203125" style="5" bestFit="1" customWidth="1"/>
    <col min="4" max="4" width="8" style="5" bestFit="1" customWidth="1"/>
    <col min="5" max="5" width="10.109375" style="5" bestFit="1" customWidth="1"/>
    <col min="6" max="6" width="8.109375" style="5" bestFit="1" customWidth="1"/>
    <col min="7" max="7" width="12.5546875" style="5" bestFit="1" customWidth="1"/>
    <col min="8" max="9" width="8.88671875" style="5"/>
    <col min="10" max="11" width="16.6640625" style="5" bestFit="1" customWidth="1"/>
    <col min="12" max="12" width="23.77734375" style="5" bestFit="1" customWidth="1"/>
    <col min="13" max="13" width="15.109375" style="5" bestFit="1" customWidth="1"/>
    <col min="14" max="14" width="16.6640625" style="5" bestFit="1" customWidth="1"/>
    <col min="15" max="15" width="15.109375" style="5" bestFit="1" customWidth="1"/>
    <col min="16" max="16" width="13.33203125" style="5" bestFit="1" customWidth="1"/>
    <col min="17" max="17" width="15.88671875" style="5" bestFit="1" customWidth="1"/>
    <col min="18" max="18" width="12.44140625" style="5" bestFit="1" customWidth="1"/>
    <col min="19" max="19" width="16.21875" style="5" bestFit="1" customWidth="1"/>
    <col min="20" max="20" width="15.109375" style="5" bestFit="1" customWidth="1"/>
    <col min="21" max="16384" width="8.88671875" style="5"/>
  </cols>
  <sheetData>
    <row r="1" spans="1:20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</row>
    <row r="2" spans="1:20" x14ac:dyDescent="0.4">
      <c r="A2" s="7">
        <v>1</v>
      </c>
      <c r="B2" s="7" t="s">
        <v>7</v>
      </c>
      <c r="C2" s="7">
        <v>68</v>
      </c>
      <c r="D2" s="7">
        <v>72</v>
      </c>
      <c r="E2" s="7">
        <v>70</v>
      </c>
      <c r="F2" s="7">
        <v>66</v>
      </c>
      <c r="G2" s="7">
        <v>75</v>
      </c>
      <c r="L2" s="26" t="s">
        <v>78</v>
      </c>
      <c r="M2" s="27"/>
      <c r="N2" s="27"/>
      <c r="O2" s="27"/>
    </row>
    <row r="3" spans="1:20" x14ac:dyDescent="0.4">
      <c r="A3" s="7">
        <v>2</v>
      </c>
      <c r="B3" s="7" t="s">
        <v>8</v>
      </c>
      <c r="C3" s="7">
        <v>74</v>
      </c>
      <c r="D3" s="7">
        <v>81</v>
      </c>
      <c r="E3" s="7">
        <v>78</v>
      </c>
      <c r="F3" s="7">
        <v>76</v>
      </c>
      <c r="G3" s="7">
        <v>82</v>
      </c>
      <c r="L3" s="27"/>
      <c r="M3" s="27"/>
      <c r="N3" s="27"/>
      <c r="O3" s="27"/>
    </row>
    <row r="4" spans="1:20" x14ac:dyDescent="0.4">
      <c r="A4" s="7">
        <v>3</v>
      </c>
      <c r="B4" s="7" t="s">
        <v>9</v>
      </c>
      <c r="C4" s="7">
        <v>45</v>
      </c>
      <c r="D4" s="7">
        <v>52</v>
      </c>
      <c r="E4" s="7">
        <v>48</v>
      </c>
      <c r="F4" s="7">
        <v>50</v>
      </c>
      <c r="G4" s="7">
        <v>55</v>
      </c>
      <c r="L4" s="28"/>
      <c r="M4" s="28"/>
      <c r="N4" s="28"/>
      <c r="O4" s="28"/>
    </row>
    <row r="5" spans="1:20" x14ac:dyDescent="0.4">
      <c r="A5" s="7">
        <v>4</v>
      </c>
      <c r="B5" s="7" t="s">
        <v>10</v>
      </c>
      <c r="C5" s="7">
        <v>82</v>
      </c>
      <c r="D5" s="7">
        <v>88</v>
      </c>
      <c r="E5" s="7">
        <v>85</v>
      </c>
      <c r="F5" s="7">
        <v>80</v>
      </c>
      <c r="G5" s="7">
        <v>90</v>
      </c>
      <c r="J5" s="5" t="s">
        <v>77</v>
      </c>
      <c r="K5" s="7" t="s">
        <v>7</v>
      </c>
      <c r="L5" s="7" t="s">
        <v>8</v>
      </c>
      <c r="M5" s="7" t="s">
        <v>9</v>
      </c>
      <c r="N5" s="7" t="s">
        <v>10</v>
      </c>
      <c r="O5" s="7" t="s">
        <v>11</v>
      </c>
      <c r="P5" s="7" t="s">
        <v>12</v>
      </c>
      <c r="Q5" s="7" t="s">
        <v>13</v>
      </c>
      <c r="R5" s="7" t="s">
        <v>14</v>
      </c>
      <c r="S5" s="7" t="s">
        <v>15</v>
      </c>
      <c r="T5" s="7" t="s">
        <v>16</v>
      </c>
    </row>
    <row r="6" spans="1:20" x14ac:dyDescent="0.4">
      <c r="A6" s="7">
        <v>5</v>
      </c>
      <c r="B6" s="7" t="s">
        <v>11</v>
      </c>
      <c r="C6" s="7">
        <v>34</v>
      </c>
      <c r="D6" s="7">
        <v>42</v>
      </c>
      <c r="E6" s="7">
        <v>38</v>
      </c>
      <c r="F6" s="7">
        <v>40</v>
      </c>
      <c r="G6" s="7">
        <v>45</v>
      </c>
      <c r="J6" s="5" t="s">
        <v>2</v>
      </c>
      <c r="K6" s="5">
        <f>HLOOKUP($J$6,$B$1:$G$51,COLUMN(B2),0)</f>
        <v>68</v>
      </c>
      <c r="L6" s="5">
        <f t="shared" ref="L6:T6" si="0">HLOOKUP($J$6,$B$1:$G$51,COLUMN(C2),0)</f>
        <v>74</v>
      </c>
      <c r="M6" s="5">
        <f t="shared" si="0"/>
        <v>45</v>
      </c>
      <c r="N6" s="5">
        <f t="shared" si="0"/>
        <v>82</v>
      </c>
      <c r="O6" s="5">
        <f t="shared" si="0"/>
        <v>34</v>
      </c>
      <c r="P6" s="5">
        <f t="shared" si="0"/>
        <v>71</v>
      </c>
      <c r="Q6" s="5">
        <f t="shared" si="0"/>
        <v>58</v>
      </c>
      <c r="R6" s="5">
        <f t="shared" si="0"/>
        <v>89</v>
      </c>
      <c r="S6" s="5">
        <f t="shared" si="0"/>
        <v>41</v>
      </c>
      <c r="T6" s="5">
        <f t="shared" si="0"/>
        <v>67</v>
      </c>
    </row>
    <row r="7" spans="1:20" x14ac:dyDescent="0.4">
      <c r="A7" s="7">
        <v>6</v>
      </c>
      <c r="B7" s="7" t="s">
        <v>12</v>
      </c>
      <c r="C7" s="7">
        <v>71</v>
      </c>
      <c r="D7" s="7">
        <v>69</v>
      </c>
      <c r="E7" s="7">
        <v>73</v>
      </c>
      <c r="F7" s="7">
        <v>70</v>
      </c>
      <c r="G7" s="7">
        <v>76</v>
      </c>
    </row>
    <row r="8" spans="1:20" x14ac:dyDescent="0.4">
      <c r="A8" s="7">
        <v>7</v>
      </c>
      <c r="B8" s="7" t="s">
        <v>13</v>
      </c>
      <c r="C8" s="7">
        <v>58</v>
      </c>
      <c r="D8" s="7">
        <v>61</v>
      </c>
      <c r="E8" s="7">
        <v>60</v>
      </c>
      <c r="F8" s="7">
        <v>57</v>
      </c>
      <c r="G8" s="7">
        <v>62</v>
      </c>
    </row>
    <row r="9" spans="1:20" x14ac:dyDescent="0.4">
      <c r="A9" s="7">
        <v>8</v>
      </c>
      <c r="B9" s="7" t="s">
        <v>14</v>
      </c>
      <c r="C9" s="7">
        <v>89</v>
      </c>
      <c r="D9" s="7">
        <v>92</v>
      </c>
      <c r="E9" s="7">
        <v>90</v>
      </c>
      <c r="F9" s="7">
        <v>88</v>
      </c>
      <c r="G9" s="7">
        <v>94</v>
      </c>
    </row>
    <row r="10" spans="1:20" x14ac:dyDescent="0.4">
      <c r="A10" s="7">
        <v>9</v>
      </c>
      <c r="B10" s="7" t="s">
        <v>15</v>
      </c>
      <c r="C10" s="7">
        <v>41</v>
      </c>
      <c r="D10" s="7">
        <v>45</v>
      </c>
      <c r="E10" s="7">
        <v>43</v>
      </c>
      <c r="F10" s="7">
        <v>44</v>
      </c>
      <c r="G10" s="7">
        <v>46</v>
      </c>
      <c r="J10" s="27" t="s">
        <v>81</v>
      </c>
      <c r="K10" s="27"/>
      <c r="L10" s="27"/>
    </row>
    <row r="11" spans="1:20" x14ac:dyDescent="0.4">
      <c r="A11" s="7">
        <v>10</v>
      </c>
      <c r="B11" s="7" t="s">
        <v>16</v>
      </c>
      <c r="C11" s="7">
        <v>67</v>
      </c>
      <c r="D11" s="7">
        <v>70</v>
      </c>
      <c r="E11" s="7">
        <v>68</v>
      </c>
      <c r="F11" s="7">
        <v>65</v>
      </c>
      <c r="G11" s="7">
        <v>72</v>
      </c>
      <c r="J11" s="27"/>
      <c r="K11" s="27"/>
      <c r="L11" s="27"/>
    </row>
    <row r="12" spans="1:20" x14ac:dyDescent="0.4">
      <c r="A12" s="7">
        <v>11</v>
      </c>
      <c r="B12" s="7" t="s">
        <v>17</v>
      </c>
      <c r="C12" s="7">
        <v>76</v>
      </c>
      <c r="D12" s="7">
        <v>80</v>
      </c>
      <c r="E12" s="7">
        <v>78</v>
      </c>
      <c r="F12" s="7">
        <v>75</v>
      </c>
      <c r="G12" s="7">
        <v>82</v>
      </c>
      <c r="K12" s="6" t="s">
        <v>77</v>
      </c>
      <c r="L12" s="6" t="s">
        <v>79</v>
      </c>
      <c r="N12" s="5" t="s">
        <v>84</v>
      </c>
    </row>
    <row r="13" spans="1:20" x14ac:dyDescent="0.4">
      <c r="A13" s="7">
        <v>12</v>
      </c>
      <c r="B13" s="7" t="s">
        <v>18</v>
      </c>
      <c r="C13" s="7">
        <v>54</v>
      </c>
      <c r="D13" s="7">
        <v>58</v>
      </c>
      <c r="E13" s="7">
        <v>56</v>
      </c>
      <c r="F13" s="7">
        <v>55</v>
      </c>
      <c r="G13" s="7">
        <v>60</v>
      </c>
      <c r="J13" s="6" t="s">
        <v>80</v>
      </c>
      <c r="K13" s="5" t="s">
        <v>2</v>
      </c>
      <c r="L13" s="5">
        <f>MATCH(K13,B1:G1,0)</f>
        <v>2</v>
      </c>
    </row>
    <row r="14" spans="1:20" x14ac:dyDescent="0.4">
      <c r="A14" s="7">
        <v>13</v>
      </c>
      <c r="B14" s="7" t="s">
        <v>19</v>
      </c>
      <c r="C14" s="7">
        <v>62</v>
      </c>
      <c r="D14" s="7">
        <v>65</v>
      </c>
      <c r="E14" s="7">
        <v>63</v>
      </c>
      <c r="F14" s="7">
        <v>61</v>
      </c>
      <c r="G14" s="7">
        <v>67</v>
      </c>
      <c r="J14" s="5" t="s">
        <v>7</v>
      </c>
      <c r="K14" s="5">
        <f>VLOOKUP($J$14,$B$2:$G$51,MATCH(K13,B1:G1,0),0)</f>
        <v>68</v>
      </c>
    </row>
    <row r="15" spans="1:20" x14ac:dyDescent="0.4">
      <c r="A15" s="7">
        <v>14</v>
      </c>
      <c r="B15" s="7" t="s">
        <v>20</v>
      </c>
      <c r="C15" s="7">
        <v>47</v>
      </c>
      <c r="D15" s="7">
        <v>50</v>
      </c>
      <c r="E15" s="7">
        <v>48</v>
      </c>
      <c r="F15" s="7">
        <v>46</v>
      </c>
      <c r="G15" s="7">
        <v>52</v>
      </c>
    </row>
    <row r="16" spans="1:20" x14ac:dyDescent="0.4">
      <c r="A16" s="7">
        <v>15</v>
      </c>
      <c r="B16" s="7" t="s">
        <v>21</v>
      </c>
      <c r="C16" s="7">
        <v>35</v>
      </c>
      <c r="D16" s="7">
        <v>38</v>
      </c>
      <c r="E16" s="7">
        <v>40</v>
      </c>
      <c r="F16" s="7">
        <v>37</v>
      </c>
      <c r="G16" s="7">
        <v>42</v>
      </c>
    </row>
    <row r="17" spans="1:12" x14ac:dyDescent="0.4">
      <c r="A17" s="7">
        <v>16</v>
      </c>
      <c r="B17" s="7" t="s">
        <v>22</v>
      </c>
      <c r="C17" s="7">
        <v>81</v>
      </c>
      <c r="D17" s="7">
        <v>84</v>
      </c>
      <c r="E17" s="7">
        <v>83</v>
      </c>
      <c r="F17" s="7">
        <v>80</v>
      </c>
      <c r="G17" s="7">
        <v>86</v>
      </c>
      <c r="J17" s="27" t="s">
        <v>83</v>
      </c>
      <c r="K17" s="27"/>
      <c r="L17" s="27"/>
    </row>
    <row r="18" spans="1:12" x14ac:dyDescent="0.4">
      <c r="A18" s="7">
        <v>17</v>
      </c>
      <c r="B18" s="7" t="s">
        <v>23</v>
      </c>
      <c r="C18" s="7">
        <v>59</v>
      </c>
      <c r="D18" s="7">
        <v>62</v>
      </c>
      <c r="E18" s="7">
        <v>60</v>
      </c>
      <c r="F18" s="7">
        <v>58</v>
      </c>
      <c r="G18" s="7">
        <v>64</v>
      </c>
      <c r="J18" s="27"/>
      <c r="K18" s="27"/>
      <c r="L18" s="27"/>
    </row>
    <row r="19" spans="1:12" x14ac:dyDescent="0.4">
      <c r="A19" s="7">
        <v>18</v>
      </c>
      <c r="B19" s="7" t="s">
        <v>24</v>
      </c>
      <c r="C19" s="7">
        <v>73</v>
      </c>
      <c r="D19" s="7">
        <v>77</v>
      </c>
      <c r="E19" s="7">
        <v>75</v>
      </c>
      <c r="F19" s="7">
        <v>72</v>
      </c>
      <c r="G19" s="7">
        <v>79</v>
      </c>
      <c r="K19" s="6" t="s">
        <v>77</v>
      </c>
      <c r="L19" s="6" t="s">
        <v>79</v>
      </c>
    </row>
    <row r="20" spans="1:12" x14ac:dyDescent="0.4">
      <c r="A20" s="7">
        <v>19</v>
      </c>
      <c r="B20" s="7" t="s">
        <v>25</v>
      </c>
      <c r="C20" s="7">
        <v>44</v>
      </c>
      <c r="D20" s="7">
        <v>48</v>
      </c>
      <c r="E20" s="7">
        <v>45</v>
      </c>
      <c r="F20" s="7">
        <v>46</v>
      </c>
      <c r="G20" s="7">
        <v>50</v>
      </c>
      <c r="J20" s="6" t="s">
        <v>80</v>
      </c>
      <c r="K20" s="5" t="s">
        <v>2</v>
      </c>
      <c r="L20" s="5">
        <f>MATCH(J21,B1:B51,0)</f>
        <v>2</v>
      </c>
    </row>
    <row r="21" spans="1:12" x14ac:dyDescent="0.4">
      <c r="A21" s="7">
        <v>20</v>
      </c>
      <c r="B21" s="7" t="s">
        <v>26</v>
      </c>
      <c r="C21" s="7">
        <v>88</v>
      </c>
      <c r="D21" s="7">
        <v>90</v>
      </c>
      <c r="E21" s="7">
        <v>89</v>
      </c>
      <c r="F21" s="7">
        <v>87</v>
      </c>
      <c r="G21" s="7">
        <v>92</v>
      </c>
      <c r="J21" s="5" t="s">
        <v>7</v>
      </c>
      <c r="K21" s="5">
        <f>HLOOKUP($K$20,$B$1:$G$51,MATCH(J21,B1:B51,0),0)</f>
        <v>68</v>
      </c>
    </row>
    <row r="22" spans="1:12" x14ac:dyDescent="0.4">
      <c r="A22" s="7">
        <v>21</v>
      </c>
      <c r="B22" s="7" t="s">
        <v>27</v>
      </c>
      <c r="C22" s="7">
        <v>51</v>
      </c>
      <c r="D22" s="7">
        <v>54</v>
      </c>
      <c r="E22" s="7">
        <v>52</v>
      </c>
      <c r="F22" s="7">
        <v>50</v>
      </c>
      <c r="G22" s="7">
        <v>56</v>
      </c>
    </row>
    <row r="23" spans="1:12" x14ac:dyDescent="0.4">
      <c r="A23" s="7">
        <v>22</v>
      </c>
      <c r="B23" s="7" t="s">
        <v>28</v>
      </c>
      <c r="C23" s="7">
        <v>79</v>
      </c>
      <c r="D23" s="7">
        <v>82</v>
      </c>
      <c r="E23" s="7">
        <v>80</v>
      </c>
      <c r="F23" s="7">
        <v>78</v>
      </c>
      <c r="G23" s="7">
        <v>85</v>
      </c>
    </row>
    <row r="24" spans="1:12" x14ac:dyDescent="0.4">
      <c r="A24" s="7">
        <v>23</v>
      </c>
      <c r="B24" s="7" t="s">
        <v>29</v>
      </c>
      <c r="C24" s="7">
        <v>63</v>
      </c>
      <c r="D24" s="7">
        <v>66</v>
      </c>
      <c r="E24" s="7">
        <v>64</v>
      </c>
      <c r="F24" s="7">
        <v>62</v>
      </c>
      <c r="G24" s="7">
        <v>68</v>
      </c>
    </row>
    <row r="25" spans="1:12" x14ac:dyDescent="0.4">
      <c r="A25" s="7">
        <v>24</v>
      </c>
      <c r="B25" s="7" t="s">
        <v>30</v>
      </c>
      <c r="C25" s="7">
        <v>39</v>
      </c>
      <c r="D25" s="7">
        <v>42</v>
      </c>
      <c r="E25" s="7">
        <v>40</v>
      </c>
      <c r="F25" s="7">
        <v>38</v>
      </c>
      <c r="G25" s="7">
        <v>45</v>
      </c>
    </row>
    <row r="26" spans="1:12" x14ac:dyDescent="0.4">
      <c r="A26" s="7">
        <v>25</v>
      </c>
      <c r="B26" s="7" t="s">
        <v>31</v>
      </c>
      <c r="C26" s="7">
        <v>85</v>
      </c>
      <c r="D26" s="7">
        <v>88</v>
      </c>
      <c r="E26" s="7">
        <v>87</v>
      </c>
      <c r="F26" s="7">
        <v>84</v>
      </c>
      <c r="G26" s="7">
        <v>90</v>
      </c>
    </row>
    <row r="27" spans="1:12" x14ac:dyDescent="0.4">
      <c r="A27" s="7">
        <v>26</v>
      </c>
      <c r="B27" s="7" t="s">
        <v>32</v>
      </c>
      <c r="C27" s="7">
        <v>56</v>
      </c>
      <c r="D27" s="7">
        <v>59</v>
      </c>
      <c r="E27" s="7">
        <v>58</v>
      </c>
      <c r="F27" s="7">
        <v>55</v>
      </c>
      <c r="G27" s="7">
        <v>61</v>
      </c>
    </row>
    <row r="28" spans="1:12" x14ac:dyDescent="0.4">
      <c r="A28" s="7">
        <v>27</v>
      </c>
      <c r="B28" s="7" t="s">
        <v>33</v>
      </c>
      <c r="C28" s="7">
        <v>72</v>
      </c>
      <c r="D28" s="7">
        <v>75</v>
      </c>
      <c r="E28" s="7">
        <v>73</v>
      </c>
      <c r="F28" s="7">
        <v>71</v>
      </c>
      <c r="G28" s="7">
        <v>78</v>
      </c>
    </row>
    <row r="29" spans="1:12" x14ac:dyDescent="0.4">
      <c r="A29" s="7">
        <v>28</v>
      </c>
      <c r="B29" s="7" t="s">
        <v>34</v>
      </c>
      <c r="C29" s="7">
        <v>33</v>
      </c>
      <c r="D29" s="7">
        <v>36</v>
      </c>
      <c r="E29" s="7">
        <v>35</v>
      </c>
      <c r="F29" s="7">
        <v>34</v>
      </c>
      <c r="G29" s="7">
        <v>38</v>
      </c>
    </row>
    <row r="30" spans="1:12" x14ac:dyDescent="0.4">
      <c r="A30" s="7">
        <v>29</v>
      </c>
      <c r="B30" s="7" t="s">
        <v>35</v>
      </c>
      <c r="C30" s="7">
        <v>66</v>
      </c>
      <c r="D30" s="7">
        <v>69</v>
      </c>
      <c r="E30" s="7">
        <v>67</v>
      </c>
      <c r="F30" s="7">
        <v>65</v>
      </c>
      <c r="G30" s="7">
        <v>71</v>
      </c>
    </row>
    <row r="31" spans="1:12" x14ac:dyDescent="0.4">
      <c r="A31" s="7">
        <v>30</v>
      </c>
      <c r="B31" s="7" t="s">
        <v>36</v>
      </c>
      <c r="C31" s="7">
        <v>91</v>
      </c>
      <c r="D31" s="7">
        <v>94</v>
      </c>
      <c r="E31" s="7">
        <v>92</v>
      </c>
      <c r="F31" s="7">
        <v>90</v>
      </c>
      <c r="G31" s="7">
        <v>96</v>
      </c>
    </row>
    <row r="32" spans="1:12" x14ac:dyDescent="0.4">
      <c r="A32" s="7">
        <v>31</v>
      </c>
      <c r="B32" s="7" t="s">
        <v>37</v>
      </c>
      <c r="C32" s="7">
        <v>48</v>
      </c>
      <c r="D32" s="7">
        <v>50</v>
      </c>
      <c r="E32" s="7">
        <v>49</v>
      </c>
      <c r="F32" s="7">
        <v>47</v>
      </c>
      <c r="G32" s="7">
        <v>53</v>
      </c>
    </row>
    <row r="33" spans="1:7" x14ac:dyDescent="0.4">
      <c r="A33" s="7">
        <v>32</v>
      </c>
      <c r="B33" s="7" t="s">
        <v>38</v>
      </c>
      <c r="C33" s="7">
        <v>77</v>
      </c>
      <c r="D33" s="7">
        <v>80</v>
      </c>
      <c r="E33" s="7">
        <v>78</v>
      </c>
      <c r="F33" s="7">
        <v>76</v>
      </c>
      <c r="G33" s="7">
        <v>83</v>
      </c>
    </row>
    <row r="34" spans="1:7" x14ac:dyDescent="0.4">
      <c r="A34" s="7">
        <v>33</v>
      </c>
      <c r="B34" s="7" t="s">
        <v>39</v>
      </c>
      <c r="C34" s="7">
        <v>60</v>
      </c>
      <c r="D34" s="7">
        <v>63</v>
      </c>
      <c r="E34" s="7">
        <v>61</v>
      </c>
      <c r="F34" s="7">
        <v>59</v>
      </c>
      <c r="G34" s="7">
        <v>65</v>
      </c>
    </row>
    <row r="35" spans="1:7" x14ac:dyDescent="0.4">
      <c r="A35" s="7">
        <v>34</v>
      </c>
      <c r="B35" s="7" t="s">
        <v>40</v>
      </c>
      <c r="C35" s="7">
        <v>42</v>
      </c>
      <c r="D35" s="7">
        <v>45</v>
      </c>
      <c r="E35" s="7">
        <v>43</v>
      </c>
      <c r="F35" s="7">
        <v>41</v>
      </c>
      <c r="G35" s="7">
        <v>47</v>
      </c>
    </row>
    <row r="36" spans="1:7" x14ac:dyDescent="0.4">
      <c r="A36" s="7">
        <v>35</v>
      </c>
      <c r="B36" s="7" t="s">
        <v>41</v>
      </c>
      <c r="C36" s="7">
        <v>84</v>
      </c>
      <c r="D36" s="7">
        <v>87</v>
      </c>
      <c r="E36" s="7">
        <v>85</v>
      </c>
      <c r="F36" s="7">
        <v>82</v>
      </c>
      <c r="G36" s="7">
        <v>89</v>
      </c>
    </row>
    <row r="37" spans="1:7" x14ac:dyDescent="0.4">
      <c r="A37" s="7">
        <v>36</v>
      </c>
      <c r="B37" s="7" t="s">
        <v>42</v>
      </c>
      <c r="C37" s="7">
        <v>55</v>
      </c>
      <c r="D37" s="7">
        <v>58</v>
      </c>
      <c r="E37" s="7">
        <v>56</v>
      </c>
      <c r="F37" s="7">
        <v>54</v>
      </c>
      <c r="G37" s="7">
        <v>60</v>
      </c>
    </row>
    <row r="38" spans="1:7" x14ac:dyDescent="0.4">
      <c r="A38" s="7">
        <v>37</v>
      </c>
      <c r="B38" s="7" t="s">
        <v>43</v>
      </c>
      <c r="C38" s="7">
        <v>70</v>
      </c>
      <c r="D38" s="7">
        <v>73</v>
      </c>
      <c r="E38" s="7">
        <v>71</v>
      </c>
      <c r="F38" s="7">
        <v>69</v>
      </c>
      <c r="G38" s="7">
        <v>75</v>
      </c>
    </row>
    <row r="39" spans="1:7" x14ac:dyDescent="0.4">
      <c r="A39" s="7">
        <v>38</v>
      </c>
      <c r="B39" s="7" t="s">
        <v>44</v>
      </c>
      <c r="C39" s="7">
        <v>36</v>
      </c>
      <c r="D39" s="7">
        <v>39</v>
      </c>
      <c r="E39" s="7">
        <v>38</v>
      </c>
      <c r="F39" s="7">
        <v>37</v>
      </c>
      <c r="G39" s="7">
        <v>40</v>
      </c>
    </row>
    <row r="40" spans="1:7" x14ac:dyDescent="0.4">
      <c r="A40" s="7">
        <v>39</v>
      </c>
      <c r="B40" s="7" t="s">
        <v>45</v>
      </c>
      <c r="C40" s="7">
        <v>64</v>
      </c>
      <c r="D40" s="7">
        <v>67</v>
      </c>
      <c r="E40" s="7">
        <v>65</v>
      </c>
      <c r="F40" s="7">
        <v>63</v>
      </c>
      <c r="G40" s="7">
        <v>69</v>
      </c>
    </row>
    <row r="41" spans="1:7" x14ac:dyDescent="0.4">
      <c r="A41" s="7">
        <v>40</v>
      </c>
      <c r="B41" s="7" t="s">
        <v>46</v>
      </c>
      <c r="C41" s="7">
        <v>78</v>
      </c>
      <c r="D41" s="7">
        <v>81</v>
      </c>
      <c r="E41" s="7">
        <v>79</v>
      </c>
      <c r="F41" s="7">
        <v>77</v>
      </c>
      <c r="G41" s="7">
        <v>84</v>
      </c>
    </row>
    <row r="42" spans="1:7" x14ac:dyDescent="0.4">
      <c r="A42" s="7">
        <v>41</v>
      </c>
      <c r="B42" s="7" t="s">
        <v>47</v>
      </c>
      <c r="C42" s="7">
        <v>46</v>
      </c>
      <c r="D42" s="7">
        <v>49</v>
      </c>
      <c r="E42" s="7">
        <v>47</v>
      </c>
      <c r="F42" s="7">
        <v>45</v>
      </c>
      <c r="G42" s="7">
        <v>51</v>
      </c>
    </row>
    <row r="43" spans="1:7" x14ac:dyDescent="0.4">
      <c r="A43" s="7">
        <v>42</v>
      </c>
      <c r="B43" s="7" t="s">
        <v>48</v>
      </c>
      <c r="C43" s="7">
        <v>86</v>
      </c>
      <c r="D43" s="7">
        <v>89</v>
      </c>
      <c r="E43" s="7">
        <v>88</v>
      </c>
      <c r="F43" s="7">
        <v>85</v>
      </c>
      <c r="G43" s="7">
        <v>91</v>
      </c>
    </row>
    <row r="44" spans="1:7" x14ac:dyDescent="0.4">
      <c r="A44" s="7">
        <v>43</v>
      </c>
      <c r="B44" s="7" t="s">
        <v>49</v>
      </c>
      <c r="C44" s="7">
        <v>57</v>
      </c>
      <c r="D44" s="7">
        <v>60</v>
      </c>
      <c r="E44" s="7">
        <v>58</v>
      </c>
      <c r="F44" s="7">
        <v>56</v>
      </c>
      <c r="G44" s="7">
        <v>62</v>
      </c>
    </row>
    <row r="45" spans="1:7" x14ac:dyDescent="0.4">
      <c r="A45" s="7">
        <v>44</v>
      </c>
      <c r="B45" s="7" t="s">
        <v>50</v>
      </c>
      <c r="C45" s="7">
        <v>40</v>
      </c>
      <c r="D45" s="7">
        <v>43</v>
      </c>
      <c r="E45" s="7">
        <v>41</v>
      </c>
      <c r="F45" s="7">
        <v>39</v>
      </c>
      <c r="G45" s="7">
        <v>45</v>
      </c>
    </row>
    <row r="46" spans="1:7" x14ac:dyDescent="0.4">
      <c r="A46" s="7">
        <v>45</v>
      </c>
      <c r="B46" s="7" t="s">
        <v>51</v>
      </c>
      <c r="C46" s="7">
        <v>83</v>
      </c>
      <c r="D46" s="7">
        <v>86</v>
      </c>
      <c r="E46" s="7">
        <v>84</v>
      </c>
      <c r="F46" s="7">
        <v>82</v>
      </c>
      <c r="G46" s="7">
        <v>88</v>
      </c>
    </row>
    <row r="47" spans="1:7" x14ac:dyDescent="0.4">
      <c r="A47" s="7">
        <v>46</v>
      </c>
      <c r="B47" s="7" t="s">
        <v>52</v>
      </c>
      <c r="C47" s="7">
        <v>69</v>
      </c>
      <c r="D47" s="7">
        <v>72</v>
      </c>
      <c r="E47" s="7">
        <v>70</v>
      </c>
      <c r="F47" s="7">
        <v>68</v>
      </c>
      <c r="G47" s="7">
        <v>74</v>
      </c>
    </row>
    <row r="48" spans="1:7" x14ac:dyDescent="0.4">
      <c r="A48" s="7">
        <v>47</v>
      </c>
      <c r="B48" s="7" t="s">
        <v>53</v>
      </c>
      <c r="C48" s="7">
        <v>52</v>
      </c>
      <c r="D48" s="7">
        <v>55</v>
      </c>
      <c r="E48" s="7">
        <v>53</v>
      </c>
      <c r="F48" s="7">
        <v>51</v>
      </c>
      <c r="G48" s="7">
        <v>57</v>
      </c>
    </row>
    <row r="49" spans="1:7" x14ac:dyDescent="0.4">
      <c r="A49" s="7">
        <v>48</v>
      </c>
      <c r="B49" s="7" t="s">
        <v>54</v>
      </c>
      <c r="C49" s="7">
        <v>90</v>
      </c>
      <c r="D49" s="7">
        <v>93</v>
      </c>
      <c r="E49" s="7">
        <v>91</v>
      </c>
      <c r="F49" s="7">
        <v>89</v>
      </c>
      <c r="G49" s="7">
        <v>95</v>
      </c>
    </row>
    <row r="50" spans="1:7" x14ac:dyDescent="0.4">
      <c r="A50" s="7">
        <v>49</v>
      </c>
      <c r="B50" s="7" t="s">
        <v>55</v>
      </c>
      <c r="C50" s="7">
        <v>61</v>
      </c>
      <c r="D50" s="7">
        <v>64</v>
      </c>
      <c r="E50" s="7">
        <v>62</v>
      </c>
      <c r="F50" s="7">
        <v>60</v>
      </c>
      <c r="G50" s="7">
        <v>66</v>
      </c>
    </row>
    <row r="51" spans="1:7" x14ac:dyDescent="0.4">
      <c r="A51" s="7">
        <v>50</v>
      </c>
      <c r="B51" s="7" t="s">
        <v>56</v>
      </c>
      <c r="C51" s="7">
        <v>75</v>
      </c>
      <c r="D51" s="7">
        <v>78</v>
      </c>
      <c r="E51" s="7">
        <v>76</v>
      </c>
      <c r="F51" s="7">
        <v>74</v>
      </c>
      <c r="G51" s="7">
        <v>81</v>
      </c>
    </row>
  </sheetData>
  <mergeCells count="3">
    <mergeCell ref="L2:O4"/>
    <mergeCell ref="J10:L11"/>
    <mergeCell ref="J17:L18"/>
  </mergeCells>
  <dataValidations disablePrompts="1" count="2">
    <dataValidation type="list" allowBlank="1" showInputMessage="1" showErrorMessage="1" sqref="J6 K13 K20" xr:uid="{D7A9CB20-E8BC-4E90-939C-58B96A0D1265}">
      <formula1>$C$1:$G$1</formula1>
    </dataValidation>
    <dataValidation type="list" allowBlank="1" showInputMessage="1" showErrorMessage="1" sqref="J14 J21" xr:uid="{6DF2DCCA-B35F-42E3-AD90-9A425EF2275E}">
      <formula1>$B$2:$B$51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A445-E06D-439C-A628-2FCB3E4CE723}">
  <dimension ref="A1:P51"/>
  <sheetViews>
    <sheetView tabSelected="1" zoomScale="73" workbookViewId="0">
      <selection activeCell="J8" sqref="J8"/>
    </sheetView>
  </sheetViews>
  <sheetFormatPr defaultRowHeight="19.8" x14ac:dyDescent="0.4"/>
  <cols>
    <col min="1" max="1" width="9.33203125" style="5" bestFit="1" customWidth="1"/>
    <col min="2" max="2" width="23.21875" style="5" bestFit="1" customWidth="1"/>
    <col min="3" max="3" width="9.33203125" style="5" bestFit="1" customWidth="1"/>
    <col min="4" max="4" width="8" style="5" bestFit="1" customWidth="1"/>
    <col min="5" max="5" width="10.109375" style="5" bestFit="1" customWidth="1"/>
    <col min="6" max="6" width="8.109375" style="5" bestFit="1" customWidth="1"/>
    <col min="7" max="7" width="12.5546875" style="5" bestFit="1" customWidth="1"/>
    <col min="8" max="8" width="8.88671875" style="5"/>
    <col min="9" max="9" width="17.33203125" style="5" bestFit="1" customWidth="1"/>
    <col min="10" max="10" width="13" style="5" bestFit="1" customWidth="1"/>
    <col min="11" max="11" width="8" style="5" bestFit="1" customWidth="1"/>
    <col min="12" max="12" width="16.6640625" style="5" bestFit="1" customWidth="1"/>
    <col min="13" max="13" width="10.109375" style="5" bestFit="1" customWidth="1"/>
    <col min="14" max="14" width="12.5546875" style="5" bestFit="1" customWidth="1"/>
    <col min="15" max="15" width="17.33203125" style="5" bestFit="1" customWidth="1"/>
    <col min="16" max="16" width="4.109375" style="5" bestFit="1" customWidth="1"/>
    <col min="17" max="16384" width="8.88671875" style="5"/>
  </cols>
  <sheetData>
    <row r="1" spans="1:16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</row>
    <row r="2" spans="1:16" x14ac:dyDescent="0.4">
      <c r="A2" s="7">
        <v>1</v>
      </c>
      <c r="B2" s="7" t="s">
        <v>7</v>
      </c>
      <c r="C2" s="7">
        <v>68</v>
      </c>
      <c r="D2" s="7">
        <v>72</v>
      </c>
      <c r="E2" s="7">
        <v>70</v>
      </c>
      <c r="F2" s="7">
        <v>66</v>
      </c>
      <c r="G2" s="7">
        <v>75</v>
      </c>
      <c r="J2" s="9" t="s">
        <v>85</v>
      </c>
    </row>
    <row r="3" spans="1:16" x14ac:dyDescent="0.4">
      <c r="A3" s="7">
        <v>2</v>
      </c>
      <c r="B3" s="7" t="s">
        <v>8</v>
      </c>
      <c r="C3" s="7">
        <v>74</v>
      </c>
      <c r="D3" s="7">
        <v>81</v>
      </c>
      <c r="E3" s="7">
        <v>78</v>
      </c>
      <c r="F3" s="7">
        <v>76</v>
      </c>
      <c r="G3" s="7">
        <v>82</v>
      </c>
      <c r="J3" s="5">
        <f>INDEX(A1:G11,5,4)</f>
        <v>88</v>
      </c>
      <c r="L3" s="29" t="s">
        <v>90</v>
      </c>
      <c r="M3" s="29"/>
      <c r="O3" s="29" t="s">
        <v>91</v>
      </c>
      <c r="P3" s="29"/>
    </row>
    <row r="4" spans="1:16" x14ac:dyDescent="0.4">
      <c r="A4" s="7">
        <v>3</v>
      </c>
      <c r="B4" s="7" t="s">
        <v>9</v>
      </c>
      <c r="C4" s="7">
        <v>45</v>
      </c>
      <c r="D4" s="7">
        <v>52</v>
      </c>
      <c r="E4" s="7">
        <v>48</v>
      </c>
      <c r="F4" s="7">
        <v>50</v>
      </c>
      <c r="G4" s="7">
        <v>55</v>
      </c>
      <c r="L4" s="29"/>
      <c r="M4" s="29"/>
      <c r="O4" s="29"/>
      <c r="P4" s="29"/>
    </row>
    <row r="5" spans="1:16" x14ac:dyDescent="0.4">
      <c r="A5" s="7">
        <v>4</v>
      </c>
      <c r="B5" s="7" t="s">
        <v>10</v>
      </c>
      <c r="C5" s="7">
        <v>82</v>
      </c>
      <c r="D5" s="7">
        <v>88</v>
      </c>
      <c r="E5" s="7">
        <v>85</v>
      </c>
      <c r="F5" s="7">
        <v>80</v>
      </c>
      <c r="G5" s="7">
        <v>90</v>
      </c>
      <c r="I5" s="26" t="s">
        <v>86</v>
      </c>
      <c r="J5" s="26"/>
      <c r="K5" s="8"/>
      <c r="M5" s="5" t="s">
        <v>4</v>
      </c>
      <c r="O5" s="7" t="s">
        <v>7</v>
      </c>
      <c r="P5" s="5" cm="1">
        <f t="array" ref="P5:P14">_xlfn.XLOOKUP(O5:O14,B2:B11,E2:E11)</f>
        <v>70</v>
      </c>
    </row>
    <row r="6" spans="1:16" x14ac:dyDescent="0.4">
      <c r="A6" s="7">
        <v>5</v>
      </c>
      <c r="B6" s="7" t="s">
        <v>11</v>
      </c>
      <c r="C6" s="7">
        <v>34</v>
      </c>
      <c r="D6" s="7">
        <v>42</v>
      </c>
      <c r="E6" s="7">
        <v>38</v>
      </c>
      <c r="F6" s="7">
        <v>40</v>
      </c>
      <c r="G6" s="7">
        <v>45</v>
      </c>
      <c r="I6" s="26"/>
      <c r="J6" s="26"/>
      <c r="K6" s="8"/>
      <c r="L6" s="5" t="s">
        <v>7</v>
      </c>
      <c r="M6" s="5">
        <f>_xlfn.XLOOKUP(L6,B2:B51,E2:E51)</f>
        <v>70</v>
      </c>
      <c r="O6" s="7" t="s">
        <v>8</v>
      </c>
      <c r="P6" s="5">
        <v>78</v>
      </c>
    </row>
    <row r="7" spans="1:16" x14ac:dyDescent="0.4">
      <c r="A7" s="7">
        <v>6</v>
      </c>
      <c r="B7" s="7" t="s">
        <v>12</v>
      </c>
      <c r="C7" s="7">
        <v>71</v>
      </c>
      <c r="D7" s="7">
        <v>69</v>
      </c>
      <c r="E7" s="7">
        <v>73</v>
      </c>
      <c r="F7" s="7">
        <v>70</v>
      </c>
      <c r="G7" s="7">
        <v>76</v>
      </c>
      <c r="J7" s="5" t="s">
        <v>2</v>
      </c>
      <c r="O7" s="7" t="s">
        <v>9</v>
      </c>
      <c r="P7" s="5">
        <v>48</v>
      </c>
    </row>
    <row r="8" spans="1:16" x14ac:dyDescent="0.4">
      <c r="A8" s="7">
        <v>7</v>
      </c>
      <c r="B8" s="7" t="s">
        <v>13</v>
      </c>
      <c r="C8" s="7">
        <v>58</v>
      </c>
      <c r="D8" s="7">
        <v>61</v>
      </c>
      <c r="E8" s="7">
        <v>60</v>
      </c>
      <c r="F8" s="7">
        <v>57</v>
      </c>
      <c r="G8" s="7">
        <v>62</v>
      </c>
      <c r="I8" s="5" t="s">
        <v>7</v>
      </c>
      <c r="J8" s="5">
        <f>INDEX(B1:G51,MATCH(I8,B1:B51,0),MATCH(J7,B1:G1,0))</f>
        <v>68</v>
      </c>
      <c r="O8" s="7" t="s">
        <v>10</v>
      </c>
      <c r="P8" s="5">
        <v>85</v>
      </c>
    </row>
    <row r="9" spans="1:16" x14ac:dyDescent="0.4">
      <c r="A9" s="7">
        <v>8</v>
      </c>
      <c r="B9" s="7" t="s">
        <v>14</v>
      </c>
      <c r="C9" s="7">
        <v>89</v>
      </c>
      <c r="D9" s="7">
        <v>92</v>
      </c>
      <c r="E9" s="7">
        <v>90</v>
      </c>
      <c r="F9" s="7">
        <v>88</v>
      </c>
      <c r="G9" s="7">
        <v>94</v>
      </c>
      <c r="O9" s="7" t="s">
        <v>11</v>
      </c>
      <c r="P9" s="5">
        <v>38</v>
      </c>
    </row>
    <row r="10" spans="1:16" x14ac:dyDescent="0.4">
      <c r="A10" s="7">
        <v>9</v>
      </c>
      <c r="B10" s="7" t="s">
        <v>15</v>
      </c>
      <c r="C10" s="7">
        <v>41</v>
      </c>
      <c r="D10" s="7">
        <v>45</v>
      </c>
      <c r="E10" s="7">
        <v>43</v>
      </c>
      <c r="F10" s="7">
        <v>44</v>
      </c>
      <c r="G10" s="7">
        <v>46</v>
      </c>
      <c r="O10" s="7" t="s">
        <v>12</v>
      </c>
      <c r="P10" s="5">
        <v>73</v>
      </c>
    </row>
    <row r="11" spans="1:16" x14ac:dyDescent="0.4">
      <c r="A11" s="7">
        <v>10</v>
      </c>
      <c r="B11" s="7" t="s">
        <v>16</v>
      </c>
      <c r="C11" s="7">
        <v>67</v>
      </c>
      <c r="D11" s="7">
        <v>70</v>
      </c>
      <c r="E11" s="7">
        <v>68</v>
      </c>
      <c r="F11" s="7">
        <v>65</v>
      </c>
      <c r="G11" s="7">
        <v>72</v>
      </c>
      <c r="I11" s="29" t="s">
        <v>87</v>
      </c>
      <c r="J11" s="29"/>
      <c r="O11" s="7" t="s">
        <v>13</v>
      </c>
      <c r="P11" s="5">
        <v>60</v>
      </c>
    </row>
    <row r="12" spans="1:16" x14ac:dyDescent="0.4">
      <c r="A12" s="7">
        <v>11</v>
      </c>
      <c r="B12" s="7" t="s">
        <v>17</v>
      </c>
      <c r="C12" s="7">
        <v>76</v>
      </c>
      <c r="D12" s="7">
        <v>80</v>
      </c>
      <c r="E12" s="7">
        <v>78</v>
      </c>
      <c r="F12" s="7">
        <v>75</v>
      </c>
      <c r="G12" s="7">
        <v>82</v>
      </c>
      <c r="I12" s="29"/>
      <c r="J12" s="29"/>
      <c r="O12" s="7" t="s">
        <v>14</v>
      </c>
      <c r="P12" s="5">
        <v>90</v>
      </c>
    </row>
    <row r="13" spans="1:16" x14ac:dyDescent="0.4">
      <c r="A13" s="7">
        <v>12</v>
      </c>
      <c r="B13" s="7" t="s">
        <v>18</v>
      </c>
      <c r="C13" s="7">
        <v>54</v>
      </c>
      <c r="D13" s="7">
        <v>58</v>
      </c>
      <c r="E13" s="7">
        <v>56</v>
      </c>
      <c r="F13" s="7">
        <v>55</v>
      </c>
      <c r="G13" s="7">
        <v>60</v>
      </c>
      <c r="I13" s="10" t="s">
        <v>88</v>
      </c>
      <c r="J13" s="10" t="s">
        <v>89</v>
      </c>
      <c r="O13" s="7" t="s">
        <v>15</v>
      </c>
      <c r="P13" s="5">
        <v>43</v>
      </c>
    </row>
    <row r="14" spans="1:16" x14ac:dyDescent="0.4">
      <c r="A14" s="7">
        <v>13</v>
      </c>
      <c r="B14" s="7" t="s">
        <v>19</v>
      </c>
      <c r="C14" s="7">
        <v>62</v>
      </c>
      <c r="D14" s="7">
        <v>65</v>
      </c>
      <c r="E14" s="7">
        <v>63</v>
      </c>
      <c r="F14" s="7">
        <v>61</v>
      </c>
      <c r="G14" s="7">
        <v>67</v>
      </c>
      <c r="I14" s="5" t="s">
        <v>7</v>
      </c>
      <c r="J14" s="5">
        <f>_xlfn.XLOOKUP(I14,B2:B51,A2:A51)</f>
        <v>1</v>
      </c>
      <c r="O14" s="7" t="s">
        <v>16</v>
      </c>
      <c r="P14" s="5">
        <v>68</v>
      </c>
    </row>
    <row r="15" spans="1:16" x14ac:dyDescent="0.4">
      <c r="A15" s="7">
        <v>14</v>
      </c>
      <c r="B15" s="7" t="s">
        <v>20</v>
      </c>
      <c r="C15" s="7">
        <v>47</v>
      </c>
      <c r="D15" s="7">
        <v>50</v>
      </c>
      <c r="E15" s="7">
        <v>48</v>
      </c>
      <c r="F15" s="7">
        <v>46</v>
      </c>
      <c r="G15" s="7">
        <v>52</v>
      </c>
    </row>
    <row r="16" spans="1:16" x14ac:dyDescent="0.4">
      <c r="A16" s="7">
        <v>15</v>
      </c>
      <c r="B16" s="7" t="s">
        <v>21</v>
      </c>
      <c r="C16" s="7">
        <v>35</v>
      </c>
      <c r="D16" s="7">
        <v>38</v>
      </c>
      <c r="E16" s="7">
        <v>40</v>
      </c>
      <c r="F16" s="7">
        <v>37</v>
      </c>
      <c r="G16" s="7">
        <v>42</v>
      </c>
    </row>
    <row r="17" spans="1:14" x14ac:dyDescent="0.4">
      <c r="A17" s="7">
        <v>16</v>
      </c>
      <c r="B17" s="7" t="s">
        <v>22</v>
      </c>
      <c r="C17" s="7">
        <v>81</v>
      </c>
      <c r="D17" s="7">
        <v>84</v>
      </c>
      <c r="E17" s="7">
        <v>83</v>
      </c>
      <c r="F17" s="7">
        <v>80</v>
      </c>
      <c r="G17" s="7">
        <v>86</v>
      </c>
      <c r="L17" s="29" t="s">
        <v>92</v>
      </c>
      <c r="M17" s="29"/>
    </row>
    <row r="18" spans="1:14" x14ac:dyDescent="0.4">
      <c r="A18" s="7">
        <v>17</v>
      </c>
      <c r="B18" s="7" t="s">
        <v>23</v>
      </c>
      <c r="C18" s="7">
        <v>59</v>
      </c>
      <c r="D18" s="7">
        <v>62</v>
      </c>
      <c r="E18" s="7">
        <v>60</v>
      </c>
      <c r="F18" s="7">
        <v>58</v>
      </c>
      <c r="G18" s="7">
        <v>64</v>
      </c>
      <c r="L18" s="29"/>
      <c r="M18" s="29"/>
    </row>
    <row r="19" spans="1:14" x14ac:dyDescent="0.4">
      <c r="A19" s="7">
        <v>18</v>
      </c>
      <c r="B19" s="7" t="s">
        <v>24</v>
      </c>
      <c r="C19" s="7">
        <v>73</v>
      </c>
      <c r="D19" s="7">
        <v>77</v>
      </c>
      <c r="E19" s="7">
        <v>75</v>
      </c>
      <c r="F19" s="7">
        <v>72</v>
      </c>
      <c r="G19" s="7">
        <v>79</v>
      </c>
      <c r="M19" s="5" t="s">
        <v>4</v>
      </c>
    </row>
    <row r="20" spans="1:14" x14ac:dyDescent="0.4">
      <c r="A20" s="7">
        <v>19</v>
      </c>
      <c r="B20" s="7" t="s">
        <v>25</v>
      </c>
      <c r="C20" s="7">
        <v>44</v>
      </c>
      <c r="D20" s="7">
        <v>48</v>
      </c>
      <c r="E20" s="7">
        <v>45</v>
      </c>
      <c r="F20" s="7">
        <v>46</v>
      </c>
      <c r="G20" s="7">
        <v>50</v>
      </c>
      <c r="L20" s="5" t="s">
        <v>7</v>
      </c>
      <c r="M20" s="5" cm="1">
        <f t="array" ref="M20">_xlfn.XLOOKUP(L20,B2:B51,_xlfn.XLOOKUP(M19,C1:G1,C2:G51))</f>
        <v>70</v>
      </c>
    </row>
    <row r="21" spans="1:14" x14ac:dyDescent="0.4">
      <c r="A21" s="7">
        <v>20</v>
      </c>
      <c r="B21" s="7" t="s">
        <v>26</v>
      </c>
      <c r="C21" s="7">
        <v>88</v>
      </c>
      <c r="D21" s="7">
        <v>90</v>
      </c>
      <c r="E21" s="7">
        <v>89</v>
      </c>
      <c r="F21" s="7">
        <v>87</v>
      </c>
      <c r="G21" s="7">
        <v>92</v>
      </c>
    </row>
    <row r="22" spans="1:14" x14ac:dyDescent="0.4">
      <c r="A22" s="7">
        <v>21</v>
      </c>
      <c r="B22" s="7" t="s">
        <v>27</v>
      </c>
      <c r="C22" s="7">
        <v>51</v>
      </c>
      <c r="D22" s="7">
        <v>54</v>
      </c>
      <c r="E22" s="7">
        <v>52</v>
      </c>
      <c r="F22" s="7">
        <v>50</v>
      </c>
      <c r="G22" s="7">
        <v>56</v>
      </c>
      <c r="J22" s="7" t="s">
        <v>2</v>
      </c>
      <c r="K22" s="7" t="s">
        <v>3</v>
      </c>
      <c r="L22" s="7" t="s">
        <v>4</v>
      </c>
      <c r="M22" s="7" t="s">
        <v>5</v>
      </c>
      <c r="N22" s="7" t="s">
        <v>6</v>
      </c>
    </row>
    <row r="23" spans="1:14" x14ac:dyDescent="0.4">
      <c r="A23" s="7">
        <v>22</v>
      </c>
      <c r="B23" s="7" t="s">
        <v>28</v>
      </c>
      <c r="C23" s="7">
        <v>79</v>
      </c>
      <c r="D23" s="7">
        <v>82</v>
      </c>
      <c r="E23" s="7">
        <v>80</v>
      </c>
      <c r="F23" s="7">
        <v>78</v>
      </c>
      <c r="G23" s="7">
        <v>85</v>
      </c>
      <c r="I23" s="5" t="s">
        <v>9</v>
      </c>
      <c r="J23" s="5" cm="1">
        <f t="array" ref="J23:N23">_xlfn.XLOOKUP(I23,B2:B51,C2:G51)</f>
        <v>45</v>
      </c>
      <c r="K23" s="5">
        <v>52</v>
      </c>
      <c r="L23" s="5">
        <v>48</v>
      </c>
      <c r="M23" s="5">
        <v>50</v>
      </c>
      <c r="N23" s="5">
        <v>55</v>
      </c>
    </row>
    <row r="24" spans="1:14" x14ac:dyDescent="0.4">
      <c r="A24" s="7">
        <v>23</v>
      </c>
      <c r="B24" s="7" t="s">
        <v>29</v>
      </c>
      <c r="C24" s="7">
        <v>63</v>
      </c>
      <c r="D24" s="7">
        <v>66</v>
      </c>
      <c r="E24" s="7">
        <v>64</v>
      </c>
      <c r="F24" s="7">
        <v>62</v>
      </c>
      <c r="G24" s="7">
        <v>68</v>
      </c>
    </row>
    <row r="25" spans="1:14" x14ac:dyDescent="0.4">
      <c r="A25" s="7">
        <v>24</v>
      </c>
      <c r="B25" s="7" t="s">
        <v>30</v>
      </c>
      <c r="C25" s="7">
        <v>39</v>
      </c>
      <c r="D25" s="7">
        <v>42</v>
      </c>
      <c r="E25" s="7">
        <v>40</v>
      </c>
      <c r="F25" s="7">
        <v>38</v>
      </c>
      <c r="G25" s="7">
        <v>45</v>
      </c>
    </row>
    <row r="26" spans="1:14" x14ac:dyDescent="0.4">
      <c r="A26" s="7">
        <v>25</v>
      </c>
      <c r="B26" s="7" t="s">
        <v>31</v>
      </c>
      <c r="C26" s="7">
        <v>85</v>
      </c>
      <c r="D26" s="7">
        <v>88</v>
      </c>
      <c r="E26" s="7">
        <v>87</v>
      </c>
      <c r="F26" s="7">
        <v>84</v>
      </c>
      <c r="G26" s="7">
        <v>90</v>
      </c>
    </row>
    <row r="27" spans="1:14" x14ac:dyDescent="0.4">
      <c r="A27" s="7">
        <v>26</v>
      </c>
      <c r="B27" s="7" t="s">
        <v>32</v>
      </c>
      <c r="C27" s="7">
        <v>56</v>
      </c>
      <c r="D27" s="7">
        <v>59</v>
      </c>
      <c r="E27" s="7">
        <v>58</v>
      </c>
      <c r="F27" s="7">
        <v>55</v>
      </c>
      <c r="G27" s="7">
        <v>61</v>
      </c>
    </row>
    <row r="28" spans="1:14" x14ac:dyDescent="0.4">
      <c r="A28" s="7">
        <v>27</v>
      </c>
      <c r="B28" s="7" t="s">
        <v>33</v>
      </c>
      <c r="C28" s="7">
        <v>72</v>
      </c>
      <c r="D28" s="7">
        <v>75</v>
      </c>
      <c r="E28" s="7">
        <v>73</v>
      </c>
      <c r="F28" s="7">
        <v>71</v>
      </c>
      <c r="G28" s="7">
        <v>78</v>
      </c>
    </row>
    <row r="29" spans="1:14" x14ac:dyDescent="0.4">
      <c r="A29" s="7">
        <v>28</v>
      </c>
      <c r="B29" s="7" t="s">
        <v>34</v>
      </c>
      <c r="C29" s="7">
        <v>33</v>
      </c>
      <c r="D29" s="7">
        <v>36</v>
      </c>
      <c r="E29" s="7">
        <v>35</v>
      </c>
      <c r="F29" s="7">
        <v>34</v>
      </c>
      <c r="G29" s="7">
        <v>38</v>
      </c>
    </row>
    <row r="30" spans="1:14" x14ac:dyDescent="0.4">
      <c r="A30" s="7">
        <v>29</v>
      </c>
      <c r="B30" s="7" t="s">
        <v>35</v>
      </c>
      <c r="C30" s="7">
        <v>66</v>
      </c>
      <c r="D30" s="7">
        <v>69</v>
      </c>
      <c r="E30" s="7">
        <v>67</v>
      </c>
      <c r="F30" s="7">
        <v>65</v>
      </c>
      <c r="G30" s="7">
        <v>71</v>
      </c>
    </row>
    <row r="31" spans="1:14" x14ac:dyDescent="0.4">
      <c r="A31" s="7">
        <v>30</v>
      </c>
      <c r="B31" s="7" t="s">
        <v>36</v>
      </c>
      <c r="C31" s="7">
        <v>91</v>
      </c>
      <c r="D31" s="7">
        <v>94</v>
      </c>
      <c r="E31" s="7">
        <v>92</v>
      </c>
      <c r="F31" s="7">
        <v>90</v>
      </c>
      <c r="G31" s="7">
        <v>96</v>
      </c>
    </row>
    <row r="32" spans="1:14" x14ac:dyDescent="0.4">
      <c r="A32" s="7">
        <v>31</v>
      </c>
      <c r="B32" s="7" t="s">
        <v>37</v>
      </c>
      <c r="C32" s="7">
        <v>48</v>
      </c>
      <c r="D32" s="7">
        <v>50</v>
      </c>
      <c r="E32" s="7">
        <v>49</v>
      </c>
      <c r="F32" s="7">
        <v>47</v>
      </c>
      <c r="G32" s="7">
        <v>53</v>
      </c>
    </row>
    <row r="33" spans="1:7" x14ac:dyDescent="0.4">
      <c r="A33" s="7">
        <v>32</v>
      </c>
      <c r="B33" s="7" t="s">
        <v>38</v>
      </c>
      <c r="C33" s="7">
        <v>77</v>
      </c>
      <c r="D33" s="7">
        <v>80</v>
      </c>
      <c r="E33" s="7">
        <v>78</v>
      </c>
      <c r="F33" s="7">
        <v>76</v>
      </c>
      <c r="G33" s="7">
        <v>83</v>
      </c>
    </row>
    <row r="34" spans="1:7" x14ac:dyDescent="0.4">
      <c r="A34" s="7">
        <v>33</v>
      </c>
      <c r="B34" s="7" t="s">
        <v>39</v>
      </c>
      <c r="C34" s="7">
        <v>60</v>
      </c>
      <c r="D34" s="7">
        <v>63</v>
      </c>
      <c r="E34" s="7">
        <v>61</v>
      </c>
      <c r="F34" s="7">
        <v>59</v>
      </c>
      <c r="G34" s="7">
        <v>65</v>
      </c>
    </row>
    <row r="35" spans="1:7" x14ac:dyDescent="0.4">
      <c r="A35" s="7">
        <v>34</v>
      </c>
      <c r="B35" s="7" t="s">
        <v>40</v>
      </c>
      <c r="C35" s="7">
        <v>42</v>
      </c>
      <c r="D35" s="7">
        <v>45</v>
      </c>
      <c r="E35" s="7">
        <v>43</v>
      </c>
      <c r="F35" s="7">
        <v>41</v>
      </c>
      <c r="G35" s="7">
        <v>47</v>
      </c>
    </row>
    <row r="36" spans="1:7" x14ac:dyDescent="0.4">
      <c r="A36" s="7">
        <v>35</v>
      </c>
      <c r="B36" s="7" t="s">
        <v>41</v>
      </c>
      <c r="C36" s="7">
        <v>84</v>
      </c>
      <c r="D36" s="7">
        <v>87</v>
      </c>
      <c r="E36" s="7">
        <v>85</v>
      </c>
      <c r="F36" s="7">
        <v>82</v>
      </c>
      <c r="G36" s="7">
        <v>89</v>
      </c>
    </row>
    <row r="37" spans="1:7" x14ac:dyDescent="0.4">
      <c r="A37" s="7">
        <v>36</v>
      </c>
      <c r="B37" s="7" t="s">
        <v>42</v>
      </c>
      <c r="C37" s="7">
        <v>55</v>
      </c>
      <c r="D37" s="7">
        <v>58</v>
      </c>
      <c r="E37" s="7">
        <v>56</v>
      </c>
      <c r="F37" s="7">
        <v>54</v>
      </c>
      <c r="G37" s="7">
        <v>60</v>
      </c>
    </row>
    <row r="38" spans="1:7" x14ac:dyDescent="0.4">
      <c r="A38" s="7">
        <v>37</v>
      </c>
      <c r="B38" s="7" t="s">
        <v>43</v>
      </c>
      <c r="C38" s="7">
        <v>70</v>
      </c>
      <c r="D38" s="7">
        <v>73</v>
      </c>
      <c r="E38" s="7">
        <v>71</v>
      </c>
      <c r="F38" s="7">
        <v>69</v>
      </c>
      <c r="G38" s="7">
        <v>75</v>
      </c>
    </row>
    <row r="39" spans="1:7" x14ac:dyDescent="0.4">
      <c r="A39" s="7">
        <v>38</v>
      </c>
      <c r="B39" s="7" t="s">
        <v>44</v>
      </c>
      <c r="C39" s="7">
        <v>36</v>
      </c>
      <c r="D39" s="7">
        <v>39</v>
      </c>
      <c r="E39" s="7">
        <v>38</v>
      </c>
      <c r="F39" s="7">
        <v>37</v>
      </c>
      <c r="G39" s="7">
        <v>40</v>
      </c>
    </row>
    <row r="40" spans="1:7" x14ac:dyDescent="0.4">
      <c r="A40" s="7">
        <v>39</v>
      </c>
      <c r="B40" s="7" t="s">
        <v>45</v>
      </c>
      <c r="C40" s="7">
        <v>64</v>
      </c>
      <c r="D40" s="7">
        <v>67</v>
      </c>
      <c r="E40" s="7">
        <v>65</v>
      </c>
      <c r="F40" s="7">
        <v>63</v>
      </c>
      <c r="G40" s="7">
        <v>69</v>
      </c>
    </row>
    <row r="41" spans="1:7" x14ac:dyDescent="0.4">
      <c r="A41" s="7">
        <v>40</v>
      </c>
      <c r="B41" s="7" t="s">
        <v>46</v>
      </c>
      <c r="C41" s="7">
        <v>78</v>
      </c>
      <c r="D41" s="7">
        <v>81</v>
      </c>
      <c r="E41" s="7">
        <v>79</v>
      </c>
      <c r="F41" s="7">
        <v>77</v>
      </c>
      <c r="G41" s="7">
        <v>84</v>
      </c>
    </row>
    <row r="42" spans="1:7" x14ac:dyDescent="0.4">
      <c r="A42" s="7">
        <v>41</v>
      </c>
      <c r="B42" s="7" t="s">
        <v>47</v>
      </c>
      <c r="C42" s="7">
        <v>46</v>
      </c>
      <c r="D42" s="7">
        <v>49</v>
      </c>
      <c r="E42" s="7">
        <v>47</v>
      </c>
      <c r="F42" s="7">
        <v>45</v>
      </c>
      <c r="G42" s="7">
        <v>51</v>
      </c>
    </row>
    <row r="43" spans="1:7" x14ac:dyDescent="0.4">
      <c r="A43" s="7">
        <v>42</v>
      </c>
      <c r="B43" s="7" t="s">
        <v>48</v>
      </c>
      <c r="C43" s="7">
        <v>86</v>
      </c>
      <c r="D43" s="7">
        <v>89</v>
      </c>
      <c r="E43" s="7">
        <v>88</v>
      </c>
      <c r="F43" s="7">
        <v>85</v>
      </c>
      <c r="G43" s="7">
        <v>91</v>
      </c>
    </row>
    <row r="44" spans="1:7" x14ac:dyDescent="0.4">
      <c r="A44" s="7">
        <v>43</v>
      </c>
      <c r="B44" s="7" t="s">
        <v>49</v>
      </c>
      <c r="C44" s="7">
        <v>57</v>
      </c>
      <c r="D44" s="7">
        <v>60</v>
      </c>
      <c r="E44" s="7">
        <v>58</v>
      </c>
      <c r="F44" s="7">
        <v>56</v>
      </c>
      <c r="G44" s="7">
        <v>62</v>
      </c>
    </row>
    <row r="45" spans="1:7" x14ac:dyDescent="0.4">
      <c r="A45" s="7">
        <v>44</v>
      </c>
      <c r="B45" s="7" t="s">
        <v>50</v>
      </c>
      <c r="C45" s="7">
        <v>40</v>
      </c>
      <c r="D45" s="7">
        <v>43</v>
      </c>
      <c r="E45" s="7">
        <v>41</v>
      </c>
      <c r="F45" s="7">
        <v>39</v>
      </c>
      <c r="G45" s="7">
        <v>45</v>
      </c>
    </row>
    <row r="46" spans="1:7" x14ac:dyDescent="0.4">
      <c r="A46" s="7">
        <v>45</v>
      </c>
      <c r="B46" s="7" t="s">
        <v>51</v>
      </c>
      <c r="C46" s="7">
        <v>83</v>
      </c>
      <c r="D46" s="7">
        <v>86</v>
      </c>
      <c r="E46" s="7">
        <v>84</v>
      </c>
      <c r="F46" s="7">
        <v>82</v>
      </c>
      <c r="G46" s="7">
        <v>88</v>
      </c>
    </row>
    <row r="47" spans="1:7" x14ac:dyDescent="0.4">
      <c r="A47" s="7">
        <v>46</v>
      </c>
      <c r="B47" s="7" t="s">
        <v>52</v>
      </c>
      <c r="C47" s="7">
        <v>69</v>
      </c>
      <c r="D47" s="7">
        <v>72</v>
      </c>
      <c r="E47" s="7">
        <v>70</v>
      </c>
      <c r="F47" s="7">
        <v>68</v>
      </c>
      <c r="G47" s="7">
        <v>74</v>
      </c>
    </row>
    <row r="48" spans="1:7" x14ac:dyDescent="0.4">
      <c r="A48" s="7">
        <v>47</v>
      </c>
      <c r="B48" s="7" t="s">
        <v>53</v>
      </c>
      <c r="C48" s="7">
        <v>52</v>
      </c>
      <c r="D48" s="7">
        <v>55</v>
      </c>
      <c r="E48" s="7">
        <v>53</v>
      </c>
      <c r="F48" s="7">
        <v>51</v>
      </c>
      <c r="G48" s="7">
        <v>57</v>
      </c>
    </row>
    <row r="49" spans="1:7" x14ac:dyDescent="0.4">
      <c r="A49" s="7">
        <v>48</v>
      </c>
      <c r="B49" s="7" t="s">
        <v>54</v>
      </c>
      <c r="C49" s="7">
        <v>90</v>
      </c>
      <c r="D49" s="7">
        <v>93</v>
      </c>
      <c r="E49" s="7">
        <v>91</v>
      </c>
      <c r="F49" s="7">
        <v>89</v>
      </c>
      <c r="G49" s="7">
        <v>95</v>
      </c>
    </row>
    <row r="50" spans="1:7" x14ac:dyDescent="0.4">
      <c r="A50" s="7">
        <v>49</v>
      </c>
      <c r="B50" s="7" t="s">
        <v>55</v>
      </c>
      <c r="C50" s="7">
        <v>61</v>
      </c>
      <c r="D50" s="7">
        <v>64</v>
      </c>
      <c r="E50" s="7">
        <v>62</v>
      </c>
      <c r="F50" s="7">
        <v>60</v>
      </c>
      <c r="G50" s="7">
        <v>66</v>
      </c>
    </row>
    <row r="51" spans="1:7" x14ac:dyDescent="0.4">
      <c r="A51" s="7">
        <v>50</v>
      </c>
      <c r="B51" s="7" t="s">
        <v>56</v>
      </c>
      <c r="C51" s="7">
        <v>75</v>
      </c>
      <c r="D51" s="7">
        <v>78</v>
      </c>
      <c r="E51" s="7">
        <v>76</v>
      </c>
      <c r="F51" s="7">
        <v>74</v>
      </c>
      <c r="G51" s="7">
        <v>81</v>
      </c>
    </row>
  </sheetData>
  <mergeCells count="5">
    <mergeCell ref="L17:M18"/>
    <mergeCell ref="I5:J6"/>
    <mergeCell ref="I11:J12"/>
    <mergeCell ref="L3:M4"/>
    <mergeCell ref="O3:P4"/>
  </mergeCells>
  <dataValidations count="2">
    <dataValidation type="list" allowBlank="1" showInputMessage="1" showErrorMessage="1" sqref="J7 M5 M19" xr:uid="{DECCFCF7-C88A-4C2B-811F-7E6697450708}">
      <formula1>$C$1:$G$1</formula1>
    </dataValidation>
    <dataValidation type="list" allowBlank="1" showInputMessage="1" showErrorMessage="1" sqref="I8 I14 L6 L20 I23" xr:uid="{1F002AC6-2C85-4CDA-8CDA-4FCC69BFE566}">
      <formula1>$B$2:$B$51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46B93-613A-4146-A7A4-F1F5480B90F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result</vt:lpstr>
      <vt:lpstr>VLOOCKUP</vt:lpstr>
      <vt:lpstr>HLOOKUP</vt:lpstr>
      <vt:lpstr>XLOOKUP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BHANU SURYAVANSHI</dc:creator>
  <cp:lastModifiedBy>bhanusuryavanshi@hotmail.com</cp:lastModifiedBy>
  <dcterms:created xsi:type="dcterms:W3CDTF">2026-01-21T04:07:10Z</dcterms:created>
  <dcterms:modified xsi:type="dcterms:W3CDTF">2026-02-01T17:21:54Z</dcterms:modified>
</cp:coreProperties>
</file>